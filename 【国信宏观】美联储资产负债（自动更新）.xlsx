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_proj\macro_dashboard\"/>
    </mc:Choice>
  </mc:AlternateContent>
  <xr:revisionPtr revIDLastSave="0" documentId="13_ncr:1_{0FAAA660-680E-4290-A070-6B8D755F7F4F}" xr6:coauthVersionLast="47" xr6:coauthVersionMax="47" xr10:uidLastSave="{00000000-0000-0000-0000-000000000000}"/>
  <bookViews>
    <workbookView xWindow="-22245" yWindow="3195" windowWidth="18510" windowHeight="10740" activeTab="1" xr2:uid="{E793B9B9-D478-4D10-9537-0A55F8B1CA6F}"/>
  </bookViews>
  <sheets>
    <sheet name="资产负债表" sheetId="2" r:id="rId1"/>
    <sheet name="资产" sheetId="1" r:id="rId2"/>
    <sheet name="负债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7" i="2" l="1"/>
  <c r="K337" i="2"/>
  <c r="L337" i="2"/>
  <c r="M337" i="2"/>
  <c r="N337" i="2"/>
  <c r="O337" i="2"/>
  <c r="P337" i="2"/>
  <c r="Q337" i="2"/>
  <c r="R337" i="2"/>
  <c r="S337" i="2"/>
  <c r="T337" i="2"/>
  <c r="Y337" i="2" s="1"/>
  <c r="U337" i="2"/>
  <c r="V337" i="2"/>
  <c r="W337" i="2"/>
  <c r="X337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C1" i="2"/>
  <c r="G7" i="2" s="1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B6" i="3"/>
  <c r="B9" i="1"/>
  <c r="Y332" i="2" l="1"/>
  <c r="Y336" i="2"/>
  <c r="Y334" i="2"/>
  <c r="Y335" i="2"/>
  <c r="Y333" i="2"/>
  <c r="Y325" i="2"/>
  <c r="Y317" i="2"/>
  <c r="D7" i="2"/>
  <c r="G12" i="2"/>
  <c r="G13" i="2"/>
  <c r="G9" i="2"/>
  <c r="D5" i="2"/>
  <c r="G19" i="2"/>
  <c r="G8" i="2"/>
  <c r="G20" i="2"/>
  <c r="D15" i="2"/>
  <c r="G18" i="2"/>
  <c r="G21" i="2"/>
  <c r="D17" i="2"/>
  <c r="D23" i="2"/>
  <c r="G10" i="2"/>
  <c r="D11" i="2"/>
  <c r="G15" i="2"/>
  <c r="D13" i="2"/>
  <c r="D16" i="2"/>
  <c r="D19" i="2"/>
  <c r="D22" i="2"/>
  <c r="D24" i="2"/>
  <c r="G5" i="2"/>
  <c r="D8" i="2"/>
  <c r="D9" i="2"/>
  <c r="D14" i="2"/>
  <c r="G4" i="2"/>
  <c r="D6" i="2"/>
  <c r="G11" i="2"/>
  <c r="D10" i="2"/>
  <c r="G14" i="2"/>
  <c r="D12" i="2"/>
  <c r="D18" i="2"/>
  <c r="D20" i="2"/>
  <c r="D21" i="2"/>
  <c r="G6" i="2"/>
  <c r="D4" i="2"/>
  <c r="Y323" i="2"/>
  <c r="Y331" i="2"/>
  <c r="Y324" i="2"/>
  <c r="Y330" i="2"/>
  <c r="Y320" i="2"/>
  <c r="Y315" i="2"/>
  <c r="Y318" i="2"/>
  <c r="Y328" i="2"/>
  <c r="Y321" i="2"/>
  <c r="Y313" i="2"/>
  <c r="Y316" i="2"/>
  <c r="Y319" i="2"/>
  <c r="Y322" i="2"/>
  <c r="Y329" i="2"/>
  <c r="Y314" i="2"/>
  <c r="Y326" i="2"/>
  <c r="Y32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V4" i="2"/>
  <c r="W4" i="2"/>
  <c r="S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U4" i="2"/>
  <c r="Q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P4" i="2"/>
  <c r="O4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4" i="2"/>
  <c r="D83" i="2"/>
  <c r="D78" i="2"/>
  <c r="D81" i="2"/>
  <c r="D80" i="2"/>
  <c r="D79" i="2"/>
  <c r="D73" i="2"/>
  <c r="D72" i="2"/>
  <c r="D71" i="2"/>
  <c r="C3" i="2"/>
  <c r="G66" i="2"/>
  <c r="G78" i="2"/>
  <c r="G81" i="2"/>
  <c r="G80" i="2"/>
  <c r="G79" i="2"/>
  <c r="G76" i="2"/>
  <c r="G75" i="2"/>
  <c r="G74" i="2"/>
  <c r="G73" i="2"/>
  <c r="G72" i="2"/>
  <c r="G71" i="2"/>
  <c r="G70" i="2"/>
  <c r="G69" i="2"/>
  <c r="G68" i="2"/>
  <c r="G67" i="2"/>
  <c r="G65" i="2"/>
  <c r="D95" i="2"/>
  <c r="D94" i="2"/>
  <c r="D93" i="2"/>
  <c r="D92" i="2"/>
  <c r="D91" i="2"/>
  <c r="D90" i="2"/>
  <c r="D89" i="2"/>
  <c r="D88" i="2"/>
  <c r="D87" i="2"/>
  <c r="D86" i="2"/>
  <c r="D85" i="2"/>
  <c r="D84" i="2"/>
  <c r="D82" i="2"/>
  <c r="D77" i="2"/>
  <c r="D76" i="2"/>
  <c r="D75" i="2"/>
  <c r="D74" i="2"/>
  <c r="D70" i="2"/>
  <c r="D69" i="2"/>
  <c r="D68" i="2"/>
  <c r="D67" i="2"/>
  <c r="D66" i="2"/>
  <c r="D65" i="2"/>
  <c r="Y311" i="2" l="1"/>
  <c r="Y310" i="2"/>
  <c r="Y307" i="2"/>
  <c r="Y312" i="2"/>
  <c r="Y308" i="2"/>
  <c r="Y309" i="2"/>
  <c r="Y306" i="2"/>
  <c r="Y302" i="2"/>
  <c r="Y303" i="2"/>
  <c r="Y304" i="2"/>
  <c r="Y305" i="2"/>
  <c r="Y290" i="2"/>
  <c r="Y266" i="2"/>
  <c r="Y242" i="2"/>
  <c r="Y218" i="2"/>
  <c r="Y194" i="2"/>
  <c r="Y170" i="2"/>
  <c r="Y146" i="2"/>
  <c r="Y122" i="2"/>
  <c r="Y98" i="2"/>
  <c r="Y74" i="2"/>
  <c r="Y50" i="2"/>
  <c r="Y26" i="2"/>
  <c r="Y284" i="2"/>
  <c r="Y260" i="2"/>
  <c r="Y236" i="2"/>
  <c r="Y212" i="2"/>
  <c r="Y188" i="2"/>
  <c r="Y164" i="2"/>
  <c r="Y269" i="2"/>
  <c r="Y245" i="2"/>
  <c r="Y197" i="2"/>
  <c r="Y173" i="2"/>
  <c r="Y149" i="2"/>
  <c r="Y125" i="2"/>
  <c r="Y101" i="2"/>
  <c r="Y77" i="2"/>
  <c r="Y53" i="2"/>
  <c r="Y29" i="2"/>
  <c r="Y263" i="2"/>
  <c r="Y239" i="2"/>
  <c r="Y215" i="2"/>
  <c r="Y191" i="2"/>
  <c r="Y167" i="2"/>
  <c r="Y143" i="2"/>
  <c r="Y119" i="2"/>
  <c r="Y95" i="2"/>
  <c r="Y71" i="2"/>
  <c r="Y47" i="2"/>
  <c r="Y23" i="2"/>
  <c r="Y295" i="2"/>
  <c r="Y271" i="2"/>
  <c r="Y247" i="2"/>
  <c r="Y294" i="2"/>
  <c r="Y270" i="2"/>
  <c r="Y246" i="2"/>
  <c r="Y222" i="2"/>
  <c r="Y198" i="2"/>
  <c r="Y174" i="2"/>
  <c r="Y150" i="2"/>
  <c r="Y126" i="2"/>
  <c r="Y102" i="2"/>
  <c r="Y78" i="2"/>
  <c r="Y54" i="2"/>
  <c r="Y30" i="2"/>
  <c r="Y289" i="2"/>
  <c r="Y265" i="2"/>
  <c r="Y241" i="2"/>
  <c r="Y217" i="2"/>
  <c r="Y193" i="2"/>
  <c r="Y169" i="2"/>
  <c r="Y145" i="2"/>
  <c r="Y121" i="2"/>
  <c r="Y97" i="2"/>
  <c r="Y73" i="2"/>
  <c r="Y49" i="2"/>
  <c r="Y25" i="2"/>
  <c r="Y267" i="2"/>
  <c r="Y243" i="2"/>
  <c r="Y195" i="2"/>
  <c r="Y147" i="2"/>
  <c r="Y123" i="2"/>
  <c r="Y99" i="2"/>
  <c r="Y75" i="2"/>
  <c r="Y51" i="2"/>
  <c r="Y220" i="2"/>
  <c r="Y291" i="2"/>
  <c r="Y219" i="2"/>
  <c r="Y171" i="2"/>
  <c r="Y27" i="2"/>
  <c r="Y283" i="2"/>
  <c r="Y259" i="2"/>
  <c r="Y235" i="2"/>
  <c r="Y211" i="2"/>
  <c r="Y187" i="2"/>
  <c r="Y163" i="2"/>
  <c r="Y139" i="2"/>
  <c r="Y115" i="2"/>
  <c r="Y91" i="2"/>
  <c r="Y67" i="2"/>
  <c r="Y43" i="2"/>
  <c r="Y19" i="2"/>
  <c r="Y282" i="2"/>
  <c r="Y258" i="2"/>
  <c r="Y234" i="2"/>
  <c r="Y210" i="2"/>
  <c r="Y186" i="2"/>
  <c r="Y162" i="2"/>
  <c r="Y138" i="2"/>
  <c r="Y114" i="2"/>
  <c r="Y90" i="2"/>
  <c r="Y66" i="2"/>
  <c r="Y42" i="2"/>
  <c r="Y18" i="2"/>
  <c r="Y281" i="2"/>
  <c r="Y257" i="2"/>
  <c r="Y233" i="2"/>
  <c r="Y209" i="2"/>
  <c r="Y185" i="2"/>
  <c r="Y161" i="2"/>
  <c r="Y137" i="2"/>
  <c r="Y113" i="2"/>
  <c r="Y89" i="2"/>
  <c r="Y65" i="2"/>
  <c r="Y41" i="2"/>
  <c r="Y17" i="2"/>
  <c r="Y292" i="2"/>
  <c r="Y268" i="2"/>
  <c r="Y244" i="2"/>
  <c r="Y196" i="2"/>
  <c r="Y172" i="2"/>
  <c r="Y148" i="2"/>
  <c r="Y124" i="2"/>
  <c r="Y100" i="2"/>
  <c r="Y76" i="2"/>
  <c r="Y52" i="2"/>
  <c r="Y28" i="2"/>
  <c r="Y223" i="2"/>
  <c r="Y199" i="2"/>
  <c r="Y175" i="2"/>
  <c r="Y151" i="2"/>
  <c r="Y127" i="2"/>
  <c r="Y103" i="2"/>
  <c r="Y79" i="2"/>
  <c r="Y55" i="2"/>
  <c r="Y31" i="2"/>
  <c r="Y7" i="2"/>
  <c r="Y6" i="2"/>
  <c r="Y293" i="2"/>
  <c r="Y221" i="2"/>
  <c r="Y288" i="2"/>
  <c r="Y264" i="2"/>
  <c r="Y240" i="2"/>
  <c r="Y216" i="2"/>
  <c r="Y192" i="2"/>
  <c r="Y168" i="2"/>
  <c r="Y144" i="2"/>
  <c r="Y120" i="2"/>
  <c r="Y96" i="2"/>
  <c r="Y72" i="2"/>
  <c r="Y48" i="2"/>
  <c r="Y24" i="2"/>
  <c r="Y287" i="2"/>
  <c r="Y286" i="2"/>
  <c r="Y262" i="2"/>
  <c r="Y238" i="2"/>
  <c r="Y214" i="2"/>
  <c r="Y190" i="2"/>
  <c r="Y166" i="2"/>
  <c r="Y142" i="2"/>
  <c r="Y118" i="2"/>
  <c r="Y94" i="2"/>
  <c r="Y70" i="2"/>
  <c r="Y46" i="2"/>
  <c r="Y22" i="2"/>
  <c r="Y285" i="2"/>
  <c r="Y261" i="2"/>
  <c r="Y237" i="2"/>
  <c r="Y213" i="2"/>
  <c r="Y189" i="2"/>
  <c r="Y165" i="2"/>
  <c r="Y141" i="2"/>
  <c r="Y117" i="2"/>
  <c r="Y93" i="2"/>
  <c r="Y69" i="2"/>
  <c r="Y45" i="2"/>
  <c r="Y21" i="2"/>
  <c r="Y280" i="2"/>
  <c r="Y256" i="2"/>
  <c r="Y232" i="2"/>
  <c r="Y208" i="2"/>
  <c r="Y184" i="2"/>
  <c r="Y160" i="2"/>
  <c r="Y136" i="2"/>
  <c r="Y112" i="2"/>
  <c r="Y88" i="2"/>
  <c r="Y64" i="2"/>
  <c r="Y40" i="2"/>
  <c r="Y16" i="2"/>
  <c r="Y279" i="2"/>
  <c r="Y255" i="2"/>
  <c r="Y231" i="2"/>
  <c r="Y207" i="2"/>
  <c r="Y183" i="2"/>
  <c r="Y159" i="2"/>
  <c r="Y135" i="2"/>
  <c r="Y111" i="2"/>
  <c r="Y87" i="2"/>
  <c r="Y63" i="2"/>
  <c r="Y39" i="2"/>
  <c r="Y15" i="2"/>
  <c r="Y278" i="2"/>
  <c r="Y254" i="2"/>
  <c r="Y230" i="2"/>
  <c r="Y206" i="2"/>
  <c r="Y182" i="2"/>
  <c r="Y158" i="2"/>
  <c r="Y134" i="2"/>
  <c r="Y110" i="2"/>
  <c r="Y86" i="2"/>
  <c r="Y62" i="2"/>
  <c r="Y38" i="2"/>
  <c r="Y14" i="2"/>
  <c r="Y301" i="2"/>
  <c r="Y277" i="2"/>
  <c r="Y253" i="2"/>
  <c r="Y229" i="2"/>
  <c r="Y205" i="2"/>
  <c r="Y181" i="2"/>
  <c r="Y157" i="2"/>
  <c r="Y133" i="2"/>
  <c r="Y109" i="2"/>
  <c r="Y85" i="2"/>
  <c r="Y61" i="2"/>
  <c r="Y37" i="2"/>
  <c r="Y13" i="2"/>
  <c r="Y300" i="2"/>
  <c r="Y276" i="2"/>
  <c r="Y252" i="2"/>
  <c r="Y228" i="2"/>
  <c r="Y204" i="2"/>
  <c r="Y180" i="2"/>
  <c r="Y156" i="2"/>
  <c r="Y132" i="2"/>
  <c r="Y108" i="2"/>
  <c r="Y84" i="2"/>
  <c r="Y60" i="2"/>
  <c r="Y36" i="2"/>
  <c r="Y12" i="2"/>
  <c r="Y299" i="2"/>
  <c r="Y275" i="2"/>
  <c r="Y251" i="2"/>
  <c r="Y227" i="2"/>
  <c r="Y203" i="2"/>
  <c r="Y179" i="2"/>
  <c r="Y155" i="2"/>
  <c r="Y131" i="2"/>
  <c r="Y107" i="2"/>
  <c r="Y83" i="2"/>
  <c r="Y59" i="2"/>
  <c r="Y35" i="2"/>
  <c r="Y11" i="2"/>
  <c r="Y298" i="2"/>
  <c r="Y274" i="2"/>
  <c r="Y250" i="2"/>
  <c r="Y226" i="2"/>
  <c r="Y202" i="2"/>
  <c r="Y178" i="2"/>
  <c r="Y154" i="2"/>
  <c r="Y130" i="2"/>
  <c r="Y106" i="2"/>
  <c r="Y82" i="2"/>
  <c r="Y58" i="2"/>
  <c r="Y34" i="2"/>
  <c r="Y10" i="2"/>
  <c r="Y297" i="2"/>
  <c r="Y273" i="2"/>
  <c r="Y249" i="2"/>
  <c r="Y225" i="2"/>
  <c r="Y201" i="2"/>
  <c r="Y177" i="2"/>
  <c r="Y153" i="2"/>
  <c r="Y129" i="2"/>
  <c r="Y105" i="2"/>
  <c r="Y81" i="2"/>
  <c r="Y57" i="2"/>
  <c r="Y33" i="2"/>
  <c r="Y9" i="2"/>
  <c r="Y296" i="2"/>
  <c r="Y272" i="2"/>
  <c r="Y248" i="2"/>
  <c r="Y224" i="2"/>
  <c r="Y200" i="2"/>
  <c r="Y176" i="2"/>
  <c r="Y152" i="2"/>
  <c r="Y128" i="2"/>
  <c r="Y104" i="2"/>
  <c r="Y80" i="2"/>
  <c r="Y56" i="2"/>
  <c r="Y32" i="2"/>
  <c r="Y8" i="2"/>
  <c r="Y140" i="2"/>
  <c r="Y116" i="2"/>
  <c r="Y92" i="2"/>
  <c r="Y68" i="2"/>
  <c r="Y44" i="2"/>
  <c r="Y20" i="2"/>
  <c r="Y5" i="2"/>
  <c r="T4" i="2"/>
  <c r="Y4" i="2" s="1"/>
  <c r="X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Meng Allen</author>
  </authors>
  <commentList>
    <comment ref="B9" authorId="0" shapeId="0" xr:uid="{C19DB2C8-C21D-4DCF-BEE3-A9269415C359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Meng Allen</author>
  </authors>
  <commentList>
    <comment ref="B6" authorId="0" shapeId="0" xr:uid="{5F365A92-29EB-47F1-9F1B-F4FDE40DA50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<sst xmlns="http://schemas.openxmlformats.org/spreadsheetml/2006/main" count="211" uniqueCount="164">
  <si>
    <t>开始日期</t>
  </si>
  <si>
    <t>截止日期</t>
  </si>
  <si>
    <t>当前日期</t>
  </si>
  <si>
    <t>EDBclose</t>
  </si>
  <si>
    <t>日期</t>
  </si>
  <si>
    <t>Date</t>
  </si>
  <si>
    <t>美国:所有联储银行:资产:总资产</t>
  </si>
  <si>
    <t>美国:所有联储银行:资产:黄金证券账户</t>
  </si>
  <si>
    <t>美国:所有联储银行:资产:特别提款权账户</t>
  </si>
  <si>
    <t>美国:所有联储银行:资产:硬币</t>
  </si>
  <si>
    <t>美国:所有联储银行:资产:持有证券、未摊销证券溢价和折扣、回购协议和贷款</t>
  </si>
  <si>
    <t>美国:所有联储银行:资产:持有证券</t>
  </si>
  <si>
    <t>美国:所有联储银行:资产:持有证券:美国国债</t>
  </si>
  <si>
    <t>美国:所有联储银行:资产:持有证券:美国国债:短期债券</t>
  </si>
  <si>
    <t>美国:所有联储银行:资产:持有证券:美国国债:中长期名义债券</t>
  </si>
  <si>
    <t>美国:所有联储银行:资产:持有证券:美国国债:中长期通胀指数债券</t>
  </si>
  <si>
    <t>美国:所有联储银行:资产:持有证券:美国国债:通胀补偿</t>
  </si>
  <si>
    <t>美国:所有联储银行:资产:持有证券:美国国债:15天以内</t>
  </si>
  <si>
    <t>美国:所有联储银行:资产:持有证券:美国国债:16-90天</t>
  </si>
  <si>
    <t>美国:所有联储银行:资产:持有证券:美国国债:91天-1年</t>
  </si>
  <si>
    <t>美国:所有联储银行:资产:持有证券:美国国债:1-5年</t>
  </si>
  <si>
    <t>美国:所有联储银行:资产:持有证券:美国国债:5-10年</t>
  </si>
  <si>
    <t>美国:所有联储银行:资产:持有证券:美国国债:大于10年</t>
  </si>
  <si>
    <t>美国:所有联储银行:资产:持有证券:联邦机构债券</t>
  </si>
  <si>
    <t>美国:所有联储银行:资产:持有证券:抵押贷款支持债券(MBS)</t>
  </si>
  <si>
    <t>美国:所有联储银行:资产:当前持有的未摊销证券溢价</t>
  </si>
  <si>
    <t>美国:所有联储银行:资产:当前持有的未摊销证券折扣</t>
  </si>
  <si>
    <t>美国:所有联储银行:资产:正向回购协议</t>
  </si>
  <si>
    <t>美国:所有联储银行:资产:其他贷款</t>
  </si>
  <si>
    <t>美国:所有联储银行:资产:储备银行信贷:MS Facilities LLC的净投资组合持有量(中产阶级贷款计划)</t>
  </si>
  <si>
    <t>美国:所有联储银行:资产:储备银行信贷:市政流动性基金有限责任公司持有的净投资组合</t>
  </si>
  <si>
    <t>美国:所有联储银行:资产:持有TALF II LLC投资组合净额</t>
  </si>
  <si>
    <t>美国:所有联储银行:资产:托收中项目</t>
  </si>
  <si>
    <t>美国:所有联储银行:资产:银行不动产</t>
  </si>
  <si>
    <t>美国:所有联储银行:资产:中央银行流动性互换</t>
  </si>
  <si>
    <t>美国:所有联储银行:资产:外币</t>
  </si>
  <si>
    <t>美国:所有联储银行:资产:其他联储资产</t>
  </si>
  <si>
    <t>G1100051</t>
  </si>
  <si>
    <t>G1100052</t>
  </si>
  <si>
    <t>G1100053</t>
  </si>
  <si>
    <t>G1100054</t>
  </si>
  <si>
    <t>G1100055</t>
  </si>
  <si>
    <t>G1100056</t>
  </si>
  <si>
    <t>G1100057</t>
  </si>
  <si>
    <t>G1100058</t>
  </si>
  <si>
    <t>G1100059</t>
  </si>
  <si>
    <t>G1100060</t>
  </si>
  <si>
    <t>N8556218</t>
  </si>
  <si>
    <t>J9380603</t>
  </si>
  <si>
    <t>T0219969</t>
  </si>
  <si>
    <t>Z3240916</t>
  </si>
  <si>
    <t>J1003369</t>
  </si>
  <si>
    <t>P9897035</t>
  </si>
  <si>
    <t>G1100061</t>
  </si>
  <si>
    <t>G1100062</t>
  </si>
  <si>
    <t>G1137382</t>
  </si>
  <si>
    <t>G1137383</t>
  </si>
  <si>
    <t>G1100063</t>
  </si>
  <si>
    <t>G1100065</t>
  </si>
  <si>
    <t>G1169233</t>
  </si>
  <si>
    <t>G1169234</t>
  </si>
  <si>
    <t>G1169236</t>
  </si>
  <si>
    <t>G1100071</t>
  </si>
  <si>
    <t>G1100072</t>
  </si>
  <si>
    <t>G1100073</t>
  </si>
  <si>
    <t>G1137384</t>
  </si>
  <si>
    <t>G1100074</t>
  </si>
  <si>
    <t>总资产</t>
    <phoneticPr fontId="2" type="noConversion"/>
  </si>
  <si>
    <t>中长期名义债券</t>
  </si>
  <si>
    <t xml:space="preserve"> * 黄金证券账户</t>
    <phoneticPr fontId="2" type="noConversion"/>
  </si>
  <si>
    <t xml:space="preserve"> * 特别提款权账户</t>
    <phoneticPr fontId="2" type="noConversion"/>
  </si>
  <si>
    <t xml:space="preserve"> * 硬币</t>
    <phoneticPr fontId="2" type="noConversion"/>
  </si>
  <si>
    <t xml:space="preserve"> * 持有证券、未摊销证券溢价和折扣、回购协议和贷款</t>
    <phoneticPr fontId="2" type="noConversion"/>
  </si>
  <si>
    <t xml:space="preserve">   * 持有证券</t>
    <phoneticPr fontId="2" type="noConversion"/>
  </si>
  <si>
    <t xml:space="preserve">      * 美国国债</t>
    <phoneticPr fontId="2" type="noConversion"/>
  </si>
  <si>
    <t>短期债券</t>
    <phoneticPr fontId="2" type="noConversion"/>
  </si>
  <si>
    <t xml:space="preserve">         * 短期债券</t>
    <phoneticPr fontId="2" type="noConversion"/>
  </si>
  <si>
    <t xml:space="preserve">         * 中长期名义债券</t>
    <phoneticPr fontId="2" type="noConversion"/>
  </si>
  <si>
    <t xml:space="preserve">         * 中长期通胀指数债券</t>
    <phoneticPr fontId="2" type="noConversion"/>
  </si>
  <si>
    <t xml:space="preserve">         * 通胀补偿</t>
    <phoneticPr fontId="2" type="noConversion"/>
  </si>
  <si>
    <t xml:space="preserve">         * 15天以内</t>
    <phoneticPr fontId="2" type="noConversion"/>
  </si>
  <si>
    <t xml:space="preserve">         * 16-90天</t>
    <phoneticPr fontId="2" type="noConversion"/>
  </si>
  <si>
    <t xml:space="preserve">         * 91天-1年</t>
    <phoneticPr fontId="2" type="noConversion"/>
  </si>
  <si>
    <t xml:space="preserve">         * 1-5年</t>
    <phoneticPr fontId="2" type="noConversion"/>
  </si>
  <si>
    <t xml:space="preserve">         * 5-10年</t>
    <phoneticPr fontId="2" type="noConversion"/>
  </si>
  <si>
    <t xml:space="preserve">         * 大于10年</t>
    <phoneticPr fontId="2" type="noConversion"/>
  </si>
  <si>
    <t xml:space="preserve">      * 联邦机构债券</t>
    <phoneticPr fontId="2" type="noConversion"/>
  </si>
  <si>
    <t xml:space="preserve">      * 抵押贷款支持债券(MBS)</t>
    <phoneticPr fontId="2" type="noConversion"/>
  </si>
  <si>
    <t xml:space="preserve">   * 当前持有的未摊销证券溢价</t>
    <phoneticPr fontId="2" type="noConversion"/>
  </si>
  <si>
    <t xml:space="preserve">   * 当前持有的未摊销证券折扣</t>
    <phoneticPr fontId="2" type="noConversion"/>
  </si>
  <si>
    <t xml:space="preserve">   * 正向回购协议</t>
    <phoneticPr fontId="2" type="noConversion"/>
  </si>
  <si>
    <t xml:space="preserve">   * 其他贷款</t>
    <phoneticPr fontId="2" type="noConversion"/>
  </si>
  <si>
    <t xml:space="preserve"> * MS Facilities LLC的净投资组合持有量(中产阶级贷款计划)</t>
    <phoneticPr fontId="2" type="noConversion"/>
  </si>
  <si>
    <t xml:space="preserve"> * 市政流动性基金有限责任公司持有的净投资组合</t>
    <phoneticPr fontId="2" type="noConversion"/>
  </si>
  <si>
    <t xml:space="preserve"> * 持有TALF II LLC投资组合净额</t>
    <phoneticPr fontId="2" type="noConversion"/>
  </si>
  <si>
    <t xml:space="preserve"> * 托收中项目</t>
    <phoneticPr fontId="2" type="noConversion"/>
  </si>
  <si>
    <t xml:space="preserve"> * 银行不动产</t>
    <phoneticPr fontId="2" type="noConversion"/>
  </si>
  <si>
    <t xml:space="preserve"> * 中央银行流动性互换</t>
    <phoneticPr fontId="2" type="noConversion"/>
  </si>
  <si>
    <t xml:space="preserve"> * 外币</t>
    <phoneticPr fontId="2" type="noConversion"/>
  </si>
  <si>
    <t xml:space="preserve"> * 其他联储资产</t>
    <phoneticPr fontId="2" type="noConversion"/>
  </si>
  <si>
    <t>美国:所有联储银行:负债:总负债</t>
  </si>
  <si>
    <t>美国:所有联储银行:负债:存款</t>
  </si>
  <si>
    <t>美国:所有联储银行:负债:存款:存款机构定期存款</t>
  </si>
  <si>
    <t>美国:所有联储银行:负债:存款:存款机构其他存款</t>
  </si>
  <si>
    <t>美国:所有联储银行:负债:存款:美国财政部一般账户</t>
  </si>
  <si>
    <t>美国:所有联储银行:负债:存款:外国官方</t>
  </si>
  <si>
    <t>美国:所有联储银行:负债:存款:其他存款</t>
  </si>
  <si>
    <t>美国:所有联储银行:负债:逆向回购协议</t>
  </si>
  <si>
    <t>美国:所有联储银行:负债:联储票据(扣除美联储自持部分)</t>
  </si>
  <si>
    <t>美国:所有联储银行:负债:延迟入账现金项目</t>
  </si>
  <si>
    <t>美国:所有联储银行:负债:财政部对信贷部门的捐助</t>
  </si>
  <si>
    <t>美国:所有联储银行:负债:其他负债及应计股息</t>
  </si>
  <si>
    <t>美国:所有联储银行:负债:资本账户:实缴资本</t>
  </si>
  <si>
    <t>美国:所有联储银行:负债:资本账户:结余</t>
  </si>
  <si>
    <t>美国:所有联储银行:负债:资本账户:其他资本账户</t>
  </si>
  <si>
    <t>G1100078</t>
  </si>
  <si>
    <t>G1137386</t>
  </si>
  <si>
    <t>G1112668</t>
  </si>
  <si>
    <t>G1100080</t>
  </si>
  <si>
    <t>G1100082</t>
  </si>
  <si>
    <t>G1100083</t>
  </si>
  <si>
    <t>G1100077</t>
  </si>
  <si>
    <t>G1100076</t>
  </si>
  <si>
    <t>G1100084</t>
  </si>
  <si>
    <t>G1169227</t>
  </si>
  <si>
    <t>G1100085</t>
  </si>
  <si>
    <t>G1100087</t>
  </si>
  <si>
    <t>G1100088</t>
  </si>
  <si>
    <t>G1100089</t>
  </si>
  <si>
    <t>总负债</t>
    <phoneticPr fontId="2" type="noConversion"/>
  </si>
  <si>
    <t xml:space="preserve"> * 存款</t>
    <phoneticPr fontId="2" type="noConversion"/>
  </si>
  <si>
    <t xml:space="preserve"> * 逆向回购协议</t>
    <phoneticPr fontId="2" type="noConversion"/>
  </si>
  <si>
    <t xml:space="preserve"> * 联储票据(扣除美联储自持部分)</t>
    <phoneticPr fontId="2" type="noConversion"/>
  </si>
  <si>
    <t xml:space="preserve"> * 延迟入账现金项目</t>
    <phoneticPr fontId="2" type="noConversion"/>
  </si>
  <si>
    <t xml:space="preserve"> * 财政部对信贷部门的捐助</t>
    <phoneticPr fontId="2" type="noConversion"/>
  </si>
  <si>
    <t xml:space="preserve"> * 其他负债及应计股息</t>
    <phoneticPr fontId="2" type="noConversion"/>
  </si>
  <si>
    <t xml:space="preserve">   * 存款机构定期存款</t>
    <phoneticPr fontId="2" type="noConversion"/>
  </si>
  <si>
    <t xml:space="preserve">   * 外国官方</t>
    <phoneticPr fontId="2" type="noConversion"/>
  </si>
  <si>
    <t xml:space="preserve">   * 其他存款</t>
    <phoneticPr fontId="2" type="noConversion"/>
  </si>
  <si>
    <t xml:space="preserve">   * 实缴资本</t>
    <phoneticPr fontId="2" type="noConversion"/>
  </si>
  <si>
    <t xml:space="preserve">   * 结余</t>
    <phoneticPr fontId="2" type="noConversion"/>
  </si>
  <si>
    <t xml:space="preserve">   * 其他资本账户</t>
    <phoneticPr fontId="2" type="noConversion"/>
  </si>
  <si>
    <t xml:space="preserve">   * 美国财政部一般账户(TGA)</t>
    <phoneticPr fontId="2" type="noConversion"/>
  </si>
  <si>
    <t>全部资本:净资产</t>
    <phoneticPr fontId="2" type="noConversion"/>
  </si>
  <si>
    <t>G1100090</t>
    <phoneticPr fontId="2" type="noConversion"/>
  </si>
  <si>
    <t>全部资本（净资产）</t>
    <phoneticPr fontId="2" type="noConversion"/>
  </si>
  <si>
    <t>日期</t>
    <phoneticPr fontId="2" type="noConversion"/>
  </si>
  <si>
    <t>美国国债</t>
    <phoneticPr fontId="2" type="noConversion"/>
  </si>
  <si>
    <t>抵押贷款支持债券(MBS)</t>
    <phoneticPr fontId="2" type="noConversion"/>
  </si>
  <si>
    <t>1-5年</t>
    <phoneticPr fontId="2" type="noConversion"/>
  </si>
  <si>
    <t>5-10年</t>
    <phoneticPr fontId="2" type="noConversion"/>
  </si>
  <si>
    <t>大于10年</t>
    <phoneticPr fontId="2" type="noConversion"/>
  </si>
  <si>
    <t>1年以内</t>
    <phoneticPr fontId="2" type="noConversion"/>
  </si>
  <si>
    <t xml:space="preserve">   * 存款准备金</t>
    <phoneticPr fontId="2" type="noConversion"/>
  </si>
  <si>
    <t>存款准备金</t>
    <phoneticPr fontId="2" type="noConversion"/>
  </si>
  <si>
    <t>美国财政部一般账户(TGA)</t>
    <phoneticPr fontId="2" type="noConversion"/>
  </si>
  <si>
    <t>持有债券</t>
    <phoneticPr fontId="2" type="noConversion"/>
  </si>
  <si>
    <t>净流动性</t>
    <phoneticPr fontId="2" type="noConversion"/>
  </si>
  <si>
    <t>联储总资产-逆回购协议-美国财政存款</t>
    <phoneticPr fontId="2" type="noConversion"/>
  </si>
  <si>
    <t>逆回购协议</t>
    <phoneticPr fontId="2" type="noConversion"/>
  </si>
  <si>
    <t>美国财政存款</t>
    <phoneticPr fontId="2" type="noConversion"/>
  </si>
  <si>
    <t>单位：亿美元</t>
    <phoneticPr fontId="2" type="noConversion"/>
  </si>
  <si>
    <t>G1100086</t>
    <phoneticPr fontId="2" type="noConversion"/>
  </si>
  <si>
    <t>G1100075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</si>
</sst>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yyyy\-mm\-dd"/>
    <numFmt numFmtId="177" formatCode="0.0000"/>
    <numFmt numFmtId="178" formatCode="_ * #,##0.0_ ;_ * \-#,##0.0_ ;_ * &quot;-&quot;??_ ;_ @_ "/>
    <numFmt numFmtId="179" formatCode="0.0000%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b/>
      <sz val="18"/>
      <color theme="1"/>
      <name val="黑体"/>
      <family val="3"/>
      <charset val="134"/>
    </font>
    <font>
      <b/>
      <sz val="10"/>
      <color theme="1"/>
      <name val="黑体"/>
      <family val="3"/>
      <charset val="134"/>
    </font>
    <font>
      <sz val="11"/>
      <color rgb="FFD80C18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447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FAC090"/>
      </left>
      <right style="thin">
        <color rgb="FFFAC09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1" applyNumberFormat="1" applyFont="1">
      <alignment vertical="center"/>
    </xf>
    <xf numFmtId="0" fontId="0" fillId="3" borderId="0" xfId="0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right" vertical="center"/>
    </xf>
    <xf numFmtId="0" fontId="0" fillId="8" borderId="0" xfId="0" applyFill="1">
      <alignment vertical="center"/>
    </xf>
    <xf numFmtId="178" fontId="0" fillId="8" borderId="0" xfId="1" applyNumberFormat="1" applyFont="1" applyFill="1">
      <alignment vertical="center"/>
    </xf>
    <xf numFmtId="0" fontId="5" fillId="8" borderId="0" xfId="0" applyFont="1" applyFill="1">
      <alignment vertical="center"/>
    </xf>
    <xf numFmtId="179" fontId="5" fillId="8" borderId="0" xfId="2" applyNumberFormat="1" applyFont="1" applyFill="1">
      <alignment vertical="center"/>
    </xf>
    <xf numFmtId="178" fontId="5" fillId="8" borderId="0" xfId="1" applyNumberFormat="1" applyFont="1" applyFill="1">
      <alignment vertical="center"/>
    </xf>
    <xf numFmtId="0" fontId="4" fillId="4" borderId="3" xfId="0" applyFont="1" applyFill="1" applyBorder="1">
      <alignment vertical="center"/>
    </xf>
    <xf numFmtId="178" fontId="4" fillId="4" borderId="3" xfId="1" applyNumberFormat="1" applyFont="1" applyFill="1" applyBorder="1">
      <alignment vertical="center"/>
    </xf>
    <xf numFmtId="0" fontId="5" fillId="5" borderId="3" xfId="0" applyFont="1" applyFill="1" applyBorder="1">
      <alignment vertical="center"/>
    </xf>
    <xf numFmtId="178" fontId="5" fillId="5" borderId="3" xfId="1" applyNumberFormat="1" applyFont="1" applyFill="1" applyBorder="1">
      <alignment vertical="center"/>
    </xf>
    <xf numFmtId="0" fontId="5" fillId="7" borderId="3" xfId="0" applyFont="1" applyFill="1" applyBorder="1">
      <alignment vertical="center"/>
    </xf>
    <xf numFmtId="178" fontId="5" fillId="7" borderId="3" xfId="1" applyNumberFormat="1" applyFont="1" applyFill="1" applyBorder="1">
      <alignment vertical="center"/>
    </xf>
    <xf numFmtId="0" fontId="5" fillId="6" borderId="3" xfId="0" applyFont="1" applyFill="1" applyBorder="1">
      <alignment vertical="center"/>
    </xf>
    <xf numFmtId="178" fontId="5" fillId="6" borderId="3" xfId="1" applyNumberFormat="1" applyFont="1" applyFill="1" applyBorder="1">
      <alignment vertical="center"/>
    </xf>
    <xf numFmtId="176" fontId="0" fillId="8" borderId="0" xfId="0" applyNumberFormat="1" applyFill="1" applyAlignment="1">
      <alignment horizontal="right" vertical="center"/>
    </xf>
    <xf numFmtId="0" fontId="0" fillId="5" borderId="3" xfId="0" applyFill="1" applyBorder="1">
      <alignment vertical="center"/>
    </xf>
    <xf numFmtId="178" fontId="0" fillId="5" borderId="3" xfId="1" applyNumberFormat="1" applyFont="1" applyFill="1" applyBorder="1">
      <alignment vertical="center"/>
    </xf>
    <xf numFmtId="0" fontId="0" fillId="7" borderId="3" xfId="0" applyFill="1" applyBorder="1">
      <alignment vertical="center"/>
    </xf>
    <xf numFmtId="178" fontId="0" fillId="7" borderId="3" xfId="1" applyNumberFormat="1" applyFont="1" applyFill="1" applyBorder="1">
      <alignment vertical="center"/>
    </xf>
    <xf numFmtId="0" fontId="0" fillId="6" borderId="3" xfId="0" applyFill="1" applyBorder="1">
      <alignment vertical="center"/>
    </xf>
    <xf numFmtId="178" fontId="0" fillId="6" borderId="3" xfId="1" applyNumberFormat="1" applyFont="1" applyFill="1" applyBorder="1">
      <alignment vertical="center"/>
    </xf>
    <xf numFmtId="0" fontId="0" fillId="8" borderId="3" xfId="0" applyFill="1" applyBorder="1">
      <alignment vertical="center"/>
    </xf>
    <xf numFmtId="178" fontId="0" fillId="8" borderId="3" xfId="1" applyNumberFormat="1" applyFont="1" applyFill="1" applyBorder="1">
      <alignment vertical="center"/>
    </xf>
    <xf numFmtId="176" fontId="0" fillId="8" borderId="0" xfId="0" applyNumberFormat="1" applyFill="1" applyAlignment="1">
      <alignment horizontal="left" vertical="center"/>
    </xf>
    <xf numFmtId="178" fontId="7" fillId="8" borderId="0" xfId="1" applyNumberFormat="1" applyFont="1" applyFill="1" applyAlignment="1">
      <alignment horizontal="center"/>
    </xf>
    <xf numFmtId="0" fontId="0" fillId="9" borderId="0" xfId="0" applyFill="1">
      <alignment vertical="center"/>
    </xf>
    <xf numFmtId="178" fontId="0" fillId="9" borderId="0" xfId="1" applyNumberFormat="1" applyFont="1" applyFill="1">
      <alignment vertical="center"/>
    </xf>
    <xf numFmtId="0" fontId="0" fillId="10" borderId="0" xfId="0" applyFill="1">
      <alignment vertical="center"/>
    </xf>
    <xf numFmtId="178" fontId="0" fillId="10" borderId="0" xfId="1" applyNumberFormat="1" applyFont="1" applyFill="1">
      <alignment vertical="center"/>
    </xf>
    <xf numFmtId="0" fontId="4" fillId="4" borderId="3" xfId="0" applyFont="1" applyFill="1" applyBorder="1" applyAlignment="1">
      <alignment horizontal="center" vertical="center"/>
    </xf>
    <xf numFmtId="0" fontId="8" fillId="8" borderId="0" xfId="0" applyFont="1" applyFill="1">
      <alignment vertical="center"/>
    </xf>
    <xf numFmtId="178" fontId="6" fillId="8" borderId="0" xfId="1" applyNumberFormat="1" applyFont="1" applyFill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D80C18"/>
      <color rgb="FF0044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/>
              <a:t>资产端：持有债券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资产负债表!$M$3</c:f>
              <c:strCache>
                <c:ptCount val="1"/>
                <c:pt idx="0">
                  <c:v>1年以内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资产负债表!$I$17:$I$314</c:f>
              <c:numCache>
                <c:formatCode>yyyy\-mm\-dd</c:formatCode>
                <c:ptCount val="298"/>
                <c:pt idx="0">
                  <c:v>43922</c:v>
                </c:pt>
                <c:pt idx="1">
                  <c:v>43929</c:v>
                </c:pt>
                <c:pt idx="2">
                  <c:v>43936</c:v>
                </c:pt>
                <c:pt idx="3">
                  <c:v>43943</c:v>
                </c:pt>
                <c:pt idx="4">
                  <c:v>43950</c:v>
                </c:pt>
                <c:pt idx="5">
                  <c:v>43957</c:v>
                </c:pt>
                <c:pt idx="6">
                  <c:v>43964</c:v>
                </c:pt>
                <c:pt idx="7">
                  <c:v>43971</c:v>
                </c:pt>
                <c:pt idx="8">
                  <c:v>43978</c:v>
                </c:pt>
                <c:pt idx="9">
                  <c:v>43985</c:v>
                </c:pt>
                <c:pt idx="10">
                  <c:v>43992</c:v>
                </c:pt>
                <c:pt idx="11">
                  <c:v>43999</c:v>
                </c:pt>
                <c:pt idx="12">
                  <c:v>44006</c:v>
                </c:pt>
                <c:pt idx="13">
                  <c:v>44013</c:v>
                </c:pt>
                <c:pt idx="14">
                  <c:v>44020</c:v>
                </c:pt>
                <c:pt idx="15">
                  <c:v>44027</c:v>
                </c:pt>
                <c:pt idx="16">
                  <c:v>44034</c:v>
                </c:pt>
                <c:pt idx="17">
                  <c:v>44041</c:v>
                </c:pt>
                <c:pt idx="18">
                  <c:v>44048</c:v>
                </c:pt>
                <c:pt idx="19">
                  <c:v>44055</c:v>
                </c:pt>
                <c:pt idx="20">
                  <c:v>44062</c:v>
                </c:pt>
                <c:pt idx="21">
                  <c:v>44069</c:v>
                </c:pt>
                <c:pt idx="22">
                  <c:v>44076</c:v>
                </c:pt>
                <c:pt idx="23">
                  <c:v>44083</c:v>
                </c:pt>
                <c:pt idx="24">
                  <c:v>44090</c:v>
                </c:pt>
                <c:pt idx="25">
                  <c:v>44097</c:v>
                </c:pt>
                <c:pt idx="26">
                  <c:v>44104</c:v>
                </c:pt>
                <c:pt idx="27">
                  <c:v>44111</c:v>
                </c:pt>
                <c:pt idx="28">
                  <c:v>44118</c:v>
                </c:pt>
                <c:pt idx="29">
                  <c:v>44125</c:v>
                </c:pt>
                <c:pt idx="30">
                  <c:v>44132</c:v>
                </c:pt>
                <c:pt idx="31">
                  <c:v>44139</c:v>
                </c:pt>
                <c:pt idx="32">
                  <c:v>44146</c:v>
                </c:pt>
                <c:pt idx="33">
                  <c:v>44153</c:v>
                </c:pt>
                <c:pt idx="34">
                  <c:v>44160</c:v>
                </c:pt>
                <c:pt idx="35">
                  <c:v>44167</c:v>
                </c:pt>
                <c:pt idx="36">
                  <c:v>44174</c:v>
                </c:pt>
                <c:pt idx="37">
                  <c:v>44181</c:v>
                </c:pt>
                <c:pt idx="38">
                  <c:v>44188</c:v>
                </c:pt>
                <c:pt idx="39">
                  <c:v>44195</c:v>
                </c:pt>
                <c:pt idx="40">
                  <c:v>44202</c:v>
                </c:pt>
                <c:pt idx="41">
                  <c:v>44209</c:v>
                </c:pt>
                <c:pt idx="42">
                  <c:v>44216</c:v>
                </c:pt>
                <c:pt idx="43">
                  <c:v>44223</c:v>
                </c:pt>
                <c:pt idx="44">
                  <c:v>44230</c:v>
                </c:pt>
                <c:pt idx="45">
                  <c:v>44237</c:v>
                </c:pt>
                <c:pt idx="46">
                  <c:v>44244</c:v>
                </c:pt>
                <c:pt idx="47">
                  <c:v>44251</c:v>
                </c:pt>
                <c:pt idx="48">
                  <c:v>44258</c:v>
                </c:pt>
                <c:pt idx="49">
                  <c:v>44265</c:v>
                </c:pt>
                <c:pt idx="50">
                  <c:v>44272</c:v>
                </c:pt>
                <c:pt idx="51">
                  <c:v>44279</c:v>
                </c:pt>
                <c:pt idx="52">
                  <c:v>44286</c:v>
                </c:pt>
                <c:pt idx="53">
                  <c:v>44293</c:v>
                </c:pt>
                <c:pt idx="54">
                  <c:v>44300</c:v>
                </c:pt>
                <c:pt idx="55">
                  <c:v>44307</c:v>
                </c:pt>
                <c:pt idx="56">
                  <c:v>44314</c:v>
                </c:pt>
                <c:pt idx="57">
                  <c:v>44321</c:v>
                </c:pt>
                <c:pt idx="58">
                  <c:v>44328</c:v>
                </c:pt>
                <c:pt idx="59">
                  <c:v>44335</c:v>
                </c:pt>
                <c:pt idx="60">
                  <c:v>44342</c:v>
                </c:pt>
                <c:pt idx="61">
                  <c:v>44349</c:v>
                </c:pt>
                <c:pt idx="62">
                  <c:v>44356</c:v>
                </c:pt>
                <c:pt idx="63">
                  <c:v>44363</c:v>
                </c:pt>
                <c:pt idx="64">
                  <c:v>44370</c:v>
                </c:pt>
                <c:pt idx="65">
                  <c:v>44377</c:v>
                </c:pt>
                <c:pt idx="66">
                  <c:v>44384</c:v>
                </c:pt>
                <c:pt idx="67">
                  <c:v>44391</c:v>
                </c:pt>
                <c:pt idx="68">
                  <c:v>44398</c:v>
                </c:pt>
                <c:pt idx="69">
                  <c:v>44405</c:v>
                </c:pt>
                <c:pt idx="70">
                  <c:v>44412</c:v>
                </c:pt>
                <c:pt idx="71">
                  <c:v>44419</c:v>
                </c:pt>
                <c:pt idx="72">
                  <c:v>44426</c:v>
                </c:pt>
                <c:pt idx="73">
                  <c:v>44433</c:v>
                </c:pt>
                <c:pt idx="74">
                  <c:v>44440</c:v>
                </c:pt>
                <c:pt idx="75">
                  <c:v>44447</c:v>
                </c:pt>
                <c:pt idx="76">
                  <c:v>44454</c:v>
                </c:pt>
                <c:pt idx="77">
                  <c:v>44461</c:v>
                </c:pt>
                <c:pt idx="78">
                  <c:v>44468</c:v>
                </c:pt>
                <c:pt idx="79">
                  <c:v>44475</c:v>
                </c:pt>
                <c:pt idx="80">
                  <c:v>44482</c:v>
                </c:pt>
                <c:pt idx="81">
                  <c:v>44489</c:v>
                </c:pt>
                <c:pt idx="82">
                  <c:v>44496</c:v>
                </c:pt>
                <c:pt idx="83">
                  <c:v>44503</c:v>
                </c:pt>
                <c:pt idx="84">
                  <c:v>44510</c:v>
                </c:pt>
                <c:pt idx="85">
                  <c:v>44517</c:v>
                </c:pt>
                <c:pt idx="86">
                  <c:v>44524</c:v>
                </c:pt>
                <c:pt idx="87">
                  <c:v>44531</c:v>
                </c:pt>
                <c:pt idx="88">
                  <c:v>44538</c:v>
                </c:pt>
                <c:pt idx="89">
                  <c:v>44545</c:v>
                </c:pt>
                <c:pt idx="90">
                  <c:v>44552</c:v>
                </c:pt>
                <c:pt idx="91">
                  <c:v>44559</c:v>
                </c:pt>
                <c:pt idx="92">
                  <c:v>44566</c:v>
                </c:pt>
                <c:pt idx="93">
                  <c:v>44573</c:v>
                </c:pt>
                <c:pt idx="94">
                  <c:v>44580</c:v>
                </c:pt>
                <c:pt idx="95">
                  <c:v>44587</c:v>
                </c:pt>
                <c:pt idx="96">
                  <c:v>44594</c:v>
                </c:pt>
                <c:pt idx="97">
                  <c:v>44601</c:v>
                </c:pt>
                <c:pt idx="98">
                  <c:v>44608</c:v>
                </c:pt>
                <c:pt idx="99">
                  <c:v>44615</c:v>
                </c:pt>
                <c:pt idx="100">
                  <c:v>44622</c:v>
                </c:pt>
                <c:pt idx="101">
                  <c:v>44629</c:v>
                </c:pt>
                <c:pt idx="102">
                  <c:v>44636</c:v>
                </c:pt>
                <c:pt idx="103">
                  <c:v>44643</c:v>
                </c:pt>
                <c:pt idx="104">
                  <c:v>44650</c:v>
                </c:pt>
                <c:pt idx="105">
                  <c:v>44657</c:v>
                </c:pt>
                <c:pt idx="106">
                  <c:v>44664</c:v>
                </c:pt>
                <c:pt idx="107">
                  <c:v>44671</c:v>
                </c:pt>
                <c:pt idx="108">
                  <c:v>44678</c:v>
                </c:pt>
                <c:pt idx="109">
                  <c:v>44685</c:v>
                </c:pt>
                <c:pt idx="110">
                  <c:v>44692</c:v>
                </c:pt>
                <c:pt idx="111">
                  <c:v>44699</c:v>
                </c:pt>
                <c:pt idx="112">
                  <c:v>44706</c:v>
                </c:pt>
                <c:pt idx="113">
                  <c:v>44713</c:v>
                </c:pt>
                <c:pt idx="114">
                  <c:v>44720</c:v>
                </c:pt>
                <c:pt idx="115">
                  <c:v>44727</c:v>
                </c:pt>
                <c:pt idx="116">
                  <c:v>44734</c:v>
                </c:pt>
                <c:pt idx="117">
                  <c:v>44741</c:v>
                </c:pt>
                <c:pt idx="118">
                  <c:v>44748</c:v>
                </c:pt>
                <c:pt idx="119">
                  <c:v>44755</c:v>
                </c:pt>
                <c:pt idx="120">
                  <c:v>44762</c:v>
                </c:pt>
                <c:pt idx="121">
                  <c:v>44769</c:v>
                </c:pt>
                <c:pt idx="122">
                  <c:v>44776</c:v>
                </c:pt>
                <c:pt idx="123">
                  <c:v>44783</c:v>
                </c:pt>
                <c:pt idx="124">
                  <c:v>44790</c:v>
                </c:pt>
                <c:pt idx="125">
                  <c:v>44797</c:v>
                </c:pt>
                <c:pt idx="126">
                  <c:v>44804</c:v>
                </c:pt>
                <c:pt idx="127">
                  <c:v>44811</c:v>
                </c:pt>
                <c:pt idx="128">
                  <c:v>44818</c:v>
                </c:pt>
                <c:pt idx="129">
                  <c:v>44825</c:v>
                </c:pt>
                <c:pt idx="130">
                  <c:v>44832</c:v>
                </c:pt>
                <c:pt idx="131">
                  <c:v>44839</c:v>
                </c:pt>
                <c:pt idx="132">
                  <c:v>44846</c:v>
                </c:pt>
                <c:pt idx="133">
                  <c:v>44853</c:v>
                </c:pt>
                <c:pt idx="134">
                  <c:v>44860</c:v>
                </c:pt>
                <c:pt idx="135">
                  <c:v>44867</c:v>
                </c:pt>
                <c:pt idx="136">
                  <c:v>44874</c:v>
                </c:pt>
                <c:pt idx="137">
                  <c:v>44881</c:v>
                </c:pt>
                <c:pt idx="138">
                  <c:v>44888</c:v>
                </c:pt>
                <c:pt idx="139">
                  <c:v>44895</c:v>
                </c:pt>
                <c:pt idx="140">
                  <c:v>44902</c:v>
                </c:pt>
                <c:pt idx="141">
                  <c:v>44909</c:v>
                </c:pt>
                <c:pt idx="142">
                  <c:v>44916</c:v>
                </c:pt>
                <c:pt idx="143">
                  <c:v>44923</c:v>
                </c:pt>
                <c:pt idx="144">
                  <c:v>44930</c:v>
                </c:pt>
                <c:pt idx="145">
                  <c:v>44937</c:v>
                </c:pt>
                <c:pt idx="146">
                  <c:v>44944</c:v>
                </c:pt>
                <c:pt idx="147">
                  <c:v>44951</c:v>
                </c:pt>
                <c:pt idx="148">
                  <c:v>44958</c:v>
                </c:pt>
                <c:pt idx="149">
                  <c:v>44965</c:v>
                </c:pt>
                <c:pt idx="150">
                  <c:v>44972</c:v>
                </c:pt>
                <c:pt idx="151">
                  <c:v>44979</c:v>
                </c:pt>
                <c:pt idx="152">
                  <c:v>44986</c:v>
                </c:pt>
                <c:pt idx="153">
                  <c:v>44993</c:v>
                </c:pt>
                <c:pt idx="154">
                  <c:v>45000</c:v>
                </c:pt>
                <c:pt idx="155">
                  <c:v>45007</c:v>
                </c:pt>
                <c:pt idx="156">
                  <c:v>45014</c:v>
                </c:pt>
                <c:pt idx="157">
                  <c:v>45021</c:v>
                </c:pt>
                <c:pt idx="158">
                  <c:v>45028</c:v>
                </c:pt>
                <c:pt idx="159">
                  <c:v>45035</c:v>
                </c:pt>
                <c:pt idx="160">
                  <c:v>45042</c:v>
                </c:pt>
                <c:pt idx="161">
                  <c:v>45049</c:v>
                </c:pt>
                <c:pt idx="162">
                  <c:v>45056</c:v>
                </c:pt>
                <c:pt idx="163">
                  <c:v>45063</c:v>
                </c:pt>
                <c:pt idx="164">
                  <c:v>45070</c:v>
                </c:pt>
                <c:pt idx="165">
                  <c:v>45077</c:v>
                </c:pt>
                <c:pt idx="166">
                  <c:v>45084</c:v>
                </c:pt>
                <c:pt idx="167">
                  <c:v>45091</c:v>
                </c:pt>
                <c:pt idx="168">
                  <c:v>45098</c:v>
                </c:pt>
                <c:pt idx="169">
                  <c:v>45105</c:v>
                </c:pt>
                <c:pt idx="170">
                  <c:v>45112</c:v>
                </c:pt>
                <c:pt idx="171">
                  <c:v>45119</c:v>
                </c:pt>
                <c:pt idx="172">
                  <c:v>45126</c:v>
                </c:pt>
                <c:pt idx="173">
                  <c:v>45133</c:v>
                </c:pt>
                <c:pt idx="174">
                  <c:v>45140</c:v>
                </c:pt>
                <c:pt idx="175">
                  <c:v>45147</c:v>
                </c:pt>
                <c:pt idx="176">
                  <c:v>45154</c:v>
                </c:pt>
                <c:pt idx="177">
                  <c:v>45161</c:v>
                </c:pt>
                <c:pt idx="178">
                  <c:v>45168</c:v>
                </c:pt>
                <c:pt idx="179">
                  <c:v>45175</c:v>
                </c:pt>
                <c:pt idx="180">
                  <c:v>45182</c:v>
                </c:pt>
                <c:pt idx="181">
                  <c:v>45189</c:v>
                </c:pt>
                <c:pt idx="182">
                  <c:v>45196</c:v>
                </c:pt>
                <c:pt idx="183">
                  <c:v>45203</c:v>
                </c:pt>
                <c:pt idx="184">
                  <c:v>45210</c:v>
                </c:pt>
                <c:pt idx="185">
                  <c:v>45217</c:v>
                </c:pt>
                <c:pt idx="186">
                  <c:v>45224</c:v>
                </c:pt>
                <c:pt idx="187">
                  <c:v>45231</c:v>
                </c:pt>
                <c:pt idx="188">
                  <c:v>45238</c:v>
                </c:pt>
                <c:pt idx="189">
                  <c:v>45245</c:v>
                </c:pt>
                <c:pt idx="190">
                  <c:v>45252</c:v>
                </c:pt>
                <c:pt idx="191">
                  <c:v>45259</c:v>
                </c:pt>
                <c:pt idx="192">
                  <c:v>45266</c:v>
                </c:pt>
                <c:pt idx="193">
                  <c:v>45273</c:v>
                </c:pt>
                <c:pt idx="194">
                  <c:v>45280</c:v>
                </c:pt>
                <c:pt idx="195">
                  <c:v>45287</c:v>
                </c:pt>
                <c:pt idx="196">
                  <c:v>45294</c:v>
                </c:pt>
                <c:pt idx="197">
                  <c:v>45301</c:v>
                </c:pt>
                <c:pt idx="198">
                  <c:v>45308</c:v>
                </c:pt>
                <c:pt idx="199">
                  <c:v>45315</c:v>
                </c:pt>
                <c:pt idx="200">
                  <c:v>45322</c:v>
                </c:pt>
                <c:pt idx="201">
                  <c:v>45329</c:v>
                </c:pt>
                <c:pt idx="202">
                  <c:v>45336</c:v>
                </c:pt>
                <c:pt idx="203">
                  <c:v>45343</c:v>
                </c:pt>
                <c:pt idx="204">
                  <c:v>45350</c:v>
                </c:pt>
                <c:pt idx="205">
                  <c:v>45357</c:v>
                </c:pt>
                <c:pt idx="206">
                  <c:v>45364</c:v>
                </c:pt>
                <c:pt idx="207">
                  <c:v>45371</c:v>
                </c:pt>
                <c:pt idx="208">
                  <c:v>45378</c:v>
                </c:pt>
                <c:pt idx="209">
                  <c:v>45385</c:v>
                </c:pt>
                <c:pt idx="210">
                  <c:v>45392</c:v>
                </c:pt>
                <c:pt idx="211">
                  <c:v>45399</c:v>
                </c:pt>
                <c:pt idx="212">
                  <c:v>45406</c:v>
                </c:pt>
                <c:pt idx="213">
                  <c:v>45413</c:v>
                </c:pt>
                <c:pt idx="214">
                  <c:v>45420</c:v>
                </c:pt>
                <c:pt idx="215">
                  <c:v>45427</c:v>
                </c:pt>
                <c:pt idx="216">
                  <c:v>45434</c:v>
                </c:pt>
                <c:pt idx="217">
                  <c:v>45441</c:v>
                </c:pt>
                <c:pt idx="218">
                  <c:v>45448</c:v>
                </c:pt>
                <c:pt idx="219">
                  <c:v>45455</c:v>
                </c:pt>
                <c:pt idx="220">
                  <c:v>45462</c:v>
                </c:pt>
                <c:pt idx="221">
                  <c:v>45469</c:v>
                </c:pt>
                <c:pt idx="222">
                  <c:v>45476</c:v>
                </c:pt>
                <c:pt idx="223">
                  <c:v>45483</c:v>
                </c:pt>
                <c:pt idx="224">
                  <c:v>45490</c:v>
                </c:pt>
                <c:pt idx="225">
                  <c:v>45497</c:v>
                </c:pt>
                <c:pt idx="226">
                  <c:v>45504</c:v>
                </c:pt>
                <c:pt idx="227">
                  <c:v>45511</c:v>
                </c:pt>
                <c:pt idx="228">
                  <c:v>45518</c:v>
                </c:pt>
                <c:pt idx="229">
                  <c:v>45525</c:v>
                </c:pt>
                <c:pt idx="230">
                  <c:v>45532</c:v>
                </c:pt>
                <c:pt idx="231">
                  <c:v>45539</c:v>
                </c:pt>
                <c:pt idx="232">
                  <c:v>45546</c:v>
                </c:pt>
                <c:pt idx="233">
                  <c:v>45553</c:v>
                </c:pt>
                <c:pt idx="234">
                  <c:v>45560</c:v>
                </c:pt>
                <c:pt idx="235">
                  <c:v>45567</c:v>
                </c:pt>
                <c:pt idx="236">
                  <c:v>45574</c:v>
                </c:pt>
                <c:pt idx="237">
                  <c:v>45581</c:v>
                </c:pt>
                <c:pt idx="238">
                  <c:v>45588</c:v>
                </c:pt>
                <c:pt idx="239">
                  <c:v>45595</c:v>
                </c:pt>
                <c:pt idx="240">
                  <c:v>45602</c:v>
                </c:pt>
                <c:pt idx="241">
                  <c:v>45609</c:v>
                </c:pt>
                <c:pt idx="242">
                  <c:v>45616</c:v>
                </c:pt>
                <c:pt idx="243">
                  <c:v>45623</c:v>
                </c:pt>
                <c:pt idx="244">
                  <c:v>45630</c:v>
                </c:pt>
                <c:pt idx="245">
                  <c:v>45637</c:v>
                </c:pt>
                <c:pt idx="246">
                  <c:v>45644</c:v>
                </c:pt>
                <c:pt idx="247">
                  <c:v>45651</c:v>
                </c:pt>
                <c:pt idx="248">
                  <c:v>45658</c:v>
                </c:pt>
                <c:pt idx="249">
                  <c:v>45665</c:v>
                </c:pt>
                <c:pt idx="250">
                  <c:v>45672</c:v>
                </c:pt>
                <c:pt idx="251">
                  <c:v>45679</c:v>
                </c:pt>
                <c:pt idx="252">
                  <c:v>45686</c:v>
                </c:pt>
                <c:pt idx="253">
                  <c:v>45693</c:v>
                </c:pt>
                <c:pt idx="254">
                  <c:v>45700</c:v>
                </c:pt>
                <c:pt idx="255">
                  <c:v>45707</c:v>
                </c:pt>
                <c:pt idx="256">
                  <c:v>45714</c:v>
                </c:pt>
                <c:pt idx="257">
                  <c:v>45721</c:v>
                </c:pt>
                <c:pt idx="258">
                  <c:v>45728</c:v>
                </c:pt>
                <c:pt idx="259">
                  <c:v>45735</c:v>
                </c:pt>
                <c:pt idx="260">
                  <c:v>45742</c:v>
                </c:pt>
                <c:pt idx="261">
                  <c:v>45749</c:v>
                </c:pt>
                <c:pt idx="262">
                  <c:v>45756</c:v>
                </c:pt>
                <c:pt idx="263">
                  <c:v>45763</c:v>
                </c:pt>
                <c:pt idx="264">
                  <c:v>45770</c:v>
                </c:pt>
                <c:pt idx="265">
                  <c:v>45777</c:v>
                </c:pt>
                <c:pt idx="266">
                  <c:v>45784</c:v>
                </c:pt>
                <c:pt idx="267">
                  <c:v>45791</c:v>
                </c:pt>
                <c:pt idx="268">
                  <c:v>45798</c:v>
                </c:pt>
                <c:pt idx="269">
                  <c:v>45805</c:v>
                </c:pt>
                <c:pt idx="270">
                  <c:v>45812</c:v>
                </c:pt>
                <c:pt idx="271">
                  <c:v>45819</c:v>
                </c:pt>
                <c:pt idx="272">
                  <c:v>45826</c:v>
                </c:pt>
                <c:pt idx="273">
                  <c:v>45833</c:v>
                </c:pt>
                <c:pt idx="274">
                  <c:v>45840</c:v>
                </c:pt>
                <c:pt idx="275">
                  <c:v>45847</c:v>
                </c:pt>
                <c:pt idx="276">
                  <c:v>45854</c:v>
                </c:pt>
                <c:pt idx="277">
                  <c:v>45861</c:v>
                </c:pt>
                <c:pt idx="278">
                  <c:v>45868</c:v>
                </c:pt>
                <c:pt idx="279">
                  <c:v>45875</c:v>
                </c:pt>
                <c:pt idx="280">
                  <c:v>45882</c:v>
                </c:pt>
                <c:pt idx="281">
                  <c:v>45889</c:v>
                </c:pt>
                <c:pt idx="282">
                  <c:v>45896</c:v>
                </c:pt>
                <c:pt idx="283">
                  <c:v>45903</c:v>
                </c:pt>
                <c:pt idx="284">
                  <c:v>45910</c:v>
                </c:pt>
                <c:pt idx="285">
                  <c:v>45917</c:v>
                </c:pt>
                <c:pt idx="286">
                  <c:v>45924</c:v>
                </c:pt>
                <c:pt idx="287">
                  <c:v>45931</c:v>
                </c:pt>
                <c:pt idx="288">
                  <c:v>45938</c:v>
                </c:pt>
                <c:pt idx="289">
                  <c:v>45945</c:v>
                </c:pt>
                <c:pt idx="290">
                  <c:v>45952</c:v>
                </c:pt>
                <c:pt idx="291">
                  <c:v>45959</c:v>
                </c:pt>
                <c:pt idx="292">
                  <c:v>45966</c:v>
                </c:pt>
                <c:pt idx="293">
                  <c:v>45973</c:v>
                </c:pt>
                <c:pt idx="294">
                  <c:v>45980</c:v>
                </c:pt>
                <c:pt idx="295">
                  <c:v>45987</c:v>
                </c:pt>
                <c:pt idx="296">
                  <c:v>45994</c:v>
                </c:pt>
                <c:pt idx="297">
                  <c:v>46001</c:v>
                </c:pt>
              </c:numCache>
            </c:numRef>
          </c:cat>
          <c:val>
            <c:numRef>
              <c:f>资产负债表!$M$17:$M$314</c:f>
              <c:numCache>
                <c:formatCode>General</c:formatCode>
                <c:ptCount val="298"/>
                <c:pt idx="0">
                  <c:v>7373.1</c:v>
                </c:pt>
                <c:pt idx="1">
                  <c:v>7811.16</c:v>
                </c:pt>
                <c:pt idx="2">
                  <c:v>8112.8</c:v>
                </c:pt>
                <c:pt idx="3">
                  <c:v>8306.5300000000007</c:v>
                </c:pt>
                <c:pt idx="4">
                  <c:v>8409.7099999999991</c:v>
                </c:pt>
                <c:pt idx="5">
                  <c:v>8769.1299999999992</c:v>
                </c:pt>
                <c:pt idx="6">
                  <c:v>8817.85</c:v>
                </c:pt>
                <c:pt idx="7">
                  <c:v>8988.77</c:v>
                </c:pt>
                <c:pt idx="8">
                  <c:v>8988.67</c:v>
                </c:pt>
                <c:pt idx="9">
                  <c:v>9224.49</c:v>
                </c:pt>
                <c:pt idx="10">
                  <c:v>9224.18</c:v>
                </c:pt>
                <c:pt idx="11">
                  <c:v>9344.02</c:v>
                </c:pt>
                <c:pt idx="12">
                  <c:v>9434.58</c:v>
                </c:pt>
                <c:pt idx="13">
                  <c:v>9507.51</c:v>
                </c:pt>
                <c:pt idx="14">
                  <c:v>9542.42</c:v>
                </c:pt>
                <c:pt idx="15">
                  <c:v>9716.59</c:v>
                </c:pt>
                <c:pt idx="16">
                  <c:v>9716.58</c:v>
                </c:pt>
                <c:pt idx="17">
                  <c:v>9755.0499999999993</c:v>
                </c:pt>
                <c:pt idx="18">
                  <c:v>9716.66</c:v>
                </c:pt>
                <c:pt idx="19">
                  <c:v>9716.9500000000007</c:v>
                </c:pt>
                <c:pt idx="20">
                  <c:v>9650.8700000000008</c:v>
                </c:pt>
                <c:pt idx="21">
                  <c:v>9651.18</c:v>
                </c:pt>
                <c:pt idx="22">
                  <c:v>9783.82</c:v>
                </c:pt>
                <c:pt idx="23">
                  <c:v>9784.11</c:v>
                </c:pt>
                <c:pt idx="24">
                  <c:v>9853.8799999999992</c:v>
                </c:pt>
                <c:pt idx="25">
                  <c:v>9921.82</c:v>
                </c:pt>
                <c:pt idx="26">
                  <c:v>9892.99</c:v>
                </c:pt>
                <c:pt idx="27">
                  <c:v>9903.84</c:v>
                </c:pt>
                <c:pt idx="28">
                  <c:v>9904.02</c:v>
                </c:pt>
                <c:pt idx="29">
                  <c:v>10008.65</c:v>
                </c:pt>
                <c:pt idx="30">
                  <c:v>10008.83</c:v>
                </c:pt>
                <c:pt idx="31">
                  <c:v>9981.68</c:v>
                </c:pt>
                <c:pt idx="32">
                  <c:v>9994.73</c:v>
                </c:pt>
                <c:pt idx="33">
                  <c:v>10341.36</c:v>
                </c:pt>
                <c:pt idx="34">
                  <c:v>10384.49</c:v>
                </c:pt>
                <c:pt idx="35">
                  <c:v>10234.74</c:v>
                </c:pt>
                <c:pt idx="36">
                  <c:v>10234.76</c:v>
                </c:pt>
                <c:pt idx="37">
                  <c:v>10375.59</c:v>
                </c:pt>
                <c:pt idx="38">
                  <c:v>10395.18</c:v>
                </c:pt>
                <c:pt idx="39">
                  <c:v>10395.200000000001</c:v>
                </c:pt>
                <c:pt idx="40">
                  <c:v>10341.86</c:v>
                </c:pt>
                <c:pt idx="41">
                  <c:v>10370.82</c:v>
                </c:pt>
                <c:pt idx="42">
                  <c:v>10437.99</c:v>
                </c:pt>
                <c:pt idx="43">
                  <c:v>10437.94</c:v>
                </c:pt>
                <c:pt idx="44">
                  <c:v>10421.89</c:v>
                </c:pt>
                <c:pt idx="45">
                  <c:v>10441.459999999999</c:v>
                </c:pt>
                <c:pt idx="46">
                  <c:v>10622.63</c:v>
                </c:pt>
                <c:pt idx="47">
                  <c:v>10622.71</c:v>
                </c:pt>
                <c:pt idx="48">
                  <c:v>10459.040000000001</c:v>
                </c:pt>
                <c:pt idx="49">
                  <c:v>10459.32</c:v>
                </c:pt>
                <c:pt idx="50">
                  <c:v>10551.15</c:v>
                </c:pt>
                <c:pt idx="51">
                  <c:v>10551.44</c:v>
                </c:pt>
                <c:pt idx="52">
                  <c:v>10444.120000000001</c:v>
                </c:pt>
                <c:pt idx="53">
                  <c:v>10502.55</c:v>
                </c:pt>
                <c:pt idx="54">
                  <c:v>10502.93</c:v>
                </c:pt>
                <c:pt idx="55">
                  <c:v>10561.57</c:v>
                </c:pt>
                <c:pt idx="56">
                  <c:v>10561.97</c:v>
                </c:pt>
                <c:pt idx="57">
                  <c:v>10334.17</c:v>
                </c:pt>
                <c:pt idx="58">
                  <c:v>10334.66</c:v>
                </c:pt>
                <c:pt idx="59">
                  <c:v>10395.89</c:v>
                </c:pt>
                <c:pt idx="60">
                  <c:v>10396.4</c:v>
                </c:pt>
                <c:pt idx="61">
                  <c:v>10224.73</c:v>
                </c:pt>
                <c:pt idx="62">
                  <c:v>10225.32</c:v>
                </c:pt>
                <c:pt idx="63">
                  <c:v>10276.64</c:v>
                </c:pt>
                <c:pt idx="64">
                  <c:v>10277.24</c:v>
                </c:pt>
                <c:pt idx="65">
                  <c:v>10246.35</c:v>
                </c:pt>
                <c:pt idx="66">
                  <c:v>10305.129999999999</c:v>
                </c:pt>
                <c:pt idx="67">
                  <c:v>10305.69</c:v>
                </c:pt>
                <c:pt idx="68">
                  <c:v>10382.07</c:v>
                </c:pt>
                <c:pt idx="69">
                  <c:v>10382.65</c:v>
                </c:pt>
                <c:pt idx="70">
                  <c:v>10438.780000000001</c:v>
                </c:pt>
                <c:pt idx="71">
                  <c:v>10440.81</c:v>
                </c:pt>
                <c:pt idx="72">
                  <c:v>10741.03</c:v>
                </c:pt>
                <c:pt idx="73">
                  <c:v>10741.71</c:v>
                </c:pt>
                <c:pt idx="74">
                  <c:v>10713.5</c:v>
                </c:pt>
                <c:pt idx="75">
                  <c:v>10713.86</c:v>
                </c:pt>
                <c:pt idx="76">
                  <c:v>10683.03</c:v>
                </c:pt>
                <c:pt idx="77">
                  <c:v>10755.52</c:v>
                </c:pt>
                <c:pt idx="78">
                  <c:v>10755.88</c:v>
                </c:pt>
                <c:pt idx="79">
                  <c:v>10823.36</c:v>
                </c:pt>
                <c:pt idx="80">
                  <c:v>10833.17</c:v>
                </c:pt>
                <c:pt idx="81">
                  <c:v>10924.58</c:v>
                </c:pt>
                <c:pt idx="82">
                  <c:v>10924.72</c:v>
                </c:pt>
                <c:pt idx="83">
                  <c:v>11030.98</c:v>
                </c:pt>
                <c:pt idx="84">
                  <c:v>11031.23</c:v>
                </c:pt>
                <c:pt idx="85">
                  <c:v>11088.84</c:v>
                </c:pt>
                <c:pt idx="86">
                  <c:v>11089.08</c:v>
                </c:pt>
                <c:pt idx="87">
                  <c:v>11213.04</c:v>
                </c:pt>
                <c:pt idx="88">
                  <c:v>11213.65</c:v>
                </c:pt>
                <c:pt idx="89">
                  <c:v>11239.7</c:v>
                </c:pt>
                <c:pt idx="90">
                  <c:v>11240.31</c:v>
                </c:pt>
                <c:pt idx="91">
                  <c:v>11240.94</c:v>
                </c:pt>
                <c:pt idx="92">
                  <c:v>11338.16</c:v>
                </c:pt>
                <c:pt idx="93">
                  <c:v>11350.07</c:v>
                </c:pt>
                <c:pt idx="94">
                  <c:v>11357.97</c:v>
                </c:pt>
                <c:pt idx="95">
                  <c:v>11397.4</c:v>
                </c:pt>
                <c:pt idx="96">
                  <c:v>11431.57</c:v>
                </c:pt>
                <c:pt idx="97">
                  <c:v>11431.77</c:v>
                </c:pt>
                <c:pt idx="98">
                  <c:v>11462.16</c:v>
                </c:pt>
                <c:pt idx="99">
                  <c:v>11462.36</c:v>
                </c:pt>
                <c:pt idx="100">
                  <c:v>11772.02</c:v>
                </c:pt>
                <c:pt idx="101">
                  <c:v>11772.51</c:v>
                </c:pt>
                <c:pt idx="102">
                  <c:v>11672.72</c:v>
                </c:pt>
                <c:pt idx="103">
                  <c:v>11673.22</c:v>
                </c:pt>
                <c:pt idx="104">
                  <c:v>11673.71</c:v>
                </c:pt>
                <c:pt idx="105">
                  <c:v>11831.25</c:v>
                </c:pt>
                <c:pt idx="106">
                  <c:v>11831.81</c:v>
                </c:pt>
                <c:pt idx="107">
                  <c:v>11807.85</c:v>
                </c:pt>
                <c:pt idx="108">
                  <c:v>11808.45</c:v>
                </c:pt>
                <c:pt idx="109">
                  <c:v>12145.89</c:v>
                </c:pt>
                <c:pt idx="110">
                  <c:v>12146.74</c:v>
                </c:pt>
                <c:pt idx="111">
                  <c:v>11976.65</c:v>
                </c:pt>
                <c:pt idx="112">
                  <c:v>11977.5</c:v>
                </c:pt>
                <c:pt idx="113">
                  <c:v>12318.58</c:v>
                </c:pt>
                <c:pt idx="114">
                  <c:v>12318.96</c:v>
                </c:pt>
                <c:pt idx="115">
                  <c:v>12291.91</c:v>
                </c:pt>
                <c:pt idx="116">
                  <c:v>12292.29</c:v>
                </c:pt>
                <c:pt idx="117">
                  <c:v>12292.67</c:v>
                </c:pt>
                <c:pt idx="118">
                  <c:v>12320.97</c:v>
                </c:pt>
                <c:pt idx="119">
                  <c:v>12321.68</c:v>
                </c:pt>
                <c:pt idx="120">
                  <c:v>12249.43</c:v>
                </c:pt>
                <c:pt idx="121">
                  <c:v>12249.96</c:v>
                </c:pt>
                <c:pt idx="122">
                  <c:v>12255.96</c:v>
                </c:pt>
                <c:pt idx="123">
                  <c:v>12256.62</c:v>
                </c:pt>
                <c:pt idx="124">
                  <c:v>12220.79</c:v>
                </c:pt>
                <c:pt idx="125">
                  <c:v>12221.45</c:v>
                </c:pt>
                <c:pt idx="126">
                  <c:v>12287.09</c:v>
                </c:pt>
                <c:pt idx="127">
                  <c:v>12244.86</c:v>
                </c:pt>
                <c:pt idx="128">
                  <c:v>12207.69</c:v>
                </c:pt>
                <c:pt idx="129">
                  <c:v>12245.89</c:v>
                </c:pt>
                <c:pt idx="130">
                  <c:v>12225.3</c:v>
                </c:pt>
                <c:pt idx="131">
                  <c:v>12071.2</c:v>
                </c:pt>
                <c:pt idx="132">
                  <c:v>12030.71</c:v>
                </c:pt>
                <c:pt idx="133">
                  <c:v>11991.1</c:v>
                </c:pt>
                <c:pt idx="134">
                  <c:v>11959.2</c:v>
                </c:pt>
                <c:pt idx="135">
                  <c:v>12006.09</c:v>
                </c:pt>
                <c:pt idx="136">
                  <c:v>12006.21</c:v>
                </c:pt>
                <c:pt idx="137">
                  <c:v>11591.76</c:v>
                </c:pt>
                <c:pt idx="138">
                  <c:v>11591.88</c:v>
                </c:pt>
                <c:pt idx="139">
                  <c:v>11548.74</c:v>
                </c:pt>
                <c:pt idx="140">
                  <c:v>11529.69</c:v>
                </c:pt>
                <c:pt idx="141">
                  <c:v>11518.08</c:v>
                </c:pt>
                <c:pt idx="142">
                  <c:v>11527.61</c:v>
                </c:pt>
                <c:pt idx="143">
                  <c:v>11521.46</c:v>
                </c:pt>
                <c:pt idx="144">
                  <c:v>11404.76</c:v>
                </c:pt>
                <c:pt idx="145">
                  <c:v>11392.57</c:v>
                </c:pt>
                <c:pt idx="146">
                  <c:v>11453.46</c:v>
                </c:pt>
                <c:pt idx="147">
                  <c:v>11443.08</c:v>
                </c:pt>
                <c:pt idx="148">
                  <c:v>11337.44</c:v>
                </c:pt>
                <c:pt idx="149">
                  <c:v>11337.25</c:v>
                </c:pt>
                <c:pt idx="150">
                  <c:v>11040.5</c:v>
                </c:pt>
                <c:pt idx="151">
                  <c:v>11040.31</c:v>
                </c:pt>
                <c:pt idx="152">
                  <c:v>10807.85</c:v>
                </c:pt>
                <c:pt idx="153">
                  <c:v>10797.7</c:v>
                </c:pt>
                <c:pt idx="154">
                  <c:v>10719.32</c:v>
                </c:pt>
                <c:pt idx="155">
                  <c:v>10764.82</c:v>
                </c:pt>
                <c:pt idx="156">
                  <c:v>10759.95</c:v>
                </c:pt>
                <c:pt idx="157">
                  <c:v>10657.94</c:v>
                </c:pt>
                <c:pt idx="158">
                  <c:v>10658.28</c:v>
                </c:pt>
                <c:pt idx="159">
                  <c:v>10826.07</c:v>
                </c:pt>
                <c:pt idx="160">
                  <c:v>10826.39</c:v>
                </c:pt>
                <c:pt idx="161">
                  <c:v>10476.69</c:v>
                </c:pt>
                <c:pt idx="162">
                  <c:v>10477.629999999999</c:v>
                </c:pt>
                <c:pt idx="163">
                  <c:v>10397.290000000001</c:v>
                </c:pt>
                <c:pt idx="164">
                  <c:v>10397.469999999999</c:v>
                </c:pt>
                <c:pt idx="165">
                  <c:v>9804.83</c:v>
                </c:pt>
                <c:pt idx="166">
                  <c:v>10206.879999999999</c:v>
                </c:pt>
                <c:pt idx="167">
                  <c:v>10185.86</c:v>
                </c:pt>
                <c:pt idx="168">
                  <c:v>10163.31</c:v>
                </c:pt>
                <c:pt idx="169">
                  <c:v>10151.959999999999</c:v>
                </c:pt>
                <c:pt idx="170">
                  <c:v>9990.51</c:v>
                </c:pt>
                <c:pt idx="171">
                  <c:v>9966.81</c:v>
                </c:pt>
                <c:pt idx="172">
                  <c:v>10088.209999999999</c:v>
                </c:pt>
                <c:pt idx="173">
                  <c:v>10065.14</c:v>
                </c:pt>
                <c:pt idx="174">
                  <c:v>9970.5300000000007</c:v>
                </c:pt>
                <c:pt idx="175">
                  <c:v>9970.75</c:v>
                </c:pt>
                <c:pt idx="176">
                  <c:v>9546.84</c:v>
                </c:pt>
                <c:pt idx="177">
                  <c:v>9547.07</c:v>
                </c:pt>
                <c:pt idx="178">
                  <c:v>9547.2800000000007</c:v>
                </c:pt>
                <c:pt idx="179">
                  <c:v>9462.49</c:v>
                </c:pt>
                <c:pt idx="180">
                  <c:v>9400.83</c:v>
                </c:pt>
                <c:pt idx="181">
                  <c:v>9244.16</c:v>
                </c:pt>
                <c:pt idx="182">
                  <c:v>9216.2000000000007</c:v>
                </c:pt>
                <c:pt idx="183">
                  <c:v>9178.17</c:v>
                </c:pt>
                <c:pt idx="184">
                  <c:v>9154.74</c:v>
                </c:pt>
                <c:pt idx="185">
                  <c:v>9084.86</c:v>
                </c:pt>
                <c:pt idx="186">
                  <c:v>9067.93</c:v>
                </c:pt>
                <c:pt idx="187">
                  <c:v>8889.7199999999993</c:v>
                </c:pt>
                <c:pt idx="188">
                  <c:v>8889.93</c:v>
                </c:pt>
                <c:pt idx="189">
                  <c:v>8563.6299999999992</c:v>
                </c:pt>
                <c:pt idx="190">
                  <c:v>9040.59</c:v>
                </c:pt>
                <c:pt idx="191">
                  <c:v>9040.77</c:v>
                </c:pt>
                <c:pt idx="192">
                  <c:v>8928.9599999999991</c:v>
                </c:pt>
                <c:pt idx="193">
                  <c:v>8898.49</c:v>
                </c:pt>
                <c:pt idx="194">
                  <c:v>8803.69</c:v>
                </c:pt>
                <c:pt idx="195">
                  <c:v>8786.27</c:v>
                </c:pt>
                <c:pt idx="196">
                  <c:v>8615.52</c:v>
                </c:pt>
                <c:pt idx="197">
                  <c:v>8599.3799999999992</c:v>
                </c:pt>
                <c:pt idx="198">
                  <c:v>8743.25</c:v>
                </c:pt>
                <c:pt idx="199">
                  <c:v>8727.9</c:v>
                </c:pt>
                <c:pt idx="200">
                  <c:v>8433.9699999999993</c:v>
                </c:pt>
                <c:pt idx="201">
                  <c:v>8656.2099999999991</c:v>
                </c:pt>
                <c:pt idx="202">
                  <c:v>8656.06</c:v>
                </c:pt>
                <c:pt idx="203">
                  <c:v>8747.9</c:v>
                </c:pt>
                <c:pt idx="204">
                  <c:v>8747.76</c:v>
                </c:pt>
                <c:pt idx="205">
                  <c:v>8703.81</c:v>
                </c:pt>
                <c:pt idx="206">
                  <c:v>8669.7199999999993</c:v>
                </c:pt>
                <c:pt idx="207">
                  <c:v>8661.17</c:v>
                </c:pt>
                <c:pt idx="208">
                  <c:v>8632.57</c:v>
                </c:pt>
                <c:pt idx="209">
                  <c:v>8450.65</c:v>
                </c:pt>
                <c:pt idx="210">
                  <c:v>8451.5400000000009</c:v>
                </c:pt>
                <c:pt idx="211">
                  <c:v>8281.0300000000007</c:v>
                </c:pt>
                <c:pt idx="212">
                  <c:v>8281.89</c:v>
                </c:pt>
                <c:pt idx="213">
                  <c:v>8239.39</c:v>
                </c:pt>
                <c:pt idx="214">
                  <c:v>8241.02</c:v>
                </c:pt>
                <c:pt idx="215">
                  <c:v>8244.14</c:v>
                </c:pt>
                <c:pt idx="216">
                  <c:v>8245</c:v>
                </c:pt>
                <c:pt idx="217">
                  <c:v>8245.8799999999992</c:v>
                </c:pt>
                <c:pt idx="218">
                  <c:v>8106.56</c:v>
                </c:pt>
                <c:pt idx="219">
                  <c:v>8107.12</c:v>
                </c:pt>
                <c:pt idx="220">
                  <c:v>8004.88</c:v>
                </c:pt>
                <c:pt idx="221">
                  <c:v>8006.18</c:v>
                </c:pt>
                <c:pt idx="222">
                  <c:v>8041.99</c:v>
                </c:pt>
                <c:pt idx="223">
                  <c:v>8042.18</c:v>
                </c:pt>
                <c:pt idx="224">
                  <c:v>7863</c:v>
                </c:pt>
                <c:pt idx="225">
                  <c:v>7863.22</c:v>
                </c:pt>
                <c:pt idx="226">
                  <c:v>7820.95</c:v>
                </c:pt>
                <c:pt idx="227">
                  <c:v>7821</c:v>
                </c:pt>
                <c:pt idx="228">
                  <c:v>7821.05</c:v>
                </c:pt>
                <c:pt idx="229">
                  <c:v>7889.42</c:v>
                </c:pt>
                <c:pt idx="230">
                  <c:v>7889.46</c:v>
                </c:pt>
                <c:pt idx="231">
                  <c:v>7889.68</c:v>
                </c:pt>
                <c:pt idx="232">
                  <c:v>7889.85</c:v>
                </c:pt>
                <c:pt idx="233">
                  <c:v>7827.27</c:v>
                </c:pt>
                <c:pt idx="234">
                  <c:v>7827.44</c:v>
                </c:pt>
                <c:pt idx="235">
                  <c:v>7753.7</c:v>
                </c:pt>
                <c:pt idx="236">
                  <c:v>7753.82</c:v>
                </c:pt>
                <c:pt idx="237">
                  <c:v>7695.74</c:v>
                </c:pt>
                <c:pt idx="238">
                  <c:v>7695.84</c:v>
                </c:pt>
                <c:pt idx="239">
                  <c:v>7695.95</c:v>
                </c:pt>
                <c:pt idx="240">
                  <c:v>7661.83</c:v>
                </c:pt>
                <c:pt idx="241">
                  <c:v>7662.05</c:v>
                </c:pt>
                <c:pt idx="242">
                  <c:v>7403.28</c:v>
                </c:pt>
                <c:pt idx="243">
                  <c:v>7403.53</c:v>
                </c:pt>
                <c:pt idx="244">
                  <c:v>7445.78</c:v>
                </c:pt>
                <c:pt idx="245">
                  <c:v>7445.94</c:v>
                </c:pt>
                <c:pt idx="246">
                  <c:v>7366.96</c:v>
                </c:pt>
                <c:pt idx="247">
                  <c:v>7367.62</c:v>
                </c:pt>
                <c:pt idx="248">
                  <c:v>7401.88</c:v>
                </c:pt>
                <c:pt idx="249">
                  <c:v>7401.79</c:v>
                </c:pt>
                <c:pt idx="250">
                  <c:v>7312.43</c:v>
                </c:pt>
                <c:pt idx="251">
                  <c:v>7312.35</c:v>
                </c:pt>
                <c:pt idx="252">
                  <c:v>7312.29</c:v>
                </c:pt>
                <c:pt idx="253">
                  <c:v>7249.17</c:v>
                </c:pt>
                <c:pt idx="254">
                  <c:v>7249.22</c:v>
                </c:pt>
                <c:pt idx="255">
                  <c:v>7112.38</c:v>
                </c:pt>
                <c:pt idx="256">
                  <c:v>7112.43</c:v>
                </c:pt>
                <c:pt idx="257">
                  <c:v>7011.29</c:v>
                </c:pt>
                <c:pt idx="258">
                  <c:v>7012.15</c:v>
                </c:pt>
                <c:pt idx="259">
                  <c:v>6932.67</c:v>
                </c:pt>
                <c:pt idx="260">
                  <c:v>6933.53</c:v>
                </c:pt>
                <c:pt idx="261">
                  <c:v>6903.75</c:v>
                </c:pt>
                <c:pt idx="262">
                  <c:v>6904.38</c:v>
                </c:pt>
                <c:pt idx="263">
                  <c:v>6886.27</c:v>
                </c:pt>
                <c:pt idx="264">
                  <c:v>6886.95</c:v>
                </c:pt>
                <c:pt idx="265">
                  <c:v>7009.69</c:v>
                </c:pt>
                <c:pt idx="266">
                  <c:v>7010.79</c:v>
                </c:pt>
                <c:pt idx="267">
                  <c:v>7011.12</c:v>
                </c:pt>
                <c:pt idx="268">
                  <c:v>6836.11</c:v>
                </c:pt>
                <c:pt idx="269">
                  <c:v>6836.44</c:v>
                </c:pt>
                <c:pt idx="270">
                  <c:v>6838.95</c:v>
                </c:pt>
                <c:pt idx="271">
                  <c:v>6839.42</c:v>
                </c:pt>
                <c:pt idx="272">
                  <c:v>6814.11</c:v>
                </c:pt>
                <c:pt idx="273">
                  <c:v>6814.51</c:v>
                </c:pt>
                <c:pt idx="274">
                  <c:v>6861.34</c:v>
                </c:pt>
                <c:pt idx="275">
                  <c:v>6861.65</c:v>
                </c:pt>
                <c:pt idx="276">
                  <c:v>6818.11</c:v>
                </c:pt>
                <c:pt idx="277">
                  <c:v>6818.42</c:v>
                </c:pt>
                <c:pt idx="278">
                  <c:v>6818.75</c:v>
                </c:pt>
                <c:pt idx="279">
                  <c:v>6882.54</c:v>
                </c:pt>
                <c:pt idx="280">
                  <c:v>6883.06</c:v>
                </c:pt>
                <c:pt idx="281">
                  <c:v>6743.6</c:v>
                </c:pt>
                <c:pt idx="282">
                  <c:v>6744.12</c:v>
                </c:pt>
                <c:pt idx="283">
                  <c:v>6752.38</c:v>
                </c:pt>
                <c:pt idx="284">
                  <c:v>6752.62</c:v>
                </c:pt>
                <c:pt idx="285">
                  <c:v>6752.86</c:v>
                </c:pt>
                <c:pt idx="286">
                  <c:v>6753.1</c:v>
                </c:pt>
                <c:pt idx="287">
                  <c:v>6888.77</c:v>
                </c:pt>
                <c:pt idx="288">
                  <c:v>6889.2</c:v>
                </c:pt>
                <c:pt idx="289">
                  <c:v>6888.25</c:v>
                </c:pt>
                <c:pt idx="290">
                  <c:v>6888.69</c:v>
                </c:pt>
                <c:pt idx="291">
                  <c:v>6889.13</c:v>
                </c:pt>
                <c:pt idx="292">
                  <c:v>6938.14</c:v>
                </c:pt>
                <c:pt idx="293">
                  <c:v>6938.55</c:v>
                </c:pt>
                <c:pt idx="294">
                  <c:v>6974.77</c:v>
                </c:pt>
                <c:pt idx="295">
                  <c:v>6975.23</c:v>
                </c:pt>
                <c:pt idx="296">
                  <c:v>6945.77</c:v>
                </c:pt>
                <c:pt idx="297">
                  <c:v>6946.15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F-4901-870D-A1A0570CAB8D}"/>
            </c:ext>
          </c:extLst>
        </c:ser>
        <c:ser>
          <c:idx val="1"/>
          <c:order val="1"/>
          <c:tx>
            <c:strRef>
              <c:f>资产负债表!$N$3</c:f>
              <c:strCache>
                <c:ptCount val="1"/>
                <c:pt idx="0">
                  <c:v>1-5年</c:v>
                </c:pt>
              </c:strCache>
            </c:strRef>
          </c:tx>
          <c:spPr>
            <a:ln w="15875" cap="rnd">
              <a:solidFill>
                <a:srgbClr val="D80C18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资产负债表!$I$17:$I$314</c:f>
              <c:numCache>
                <c:formatCode>yyyy\-mm\-dd</c:formatCode>
                <c:ptCount val="298"/>
                <c:pt idx="0">
                  <c:v>43922</c:v>
                </c:pt>
                <c:pt idx="1">
                  <c:v>43929</c:v>
                </c:pt>
                <c:pt idx="2">
                  <c:v>43936</c:v>
                </c:pt>
                <c:pt idx="3">
                  <c:v>43943</c:v>
                </c:pt>
                <c:pt idx="4">
                  <c:v>43950</c:v>
                </c:pt>
                <c:pt idx="5">
                  <c:v>43957</c:v>
                </c:pt>
                <c:pt idx="6">
                  <c:v>43964</c:v>
                </c:pt>
                <c:pt idx="7">
                  <c:v>43971</c:v>
                </c:pt>
                <c:pt idx="8">
                  <c:v>43978</c:v>
                </c:pt>
                <c:pt idx="9">
                  <c:v>43985</c:v>
                </c:pt>
                <c:pt idx="10">
                  <c:v>43992</c:v>
                </c:pt>
                <c:pt idx="11">
                  <c:v>43999</c:v>
                </c:pt>
                <c:pt idx="12">
                  <c:v>44006</c:v>
                </c:pt>
                <c:pt idx="13">
                  <c:v>44013</c:v>
                </c:pt>
                <c:pt idx="14">
                  <c:v>44020</c:v>
                </c:pt>
                <c:pt idx="15">
                  <c:v>44027</c:v>
                </c:pt>
                <c:pt idx="16">
                  <c:v>44034</c:v>
                </c:pt>
                <c:pt idx="17">
                  <c:v>44041</c:v>
                </c:pt>
                <c:pt idx="18">
                  <c:v>44048</c:v>
                </c:pt>
                <c:pt idx="19">
                  <c:v>44055</c:v>
                </c:pt>
                <c:pt idx="20">
                  <c:v>44062</c:v>
                </c:pt>
                <c:pt idx="21">
                  <c:v>44069</c:v>
                </c:pt>
                <c:pt idx="22">
                  <c:v>44076</c:v>
                </c:pt>
                <c:pt idx="23">
                  <c:v>44083</c:v>
                </c:pt>
                <c:pt idx="24">
                  <c:v>44090</c:v>
                </c:pt>
                <c:pt idx="25">
                  <c:v>44097</c:v>
                </c:pt>
                <c:pt idx="26">
                  <c:v>44104</c:v>
                </c:pt>
                <c:pt idx="27">
                  <c:v>44111</c:v>
                </c:pt>
                <c:pt idx="28">
                  <c:v>44118</c:v>
                </c:pt>
                <c:pt idx="29">
                  <c:v>44125</c:v>
                </c:pt>
                <c:pt idx="30">
                  <c:v>44132</c:v>
                </c:pt>
                <c:pt idx="31">
                  <c:v>44139</c:v>
                </c:pt>
                <c:pt idx="32">
                  <c:v>44146</c:v>
                </c:pt>
                <c:pt idx="33">
                  <c:v>44153</c:v>
                </c:pt>
                <c:pt idx="34">
                  <c:v>44160</c:v>
                </c:pt>
                <c:pt idx="35">
                  <c:v>44167</c:v>
                </c:pt>
                <c:pt idx="36">
                  <c:v>44174</c:v>
                </c:pt>
                <c:pt idx="37">
                  <c:v>44181</c:v>
                </c:pt>
                <c:pt idx="38">
                  <c:v>44188</c:v>
                </c:pt>
                <c:pt idx="39">
                  <c:v>44195</c:v>
                </c:pt>
                <c:pt idx="40">
                  <c:v>44202</c:v>
                </c:pt>
                <c:pt idx="41">
                  <c:v>44209</c:v>
                </c:pt>
                <c:pt idx="42">
                  <c:v>44216</c:v>
                </c:pt>
                <c:pt idx="43">
                  <c:v>44223</c:v>
                </c:pt>
                <c:pt idx="44">
                  <c:v>44230</c:v>
                </c:pt>
                <c:pt idx="45">
                  <c:v>44237</c:v>
                </c:pt>
                <c:pt idx="46">
                  <c:v>44244</c:v>
                </c:pt>
                <c:pt idx="47">
                  <c:v>44251</c:v>
                </c:pt>
                <c:pt idx="48">
                  <c:v>44258</c:v>
                </c:pt>
                <c:pt idx="49">
                  <c:v>44265</c:v>
                </c:pt>
                <c:pt idx="50">
                  <c:v>44272</c:v>
                </c:pt>
                <c:pt idx="51">
                  <c:v>44279</c:v>
                </c:pt>
                <c:pt idx="52">
                  <c:v>44286</c:v>
                </c:pt>
                <c:pt idx="53">
                  <c:v>44293</c:v>
                </c:pt>
                <c:pt idx="54">
                  <c:v>44300</c:v>
                </c:pt>
                <c:pt idx="55">
                  <c:v>44307</c:v>
                </c:pt>
                <c:pt idx="56">
                  <c:v>44314</c:v>
                </c:pt>
                <c:pt idx="57">
                  <c:v>44321</c:v>
                </c:pt>
                <c:pt idx="58">
                  <c:v>44328</c:v>
                </c:pt>
                <c:pt idx="59">
                  <c:v>44335</c:v>
                </c:pt>
                <c:pt idx="60">
                  <c:v>44342</c:v>
                </c:pt>
                <c:pt idx="61">
                  <c:v>44349</c:v>
                </c:pt>
                <c:pt idx="62">
                  <c:v>44356</c:v>
                </c:pt>
                <c:pt idx="63">
                  <c:v>44363</c:v>
                </c:pt>
                <c:pt idx="64">
                  <c:v>44370</c:v>
                </c:pt>
                <c:pt idx="65">
                  <c:v>44377</c:v>
                </c:pt>
                <c:pt idx="66">
                  <c:v>44384</c:v>
                </c:pt>
                <c:pt idx="67">
                  <c:v>44391</c:v>
                </c:pt>
                <c:pt idx="68">
                  <c:v>44398</c:v>
                </c:pt>
                <c:pt idx="69">
                  <c:v>44405</c:v>
                </c:pt>
                <c:pt idx="70">
                  <c:v>44412</c:v>
                </c:pt>
                <c:pt idx="71">
                  <c:v>44419</c:v>
                </c:pt>
                <c:pt idx="72">
                  <c:v>44426</c:v>
                </c:pt>
                <c:pt idx="73">
                  <c:v>44433</c:v>
                </c:pt>
                <c:pt idx="74">
                  <c:v>44440</c:v>
                </c:pt>
                <c:pt idx="75">
                  <c:v>44447</c:v>
                </c:pt>
                <c:pt idx="76">
                  <c:v>44454</c:v>
                </c:pt>
                <c:pt idx="77">
                  <c:v>44461</c:v>
                </c:pt>
                <c:pt idx="78">
                  <c:v>44468</c:v>
                </c:pt>
                <c:pt idx="79">
                  <c:v>44475</c:v>
                </c:pt>
                <c:pt idx="80">
                  <c:v>44482</c:v>
                </c:pt>
                <c:pt idx="81">
                  <c:v>44489</c:v>
                </c:pt>
                <c:pt idx="82">
                  <c:v>44496</c:v>
                </c:pt>
                <c:pt idx="83">
                  <c:v>44503</c:v>
                </c:pt>
                <c:pt idx="84">
                  <c:v>44510</c:v>
                </c:pt>
                <c:pt idx="85">
                  <c:v>44517</c:v>
                </c:pt>
                <c:pt idx="86">
                  <c:v>44524</c:v>
                </c:pt>
                <c:pt idx="87">
                  <c:v>44531</c:v>
                </c:pt>
                <c:pt idx="88">
                  <c:v>44538</c:v>
                </c:pt>
                <c:pt idx="89">
                  <c:v>44545</c:v>
                </c:pt>
                <c:pt idx="90">
                  <c:v>44552</c:v>
                </c:pt>
                <c:pt idx="91">
                  <c:v>44559</c:v>
                </c:pt>
                <c:pt idx="92">
                  <c:v>44566</c:v>
                </c:pt>
                <c:pt idx="93">
                  <c:v>44573</c:v>
                </c:pt>
                <c:pt idx="94">
                  <c:v>44580</c:v>
                </c:pt>
                <c:pt idx="95">
                  <c:v>44587</c:v>
                </c:pt>
                <c:pt idx="96">
                  <c:v>44594</c:v>
                </c:pt>
                <c:pt idx="97">
                  <c:v>44601</c:v>
                </c:pt>
                <c:pt idx="98">
                  <c:v>44608</c:v>
                </c:pt>
                <c:pt idx="99">
                  <c:v>44615</c:v>
                </c:pt>
                <c:pt idx="100">
                  <c:v>44622</c:v>
                </c:pt>
                <c:pt idx="101">
                  <c:v>44629</c:v>
                </c:pt>
                <c:pt idx="102">
                  <c:v>44636</c:v>
                </c:pt>
                <c:pt idx="103">
                  <c:v>44643</c:v>
                </c:pt>
                <c:pt idx="104">
                  <c:v>44650</c:v>
                </c:pt>
                <c:pt idx="105">
                  <c:v>44657</c:v>
                </c:pt>
                <c:pt idx="106">
                  <c:v>44664</c:v>
                </c:pt>
                <c:pt idx="107">
                  <c:v>44671</c:v>
                </c:pt>
                <c:pt idx="108">
                  <c:v>44678</c:v>
                </c:pt>
                <c:pt idx="109">
                  <c:v>44685</c:v>
                </c:pt>
                <c:pt idx="110">
                  <c:v>44692</c:v>
                </c:pt>
                <c:pt idx="111">
                  <c:v>44699</c:v>
                </c:pt>
                <c:pt idx="112">
                  <c:v>44706</c:v>
                </c:pt>
                <c:pt idx="113">
                  <c:v>44713</c:v>
                </c:pt>
                <c:pt idx="114">
                  <c:v>44720</c:v>
                </c:pt>
                <c:pt idx="115">
                  <c:v>44727</c:v>
                </c:pt>
                <c:pt idx="116">
                  <c:v>44734</c:v>
                </c:pt>
                <c:pt idx="117">
                  <c:v>44741</c:v>
                </c:pt>
                <c:pt idx="118">
                  <c:v>44748</c:v>
                </c:pt>
                <c:pt idx="119">
                  <c:v>44755</c:v>
                </c:pt>
                <c:pt idx="120">
                  <c:v>44762</c:v>
                </c:pt>
                <c:pt idx="121">
                  <c:v>44769</c:v>
                </c:pt>
                <c:pt idx="122">
                  <c:v>44776</c:v>
                </c:pt>
                <c:pt idx="123">
                  <c:v>44783</c:v>
                </c:pt>
                <c:pt idx="124">
                  <c:v>44790</c:v>
                </c:pt>
                <c:pt idx="125">
                  <c:v>44797</c:v>
                </c:pt>
                <c:pt idx="126">
                  <c:v>44804</c:v>
                </c:pt>
                <c:pt idx="127">
                  <c:v>44811</c:v>
                </c:pt>
                <c:pt idx="128">
                  <c:v>44818</c:v>
                </c:pt>
                <c:pt idx="129">
                  <c:v>44825</c:v>
                </c:pt>
                <c:pt idx="130">
                  <c:v>44832</c:v>
                </c:pt>
                <c:pt idx="131">
                  <c:v>44839</c:v>
                </c:pt>
                <c:pt idx="132">
                  <c:v>44846</c:v>
                </c:pt>
                <c:pt idx="133">
                  <c:v>44853</c:v>
                </c:pt>
                <c:pt idx="134">
                  <c:v>44860</c:v>
                </c:pt>
                <c:pt idx="135">
                  <c:v>44867</c:v>
                </c:pt>
                <c:pt idx="136">
                  <c:v>44874</c:v>
                </c:pt>
                <c:pt idx="137">
                  <c:v>44881</c:v>
                </c:pt>
                <c:pt idx="138">
                  <c:v>44888</c:v>
                </c:pt>
                <c:pt idx="139">
                  <c:v>44895</c:v>
                </c:pt>
                <c:pt idx="140">
                  <c:v>44902</c:v>
                </c:pt>
                <c:pt idx="141">
                  <c:v>44909</c:v>
                </c:pt>
                <c:pt idx="142">
                  <c:v>44916</c:v>
                </c:pt>
                <c:pt idx="143">
                  <c:v>44923</c:v>
                </c:pt>
                <c:pt idx="144">
                  <c:v>44930</c:v>
                </c:pt>
                <c:pt idx="145">
                  <c:v>44937</c:v>
                </c:pt>
                <c:pt idx="146">
                  <c:v>44944</c:v>
                </c:pt>
                <c:pt idx="147">
                  <c:v>44951</c:v>
                </c:pt>
                <c:pt idx="148">
                  <c:v>44958</c:v>
                </c:pt>
                <c:pt idx="149">
                  <c:v>44965</c:v>
                </c:pt>
                <c:pt idx="150">
                  <c:v>44972</c:v>
                </c:pt>
                <c:pt idx="151">
                  <c:v>44979</c:v>
                </c:pt>
                <c:pt idx="152">
                  <c:v>44986</c:v>
                </c:pt>
                <c:pt idx="153">
                  <c:v>44993</c:v>
                </c:pt>
                <c:pt idx="154">
                  <c:v>45000</c:v>
                </c:pt>
                <c:pt idx="155">
                  <c:v>45007</c:v>
                </c:pt>
                <c:pt idx="156">
                  <c:v>45014</c:v>
                </c:pt>
                <c:pt idx="157">
                  <c:v>45021</c:v>
                </c:pt>
                <c:pt idx="158">
                  <c:v>45028</c:v>
                </c:pt>
                <c:pt idx="159">
                  <c:v>45035</c:v>
                </c:pt>
                <c:pt idx="160">
                  <c:v>45042</c:v>
                </c:pt>
                <c:pt idx="161">
                  <c:v>45049</c:v>
                </c:pt>
                <c:pt idx="162">
                  <c:v>45056</c:v>
                </c:pt>
                <c:pt idx="163">
                  <c:v>45063</c:v>
                </c:pt>
                <c:pt idx="164">
                  <c:v>45070</c:v>
                </c:pt>
                <c:pt idx="165">
                  <c:v>45077</c:v>
                </c:pt>
                <c:pt idx="166">
                  <c:v>45084</c:v>
                </c:pt>
                <c:pt idx="167">
                  <c:v>45091</c:v>
                </c:pt>
                <c:pt idx="168">
                  <c:v>45098</c:v>
                </c:pt>
                <c:pt idx="169">
                  <c:v>45105</c:v>
                </c:pt>
                <c:pt idx="170">
                  <c:v>45112</c:v>
                </c:pt>
                <c:pt idx="171">
                  <c:v>45119</c:v>
                </c:pt>
                <c:pt idx="172">
                  <c:v>45126</c:v>
                </c:pt>
                <c:pt idx="173">
                  <c:v>45133</c:v>
                </c:pt>
                <c:pt idx="174">
                  <c:v>45140</c:v>
                </c:pt>
                <c:pt idx="175">
                  <c:v>45147</c:v>
                </c:pt>
                <c:pt idx="176">
                  <c:v>45154</c:v>
                </c:pt>
                <c:pt idx="177">
                  <c:v>45161</c:v>
                </c:pt>
                <c:pt idx="178">
                  <c:v>45168</c:v>
                </c:pt>
                <c:pt idx="179">
                  <c:v>45175</c:v>
                </c:pt>
                <c:pt idx="180">
                  <c:v>45182</c:v>
                </c:pt>
                <c:pt idx="181">
                  <c:v>45189</c:v>
                </c:pt>
                <c:pt idx="182">
                  <c:v>45196</c:v>
                </c:pt>
                <c:pt idx="183">
                  <c:v>45203</c:v>
                </c:pt>
                <c:pt idx="184">
                  <c:v>45210</c:v>
                </c:pt>
                <c:pt idx="185">
                  <c:v>45217</c:v>
                </c:pt>
                <c:pt idx="186">
                  <c:v>45224</c:v>
                </c:pt>
                <c:pt idx="187">
                  <c:v>45231</c:v>
                </c:pt>
                <c:pt idx="188">
                  <c:v>45238</c:v>
                </c:pt>
                <c:pt idx="189">
                  <c:v>45245</c:v>
                </c:pt>
                <c:pt idx="190">
                  <c:v>45252</c:v>
                </c:pt>
                <c:pt idx="191">
                  <c:v>45259</c:v>
                </c:pt>
                <c:pt idx="192">
                  <c:v>45266</c:v>
                </c:pt>
                <c:pt idx="193">
                  <c:v>45273</c:v>
                </c:pt>
                <c:pt idx="194">
                  <c:v>45280</c:v>
                </c:pt>
                <c:pt idx="195">
                  <c:v>45287</c:v>
                </c:pt>
                <c:pt idx="196">
                  <c:v>45294</c:v>
                </c:pt>
                <c:pt idx="197">
                  <c:v>45301</c:v>
                </c:pt>
                <c:pt idx="198">
                  <c:v>45308</c:v>
                </c:pt>
                <c:pt idx="199">
                  <c:v>45315</c:v>
                </c:pt>
                <c:pt idx="200">
                  <c:v>45322</c:v>
                </c:pt>
                <c:pt idx="201">
                  <c:v>45329</c:v>
                </c:pt>
                <c:pt idx="202">
                  <c:v>45336</c:v>
                </c:pt>
                <c:pt idx="203">
                  <c:v>45343</c:v>
                </c:pt>
                <c:pt idx="204">
                  <c:v>45350</c:v>
                </c:pt>
                <c:pt idx="205">
                  <c:v>45357</c:v>
                </c:pt>
                <c:pt idx="206">
                  <c:v>45364</c:v>
                </c:pt>
                <c:pt idx="207">
                  <c:v>45371</c:v>
                </c:pt>
                <c:pt idx="208">
                  <c:v>45378</c:v>
                </c:pt>
                <c:pt idx="209">
                  <c:v>45385</c:v>
                </c:pt>
                <c:pt idx="210">
                  <c:v>45392</c:v>
                </c:pt>
                <c:pt idx="211">
                  <c:v>45399</c:v>
                </c:pt>
                <c:pt idx="212">
                  <c:v>45406</c:v>
                </c:pt>
                <c:pt idx="213">
                  <c:v>45413</c:v>
                </c:pt>
                <c:pt idx="214">
                  <c:v>45420</c:v>
                </c:pt>
                <c:pt idx="215">
                  <c:v>45427</c:v>
                </c:pt>
                <c:pt idx="216">
                  <c:v>45434</c:v>
                </c:pt>
                <c:pt idx="217">
                  <c:v>45441</c:v>
                </c:pt>
                <c:pt idx="218">
                  <c:v>45448</c:v>
                </c:pt>
                <c:pt idx="219">
                  <c:v>45455</c:v>
                </c:pt>
                <c:pt idx="220">
                  <c:v>45462</c:v>
                </c:pt>
                <c:pt idx="221">
                  <c:v>45469</c:v>
                </c:pt>
                <c:pt idx="222">
                  <c:v>45476</c:v>
                </c:pt>
                <c:pt idx="223">
                  <c:v>45483</c:v>
                </c:pt>
                <c:pt idx="224">
                  <c:v>45490</c:v>
                </c:pt>
                <c:pt idx="225">
                  <c:v>45497</c:v>
                </c:pt>
                <c:pt idx="226">
                  <c:v>45504</c:v>
                </c:pt>
                <c:pt idx="227">
                  <c:v>45511</c:v>
                </c:pt>
                <c:pt idx="228">
                  <c:v>45518</c:v>
                </c:pt>
                <c:pt idx="229">
                  <c:v>45525</c:v>
                </c:pt>
                <c:pt idx="230">
                  <c:v>45532</c:v>
                </c:pt>
                <c:pt idx="231">
                  <c:v>45539</c:v>
                </c:pt>
                <c:pt idx="232">
                  <c:v>45546</c:v>
                </c:pt>
                <c:pt idx="233">
                  <c:v>45553</c:v>
                </c:pt>
                <c:pt idx="234">
                  <c:v>45560</c:v>
                </c:pt>
                <c:pt idx="235">
                  <c:v>45567</c:v>
                </c:pt>
                <c:pt idx="236">
                  <c:v>45574</c:v>
                </c:pt>
                <c:pt idx="237">
                  <c:v>45581</c:v>
                </c:pt>
                <c:pt idx="238">
                  <c:v>45588</c:v>
                </c:pt>
                <c:pt idx="239">
                  <c:v>45595</c:v>
                </c:pt>
                <c:pt idx="240">
                  <c:v>45602</c:v>
                </c:pt>
                <c:pt idx="241">
                  <c:v>45609</c:v>
                </c:pt>
                <c:pt idx="242">
                  <c:v>45616</c:v>
                </c:pt>
                <c:pt idx="243">
                  <c:v>45623</c:v>
                </c:pt>
                <c:pt idx="244">
                  <c:v>45630</c:v>
                </c:pt>
                <c:pt idx="245">
                  <c:v>45637</c:v>
                </c:pt>
                <c:pt idx="246">
                  <c:v>45644</c:v>
                </c:pt>
                <c:pt idx="247">
                  <c:v>45651</c:v>
                </c:pt>
                <c:pt idx="248">
                  <c:v>45658</c:v>
                </c:pt>
                <c:pt idx="249">
                  <c:v>45665</c:v>
                </c:pt>
                <c:pt idx="250">
                  <c:v>45672</c:v>
                </c:pt>
                <c:pt idx="251">
                  <c:v>45679</c:v>
                </c:pt>
                <c:pt idx="252">
                  <c:v>45686</c:v>
                </c:pt>
                <c:pt idx="253">
                  <c:v>45693</c:v>
                </c:pt>
                <c:pt idx="254">
                  <c:v>45700</c:v>
                </c:pt>
                <c:pt idx="255">
                  <c:v>45707</c:v>
                </c:pt>
                <c:pt idx="256">
                  <c:v>45714</c:v>
                </c:pt>
                <c:pt idx="257">
                  <c:v>45721</c:v>
                </c:pt>
                <c:pt idx="258">
                  <c:v>45728</c:v>
                </c:pt>
                <c:pt idx="259">
                  <c:v>45735</c:v>
                </c:pt>
                <c:pt idx="260">
                  <c:v>45742</c:v>
                </c:pt>
                <c:pt idx="261">
                  <c:v>45749</c:v>
                </c:pt>
                <c:pt idx="262">
                  <c:v>45756</c:v>
                </c:pt>
                <c:pt idx="263">
                  <c:v>45763</c:v>
                </c:pt>
                <c:pt idx="264">
                  <c:v>45770</c:v>
                </c:pt>
                <c:pt idx="265">
                  <c:v>45777</c:v>
                </c:pt>
                <c:pt idx="266">
                  <c:v>45784</c:v>
                </c:pt>
                <c:pt idx="267">
                  <c:v>45791</c:v>
                </c:pt>
                <c:pt idx="268">
                  <c:v>45798</c:v>
                </c:pt>
                <c:pt idx="269">
                  <c:v>45805</c:v>
                </c:pt>
                <c:pt idx="270">
                  <c:v>45812</c:v>
                </c:pt>
                <c:pt idx="271">
                  <c:v>45819</c:v>
                </c:pt>
                <c:pt idx="272">
                  <c:v>45826</c:v>
                </c:pt>
                <c:pt idx="273">
                  <c:v>45833</c:v>
                </c:pt>
                <c:pt idx="274">
                  <c:v>45840</c:v>
                </c:pt>
                <c:pt idx="275">
                  <c:v>45847</c:v>
                </c:pt>
                <c:pt idx="276">
                  <c:v>45854</c:v>
                </c:pt>
                <c:pt idx="277">
                  <c:v>45861</c:v>
                </c:pt>
                <c:pt idx="278">
                  <c:v>45868</c:v>
                </c:pt>
                <c:pt idx="279">
                  <c:v>45875</c:v>
                </c:pt>
                <c:pt idx="280">
                  <c:v>45882</c:v>
                </c:pt>
                <c:pt idx="281">
                  <c:v>45889</c:v>
                </c:pt>
                <c:pt idx="282">
                  <c:v>45896</c:v>
                </c:pt>
                <c:pt idx="283">
                  <c:v>45903</c:v>
                </c:pt>
                <c:pt idx="284">
                  <c:v>45910</c:v>
                </c:pt>
                <c:pt idx="285">
                  <c:v>45917</c:v>
                </c:pt>
                <c:pt idx="286">
                  <c:v>45924</c:v>
                </c:pt>
                <c:pt idx="287">
                  <c:v>45931</c:v>
                </c:pt>
                <c:pt idx="288">
                  <c:v>45938</c:v>
                </c:pt>
                <c:pt idx="289">
                  <c:v>45945</c:v>
                </c:pt>
                <c:pt idx="290">
                  <c:v>45952</c:v>
                </c:pt>
                <c:pt idx="291">
                  <c:v>45959</c:v>
                </c:pt>
                <c:pt idx="292">
                  <c:v>45966</c:v>
                </c:pt>
                <c:pt idx="293">
                  <c:v>45973</c:v>
                </c:pt>
                <c:pt idx="294">
                  <c:v>45980</c:v>
                </c:pt>
                <c:pt idx="295">
                  <c:v>45987</c:v>
                </c:pt>
                <c:pt idx="296">
                  <c:v>45994</c:v>
                </c:pt>
                <c:pt idx="297">
                  <c:v>46001</c:v>
                </c:pt>
              </c:numCache>
            </c:numRef>
          </c:cat>
          <c:val>
            <c:numRef>
              <c:f>资产负债表!$N$17:$N$314</c:f>
              <c:numCache>
                <c:formatCode>General</c:formatCode>
                <c:ptCount val="298"/>
                <c:pt idx="0">
                  <c:v>12983.45</c:v>
                </c:pt>
                <c:pt idx="1">
                  <c:v>14322.06</c:v>
                </c:pt>
                <c:pt idx="2">
                  <c:v>14933.36</c:v>
                </c:pt>
                <c:pt idx="3">
                  <c:v>15363.92</c:v>
                </c:pt>
                <c:pt idx="4">
                  <c:v>15724.72</c:v>
                </c:pt>
                <c:pt idx="5">
                  <c:v>15685.84</c:v>
                </c:pt>
                <c:pt idx="6">
                  <c:v>15844.94</c:v>
                </c:pt>
                <c:pt idx="7">
                  <c:v>15680.66</c:v>
                </c:pt>
                <c:pt idx="8">
                  <c:v>15775.52</c:v>
                </c:pt>
                <c:pt idx="9">
                  <c:v>15751.73</c:v>
                </c:pt>
                <c:pt idx="10">
                  <c:v>15810.35</c:v>
                </c:pt>
                <c:pt idx="11">
                  <c:v>15817.75</c:v>
                </c:pt>
                <c:pt idx="12">
                  <c:v>15924.47</c:v>
                </c:pt>
                <c:pt idx="13">
                  <c:v>15979.28</c:v>
                </c:pt>
                <c:pt idx="14">
                  <c:v>16072.39</c:v>
                </c:pt>
                <c:pt idx="15">
                  <c:v>16048.39</c:v>
                </c:pt>
                <c:pt idx="16">
                  <c:v>16071.35</c:v>
                </c:pt>
                <c:pt idx="17">
                  <c:v>16272.18</c:v>
                </c:pt>
                <c:pt idx="18">
                  <c:v>16392.439999999999</c:v>
                </c:pt>
                <c:pt idx="19">
                  <c:v>16425.29</c:v>
                </c:pt>
                <c:pt idx="20">
                  <c:v>16475.580000000002</c:v>
                </c:pt>
                <c:pt idx="21">
                  <c:v>16486.5</c:v>
                </c:pt>
                <c:pt idx="22">
                  <c:v>16620.79</c:v>
                </c:pt>
                <c:pt idx="23">
                  <c:v>16621.66</c:v>
                </c:pt>
                <c:pt idx="24">
                  <c:v>16585.04</c:v>
                </c:pt>
                <c:pt idx="25">
                  <c:v>16652.990000000002</c:v>
                </c:pt>
                <c:pt idx="26">
                  <c:v>16735.36</c:v>
                </c:pt>
                <c:pt idx="27">
                  <c:v>16867.55</c:v>
                </c:pt>
                <c:pt idx="28">
                  <c:v>16975.13</c:v>
                </c:pt>
                <c:pt idx="29">
                  <c:v>17013.41</c:v>
                </c:pt>
                <c:pt idx="30">
                  <c:v>17102.009999999998</c:v>
                </c:pt>
                <c:pt idx="31">
                  <c:v>17143.009999999998</c:v>
                </c:pt>
                <c:pt idx="32">
                  <c:v>17258.310000000001</c:v>
                </c:pt>
                <c:pt idx="33">
                  <c:v>17008.39</c:v>
                </c:pt>
                <c:pt idx="34">
                  <c:v>17118.95</c:v>
                </c:pt>
                <c:pt idx="35">
                  <c:v>17262.36</c:v>
                </c:pt>
                <c:pt idx="36">
                  <c:v>17375.490000000002</c:v>
                </c:pt>
                <c:pt idx="37">
                  <c:v>17424.38</c:v>
                </c:pt>
                <c:pt idx="38">
                  <c:v>17556.71</c:v>
                </c:pt>
                <c:pt idx="39">
                  <c:v>17670.23</c:v>
                </c:pt>
                <c:pt idx="40">
                  <c:v>17685.27</c:v>
                </c:pt>
                <c:pt idx="41">
                  <c:v>17816.509999999998</c:v>
                </c:pt>
                <c:pt idx="42">
                  <c:v>18036.169999999998</c:v>
                </c:pt>
                <c:pt idx="43">
                  <c:v>18158.189999999999</c:v>
                </c:pt>
                <c:pt idx="44">
                  <c:v>18120.46</c:v>
                </c:pt>
                <c:pt idx="45">
                  <c:v>18260.919999999998</c:v>
                </c:pt>
                <c:pt idx="46">
                  <c:v>18219.88</c:v>
                </c:pt>
                <c:pt idx="47">
                  <c:v>18332.099999999999</c:v>
                </c:pt>
                <c:pt idx="48">
                  <c:v>18518.55</c:v>
                </c:pt>
                <c:pt idx="49">
                  <c:v>18626.2</c:v>
                </c:pt>
                <c:pt idx="50">
                  <c:v>18647.990000000002</c:v>
                </c:pt>
                <c:pt idx="51">
                  <c:v>18669.98</c:v>
                </c:pt>
                <c:pt idx="52">
                  <c:v>18815.34</c:v>
                </c:pt>
                <c:pt idx="53">
                  <c:v>18886.84</c:v>
                </c:pt>
                <c:pt idx="54">
                  <c:v>18926.259999999998</c:v>
                </c:pt>
                <c:pt idx="55">
                  <c:v>18990.3</c:v>
                </c:pt>
                <c:pt idx="56">
                  <c:v>19026.330000000002</c:v>
                </c:pt>
                <c:pt idx="57">
                  <c:v>19426.740000000002</c:v>
                </c:pt>
                <c:pt idx="58">
                  <c:v>19480.27</c:v>
                </c:pt>
                <c:pt idx="59">
                  <c:v>19332.830000000002</c:v>
                </c:pt>
                <c:pt idx="60">
                  <c:v>19373.8</c:v>
                </c:pt>
                <c:pt idx="61">
                  <c:v>19768.060000000001</c:v>
                </c:pt>
                <c:pt idx="62">
                  <c:v>19786.48</c:v>
                </c:pt>
                <c:pt idx="63">
                  <c:v>19820.400000000001</c:v>
                </c:pt>
                <c:pt idx="64">
                  <c:v>19837.09</c:v>
                </c:pt>
                <c:pt idx="65">
                  <c:v>19957.09</c:v>
                </c:pt>
                <c:pt idx="66">
                  <c:v>20025.23</c:v>
                </c:pt>
                <c:pt idx="67">
                  <c:v>20255.189999999999</c:v>
                </c:pt>
                <c:pt idx="68">
                  <c:v>20203.68</c:v>
                </c:pt>
                <c:pt idx="69">
                  <c:v>20347.25</c:v>
                </c:pt>
                <c:pt idx="70">
                  <c:v>20382.689999999999</c:v>
                </c:pt>
                <c:pt idx="71">
                  <c:v>20523.28</c:v>
                </c:pt>
                <c:pt idx="72">
                  <c:v>20212.45</c:v>
                </c:pt>
                <c:pt idx="73">
                  <c:v>20332.96</c:v>
                </c:pt>
                <c:pt idx="74">
                  <c:v>20492.68</c:v>
                </c:pt>
                <c:pt idx="75">
                  <c:v>20494.2</c:v>
                </c:pt>
                <c:pt idx="76">
                  <c:v>20579.599999999999</c:v>
                </c:pt>
                <c:pt idx="77">
                  <c:v>20653.32</c:v>
                </c:pt>
                <c:pt idx="78">
                  <c:v>20932.84</c:v>
                </c:pt>
                <c:pt idx="79">
                  <c:v>20853.009999999998</c:v>
                </c:pt>
                <c:pt idx="80">
                  <c:v>20968.02</c:v>
                </c:pt>
                <c:pt idx="81">
                  <c:v>21088</c:v>
                </c:pt>
                <c:pt idx="82">
                  <c:v>21138.12</c:v>
                </c:pt>
                <c:pt idx="83">
                  <c:v>21210.68</c:v>
                </c:pt>
                <c:pt idx="84">
                  <c:v>21319.56</c:v>
                </c:pt>
                <c:pt idx="85">
                  <c:v>21278.92</c:v>
                </c:pt>
                <c:pt idx="86">
                  <c:v>21298.29</c:v>
                </c:pt>
                <c:pt idx="87">
                  <c:v>21298.18</c:v>
                </c:pt>
                <c:pt idx="88">
                  <c:v>21345.49</c:v>
                </c:pt>
                <c:pt idx="89">
                  <c:v>21512.400000000001</c:v>
                </c:pt>
                <c:pt idx="90">
                  <c:v>21537.42</c:v>
                </c:pt>
                <c:pt idx="91">
                  <c:v>21540.28</c:v>
                </c:pt>
                <c:pt idx="92">
                  <c:v>21545.84</c:v>
                </c:pt>
                <c:pt idx="93">
                  <c:v>21652.65</c:v>
                </c:pt>
                <c:pt idx="94">
                  <c:v>21828.81</c:v>
                </c:pt>
                <c:pt idx="95">
                  <c:v>21976.47</c:v>
                </c:pt>
                <c:pt idx="96">
                  <c:v>22033.97</c:v>
                </c:pt>
                <c:pt idx="97">
                  <c:v>22035.35</c:v>
                </c:pt>
                <c:pt idx="98">
                  <c:v>21913.49</c:v>
                </c:pt>
                <c:pt idx="99">
                  <c:v>21924.14</c:v>
                </c:pt>
                <c:pt idx="100">
                  <c:v>21776.7</c:v>
                </c:pt>
                <c:pt idx="101">
                  <c:v>21780.14</c:v>
                </c:pt>
                <c:pt idx="102">
                  <c:v>21833.15</c:v>
                </c:pt>
                <c:pt idx="103">
                  <c:v>21836.59</c:v>
                </c:pt>
                <c:pt idx="104">
                  <c:v>21977.63</c:v>
                </c:pt>
                <c:pt idx="105">
                  <c:v>21681.119999999999</c:v>
                </c:pt>
                <c:pt idx="106">
                  <c:v>21685.01</c:v>
                </c:pt>
                <c:pt idx="107">
                  <c:v>21584.41</c:v>
                </c:pt>
                <c:pt idx="108">
                  <c:v>21588.02</c:v>
                </c:pt>
                <c:pt idx="109">
                  <c:v>21232.21</c:v>
                </c:pt>
                <c:pt idx="110">
                  <c:v>21237.37</c:v>
                </c:pt>
                <c:pt idx="111">
                  <c:v>21165.08</c:v>
                </c:pt>
                <c:pt idx="112">
                  <c:v>21170.240000000002</c:v>
                </c:pt>
                <c:pt idx="113">
                  <c:v>20832.099999999999</c:v>
                </c:pt>
                <c:pt idx="114">
                  <c:v>20834.36</c:v>
                </c:pt>
                <c:pt idx="115">
                  <c:v>20740.689999999999</c:v>
                </c:pt>
                <c:pt idx="116">
                  <c:v>20742.95</c:v>
                </c:pt>
                <c:pt idx="117">
                  <c:v>20840.18</c:v>
                </c:pt>
                <c:pt idx="118">
                  <c:v>20568.439999999999</c:v>
                </c:pt>
                <c:pt idx="119">
                  <c:v>20572.810000000001</c:v>
                </c:pt>
                <c:pt idx="120">
                  <c:v>20537.740000000002</c:v>
                </c:pt>
                <c:pt idx="121">
                  <c:v>20542.23</c:v>
                </c:pt>
                <c:pt idx="122">
                  <c:v>20387.650000000001</c:v>
                </c:pt>
                <c:pt idx="123">
                  <c:v>20393.3</c:v>
                </c:pt>
                <c:pt idx="124">
                  <c:v>20171.63</c:v>
                </c:pt>
                <c:pt idx="125">
                  <c:v>20177.28</c:v>
                </c:pt>
                <c:pt idx="126">
                  <c:v>20104.8</c:v>
                </c:pt>
                <c:pt idx="127">
                  <c:v>20104.75</c:v>
                </c:pt>
                <c:pt idx="128">
                  <c:v>20104.7</c:v>
                </c:pt>
                <c:pt idx="129">
                  <c:v>19935.45</c:v>
                </c:pt>
                <c:pt idx="130">
                  <c:v>19935.400000000001</c:v>
                </c:pt>
                <c:pt idx="131">
                  <c:v>19799.740000000002</c:v>
                </c:pt>
                <c:pt idx="132">
                  <c:v>19799.599999999999</c:v>
                </c:pt>
                <c:pt idx="133">
                  <c:v>19660.54</c:v>
                </c:pt>
                <c:pt idx="134">
                  <c:v>19660.52</c:v>
                </c:pt>
                <c:pt idx="135">
                  <c:v>19391.3</c:v>
                </c:pt>
                <c:pt idx="136">
                  <c:v>19392.22</c:v>
                </c:pt>
                <c:pt idx="137">
                  <c:v>19565.39</c:v>
                </c:pt>
                <c:pt idx="138">
                  <c:v>19566.45</c:v>
                </c:pt>
                <c:pt idx="139">
                  <c:v>19481.099999999999</c:v>
                </c:pt>
                <c:pt idx="140">
                  <c:v>19482.8</c:v>
                </c:pt>
                <c:pt idx="141">
                  <c:v>19484.490000000002</c:v>
                </c:pt>
                <c:pt idx="142">
                  <c:v>19345.23</c:v>
                </c:pt>
                <c:pt idx="143">
                  <c:v>19346.93</c:v>
                </c:pt>
                <c:pt idx="144">
                  <c:v>19154.45</c:v>
                </c:pt>
                <c:pt idx="145">
                  <c:v>19154.02</c:v>
                </c:pt>
                <c:pt idx="146">
                  <c:v>19072.490000000002</c:v>
                </c:pt>
                <c:pt idx="147">
                  <c:v>19072.04</c:v>
                </c:pt>
                <c:pt idx="148">
                  <c:v>18886.57</c:v>
                </c:pt>
                <c:pt idx="149">
                  <c:v>18885.060000000001</c:v>
                </c:pt>
                <c:pt idx="150">
                  <c:v>18740.96</c:v>
                </c:pt>
                <c:pt idx="151">
                  <c:v>18739.46</c:v>
                </c:pt>
                <c:pt idx="152">
                  <c:v>18691.78</c:v>
                </c:pt>
                <c:pt idx="153">
                  <c:v>18695.22</c:v>
                </c:pt>
                <c:pt idx="154">
                  <c:v>18698.75</c:v>
                </c:pt>
                <c:pt idx="155">
                  <c:v>18649.12</c:v>
                </c:pt>
                <c:pt idx="156">
                  <c:v>18652.650000000001</c:v>
                </c:pt>
                <c:pt idx="157">
                  <c:v>18429.63</c:v>
                </c:pt>
                <c:pt idx="158">
                  <c:v>18432.2</c:v>
                </c:pt>
                <c:pt idx="159">
                  <c:v>18226.37</c:v>
                </c:pt>
                <c:pt idx="160">
                  <c:v>18228.98</c:v>
                </c:pt>
                <c:pt idx="161">
                  <c:v>18218.18</c:v>
                </c:pt>
                <c:pt idx="162">
                  <c:v>18219.8</c:v>
                </c:pt>
                <c:pt idx="163">
                  <c:v>17969.61</c:v>
                </c:pt>
                <c:pt idx="164">
                  <c:v>17971.12</c:v>
                </c:pt>
                <c:pt idx="165">
                  <c:v>18252.59</c:v>
                </c:pt>
                <c:pt idx="166">
                  <c:v>17823.46</c:v>
                </c:pt>
                <c:pt idx="167">
                  <c:v>17825.84</c:v>
                </c:pt>
                <c:pt idx="168">
                  <c:v>17699.59</c:v>
                </c:pt>
                <c:pt idx="169">
                  <c:v>17701.97</c:v>
                </c:pt>
                <c:pt idx="170">
                  <c:v>17617.560000000001</c:v>
                </c:pt>
                <c:pt idx="171">
                  <c:v>17618.72</c:v>
                </c:pt>
                <c:pt idx="172">
                  <c:v>17403.189999999999</c:v>
                </c:pt>
                <c:pt idx="173">
                  <c:v>17404.36</c:v>
                </c:pt>
                <c:pt idx="174">
                  <c:v>17237.3</c:v>
                </c:pt>
                <c:pt idx="175">
                  <c:v>17238.8</c:v>
                </c:pt>
                <c:pt idx="176">
                  <c:v>17188.45</c:v>
                </c:pt>
                <c:pt idx="177">
                  <c:v>17190.7</c:v>
                </c:pt>
                <c:pt idx="178">
                  <c:v>17192.2</c:v>
                </c:pt>
                <c:pt idx="179">
                  <c:v>17121.54</c:v>
                </c:pt>
                <c:pt idx="180">
                  <c:v>17122.689999999999</c:v>
                </c:pt>
                <c:pt idx="181">
                  <c:v>17060.87</c:v>
                </c:pt>
                <c:pt idx="182">
                  <c:v>17061.78</c:v>
                </c:pt>
                <c:pt idx="183">
                  <c:v>16906.72</c:v>
                </c:pt>
                <c:pt idx="184">
                  <c:v>16908.75</c:v>
                </c:pt>
                <c:pt idx="185">
                  <c:v>16825.77</c:v>
                </c:pt>
                <c:pt idx="186">
                  <c:v>16827.759999999998</c:v>
                </c:pt>
                <c:pt idx="187">
                  <c:v>16715.439999999999</c:v>
                </c:pt>
                <c:pt idx="188">
                  <c:v>16716.62</c:v>
                </c:pt>
                <c:pt idx="189">
                  <c:v>16966.009999999998</c:v>
                </c:pt>
                <c:pt idx="190">
                  <c:v>16490.63</c:v>
                </c:pt>
                <c:pt idx="191">
                  <c:v>16491.64</c:v>
                </c:pt>
                <c:pt idx="192">
                  <c:v>16353.54</c:v>
                </c:pt>
                <c:pt idx="193">
                  <c:v>16353.36</c:v>
                </c:pt>
                <c:pt idx="194">
                  <c:v>16274.31</c:v>
                </c:pt>
                <c:pt idx="195">
                  <c:v>16274.13</c:v>
                </c:pt>
                <c:pt idx="196">
                  <c:v>16149.38</c:v>
                </c:pt>
                <c:pt idx="197">
                  <c:v>16148.45</c:v>
                </c:pt>
                <c:pt idx="198">
                  <c:v>15948.9</c:v>
                </c:pt>
                <c:pt idx="199">
                  <c:v>15948.03</c:v>
                </c:pt>
                <c:pt idx="200">
                  <c:v>16026.37</c:v>
                </c:pt>
                <c:pt idx="201">
                  <c:v>15803.52</c:v>
                </c:pt>
                <c:pt idx="202">
                  <c:v>15803.06</c:v>
                </c:pt>
                <c:pt idx="203">
                  <c:v>15637.03</c:v>
                </c:pt>
                <c:pt idx="204">
                  <c:v>15722.06</c:v>
                </c:pt>
                <c:pt idx="205">
                  <c:v>15438.78</c:v>
                </c:pt>
                <c:pt idx="206">
                  <c:v>15441.34</c:v>
                </c:pt>
                <c:pt idx="207">
                  <c:v>15363.04</c:v>
                </c:pt>
                <c:pt idx="208">
                  <c:v>15365.4</c:v>
                </c:pt>
                <c:pt idx="209">
                  <c:v>15202.73</c:v>
                </c:pt>
                <c:pt idx="210">
                  <c:v>15205.51</c:v>
                </c:pt>
                <c:pt idx="211">
                  <c:v>15176.34</c:v>
                </c:pt>
                <c:pt idx="212">
                  <c:v>15179.21</c:v>
                </c:pt>
                <c:pt idx="213">
                  <c:v>15057.75</c:v>
                </c:pt>
                <c:pt idx="214">
                  <c:v>15061</c:v>
                </c:pt>
                <c:pt idx="215">
                  <c:v>15017.23</c:v>
                </c:pt>
                <c:pt idx="216">
                  <c:v>15020.16</c:v>
                </c:pt>
                <c:pt idx="217">
                  <c:v>15023.08</c:v>
                </c:pt>
                <c:pt idx="218">
                  <c:v>14896</c:v>
                </c:pt>
                <c:pt idx="219">
                  <c:v>14897.83</c:v>
                </c:pt>
                <c:pt idx="220">
                  <c:v>14892.56</c:v>
                </c:pt>
                <c:pt idx="221">
                  <c:v>14894.39</c:v>
                </c:pt>
                <c:pt idx="222">
                  <c:v>14711.41</c:v>
                </c:pt>
                <c:pt idx="223">
                  <c:v>14712.06</c:v>
                </c:pt>
                <c:pt idx="224">
                  <c:v>14795.67</c:v>
                </c:pt>
                <c:pt idx="225">
                  <c:v>14796.45</c:v>
                </c:pt>
                <c:pt idx="226">
                  <c:v>14727.96</c:v>
                </c:pt>
                <c:pt idx="227">
                  <c:v>14728.12</c:v>
                </c:pt>
                <c:pt idx="228">
                  <c:v>15271.28</c:v>
                </c:pt>
                <c:pt idx="229">
                  <c:v>14925.85</c:v>
                </c:pt>
                <c:pt idx="230">
                  <c:v>14926.01</c:v>
                </c:pt>
                <c:pt idx="231">
                  <c:v>14826.87</c:v>
                </c:pt>
                <c:pt idx="232">
                  <c:v>14828.18</c:v>
                </c:pt>
                <c:pt idx="233">
                  <c:v>14834.28</c:v>
                </c:pt>
                <c:pt idx="234">
                  <c:v>14834.85</c:v>
                </c:pt>
                <c:pt idx="235">
                  <c:v>14695.39</c:v>
                </c:pt>
                <c:pt idx="236">
                  <c:v>14695.77</c:v>
                </c:pt>
                <c:pt idx="237">
                  <c:v>14676.18</c:v>
                </c:pt>
                <c:pt idx="238">
                  <c:v>14676.56</c:v>
                </c:pt>
                <c:pt idx="239">
                  <c:v>14676.94</c:v>
                </c:pt>
                <c:pt idx="240">
                  <c:v>14522.16</c:v>
                </c:pt>
                <c:pt idx="241">
                  <c:v>14522.18</c:v>
                </c:pt>
                <c:pt idx="242">
                  <c:v>14991.58</c:v>
                </c:pt>
                <c:pt idx="243">
                  <c:v>14992.46</c:v>
                </c:pt>
                <c:pt idx="244">
                  <c:v>14870.98</c:v>
                </c:pt>
                <c:pt idx="245">
                  <c:v>14871.51</c:v>
                </c:pt>
                <c:pt idx="246">
                  <c:v>14876.2</c:v>
                </c:pt>
                <c:pt idx="247">
                  <c:v>14876.74</c:v>
                </c:pt>
                <c:pt idx="248">
                  <c:v>14658.57</c:v>
                </c:pt>
                <c:pt idx="249">
                  <c:v>14658.28</c:v>
                </c:pt>
                <c:pt idx="250">
                  <c:v>14568.34</c:v>
                </c:pt>
                <c:pt idx="251">
                  <c:v>14568.11</c:v>
                </c:pt>
                <c:pt idx="252">
                  <c:v>14567.89</c:v>
                </c:pt>
                <c:pt idx="253">
                  <c:v>14502.61</c:v>
                </c:pt>
                <c:pt idx="254">
                  <c:v>14502.77</c:v>
                </c:pt>
                <c:pt idx="255">
                  <c:v>14603.03</c:v>
                </c:pt>
                <c:pt idx="256">
                  <c:v>14603.19</c:v>
                </c:pt>
                <c:pt idx="257">
                  <c:v>14614.48</c:v>
                </c:pt>
                <c:pt idx="258">
                  <c:v>14617.21</c:v>
                </c:pt>
                <c:pt idx="259">
                  <c:v>14629.47</c:v>
                </c:pt>
                <c:pt idx="260">
                  <c:v>14632.2</c:v>
                </c:pt>
                <c:pt idx="261">
                  <c:v>14453.59</c:v>
                </c:pt>
                <c:pt idx="262">
                  <c:v>14455.51</c:v>
                </c:pt>
                <c:pt idx="263">
                  <c:v>14347.51</c:v>
                </c:pt>
                <c:pt idx="264">
                  <c:v>14349.24</c:v>
                </c:pt>
                <c:pt idx="265">
                  <c:v>14200.87</c:v>
                </c:pt>
                <c:pt idx="266">
                  <c:v>14201.73</c:v>
                </c:pt>
                <c:pt idx="267">
                  <c:v>14608.72</c:v>
                </c:pt>
                <c:pt idx="268">
                  <c:v>14517.5</c:v>
                </c:pt>
                <c:pt idx="269">
                  <c:v>14518.37</c:v>
                </c:pt>
                <c:pt idx="270">
                  <c:v>14481.86</c:v>
                </c:pt>
                <c:pt idx="271">
                  <c:v>14483.1</c:v>
                </c:pt>
                <c:pt idx="272">
                  <c:v>14494.94</c:v>
                </c:pt>
                <c:pt idx="273">
                  <c:v>14496</c:v>
                </c:pt>
                <c:pt idx="274">
                  <c:v>14348.65</c:v>
                </c:pt>
                <c:pt idx="275">
                  <c:v>14349.47</c:v>
                </c:pt>
                <c:pt idx="276">
                  <c:v>14403.84</c:v>
                </c:pt>
                <c:pt idx="277">
                  <c:v>14404.65</c:v>
                </c:pt>
                <c:pt idx="278">
                  <c:v>14405.49</c:v>
                </c:pt>
                <c:pt idx="279">
                  <c:v>14263.11</c:v>
                </c:pt>
                <c:pt idx="280">
                  <c:v>14264.44</c:v>
                </c:pt>
                <c:pt idx="281">
                  <c:v>14429.05</c:v>
                </c:pt>
                <c:pt idx="282">
                  <c:v>14431.13</c:v>
                </c:pt>
                <c:pt idx="283">
                  <c:v>14371.4</c:v>
                </c:pt>
                <c:pt idx="284">
                  <c:v>14372.01</c:v>
                </c:pt>
                <c:pt idx="285">
                  <c:v>14372.62</c:v>
                </c:pt>
                <c:pt idx="286">
                  <c:v>14373.22</c:v>
                </c:pt>
                <c:pt idx="287">
                  <c:v>14146.56</c:v>
                </c:pt>
                <c:pt idx="288">
                  <c:v>14147.68</c:v>
                </c:pt>
                <c:pt idx="289">
                  <c:v>14132.23</c:v>
                </c:pt>
                <c:pt idx="290">
                  <c:v>14132.58</c:v>
                </c:pt>
                <c:pt idx="291">
                  <c:v>14133.69</c:v>
                </c:pt>
                <c:pt idx="292">
                  <c:v>14010.05</c:v>
                </c:pt>
                <c:pt idx="293">
                  <c:v>14011.07</c:v>
                </c:pt>
                <c:pt idx="294">
                  <c:v>14098.16</c:v>
                </c:pt>
                <c:pt idx="295">
                  <c:v>14099.33</c:v>
                </c:pt>
                <c:pt idx="296">
                  <c:v>14038.92</c:v>
                </c:pt>
                <c:pt idx="297">
                  <c:v>14039.89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EF-4901-870D-A1A0570CAB8D}"/>
            </c:ext>
          </c:extLst>
        </c:ser>
        <c:ser>
          <c:idx val="2"/>
          <c:order val="2"/>
          <c:tx>
            <c:strRef>
              <c:f>资产负债表!$O$3</c:f>
              <c:strCache>
                <c:ptCount val="1"/>
                <c:pt idx="0">
                  <c:v>5-10年</c:v>
                </c:pt>
              </c:strCache>
            </c:strRef>
          </c:tx>
          <c:spPr>
            <a:ln w="15875" cap="rnd">
              <a:solidFill>
                <a:srgbClr val="0E2841">
                  <a:lumMod val="25000"/>
                  <a:lumOff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资产负债表!$I$17:$I$314</c:f>
              <c:numCache>
                <c:formatCode>yyyy\-mm\-dd</c:formatCode>
                <c:ptCount val="298"/>
                <c:pt idx="0">
                  <c:v>43922</c:v>
                </c:pt>
                <c:pt idx="1">
                  <c:v>43929</c:v>
                </c:pt>
                <c:pt idx="2">
                  <c:v>43936</c:v>
                </c:pt>
                <c:pt idx="3">
                  <c:v>43943</c:v>
                </c:pt>
                <c:pt idx="4">
                  <c:v>43950</c:v>
                </c:pt>
                <c:pt idx="5">
                  <c:v>43957</c:v>
                </c:pt>
                <c:pt idx="6">
                  <c:v>43964</c:v>
                </c:pt>
                <c:pt idx="7">
                  <c:v>43971</c:v>
                </c:pt>
                <c:pt idx="8">
                  <c:v>43978</c:v>
                </c:pt>
                <c:pt idx="9">
                  <c:v>43985</c:v>
                </c:pt>
                <c:pt idx="10">
                  <c:v>43992</c:v>
                </c:pt>
                <c:pt idx="11">
                  <c:v>43999</c:v>
                </c:pt>
                <c:pt idx="12">
                  <c:v>44006</c:v>
                </c:pt>
                <c:pt idx="13">
                  <c:v>44013</c:v>
                </c:pt>
                <c:pt idx="14">
                  <c:v>44020</c:v>
                </c:pt>
                <c:pt idx="15">
                  <c:v>44027</c:v>
                </c:pt>
                <c:pt idx="16">
                  <c:v>44034</c:v>
                </c:pt>
                <c:pt idx="17">
                  <c:v>44041</c:v>
                </c:pt>
                <c:pt idx="18">
                  <c:v>44048</c:v>
                </c:pt>
                <c:pt idx="19">
                  <c:v>44055</c:v>
                </c:pt>
                <c:pt idx="20">
                  <c:v>44062</c:v>
                </c:pt>
                <c:pt idx="21">
                  <c:v>44069</c:v>
                </c:pt>
                <c:pt idx="22">
                  <c:v>44076</c:v>
                </c:pt>
                <c:pt idx="23">
                  <c:v>44083</c:v>
                </c:pt>
                <c:pt idx="24">
                  <c:v>44090</c:v>
                </c:pt>
                <c:pt idx="25">
                  <c:v>44097</c:v>
                </c:pt>
                <c:pt idx="26">
                  <c:v>44104</c:v>
                </c:pt>
                <c:pt idx="27">
                  <c:v>44111</c:v>
                </c:pt>
                <c:pt idx="28">
                  <c:v>44118</c:v>
                </c:pt>
                <c:pt idx="29">
                  <c:v>44125</c:v>
                </c:pt>
                <c:pt idx="30">
                  <c:v>44132</c:v>
                </c:pt>
                <c:pt idx="31">
                  <c:v>44139</c:v>
                </c:pt>
                <c:pt idx="32">
                  <c:v>44146</c:v>
                </c:pt>
                <c:pt idx="33">
                  <c:v>44153</c:v>
                </c:pt>
                <c:pt idx="34">
                  <c:v>44160</c:v>
                </c:pt>
                <c:pt idx="35">
                  <c:v>44167</c:v>
                </c:pt>
                <c:pt idx="36">
                  <c:v>44174</c:v>
                </c:pt>
                <c:pt idx="37">
                  <c:v>44181</c:v>
                </c:pt>
                <c:pt idx="38">
                  <c:v>44188</c:v>
                </c:pt>
                <c:pt idx="39">
                  <c:v>44195</c:v>
                </c:pt>
                <c:pt idx="40">
                  <c:v>44202</c:v>
                </c:pt>
                <c:pt idx="41">
                  <c:v>44209</c:v>
                </c:pt>
                <c:pt idx="42">
                  <c:v>44216</c:v>
                </c:pt>
                <c:pt idx="43">
                  <c:v>44223</c:v>
                </c:pt>
                <c:pt idx="44">
                  <c:v>44230</c:v>
                </c:pt>
                <c:pt idx="45">
                  <c:v>44237</c:v>
                </c:pt>
                <c:pt idx="46">
                  <c:v>44244</c:v>
                </c:pt>
                <c:pt idx="47">
                  <c:v>44251</c:v>
                </c:pt>
                <c:pt idx="48">
                  <c:v>44258</c:v>
                </c:pt>
                <c:pt idx="49">
                  <c:v>44265</c:v>
                </c:pt>
                <c:pt idx="50">
                  <c:v>44272</c:v>
                </c:pt>
                <c:pt idx="51">
                  <c:v>44279</c:v>
                </c:pt>
                <c:pt idx="52">
                  <c:v>44286</c:v>
                </c:pt>
                <c:pt idx="53">
                  <c:v>44293</c:v>
                </c:pt>
                <c:pt idx="54">
                  <c:v>44300</c:v>
                </c:pt>
                <c:pt idx="55">
                  <c:v>44307</c:v>
                </c:pt>
                <c:pt idx="56">
                  <c:v>44314</c:v>
                </c:pt>
                <c:pt idx="57">
                  <c:v>44321</c:v>
                </c:pt>
                <c:pt idx="58">
                  <c:v>44328</c:v>
                </c:pt>
                <c:pt idx="59">
                  <c:v>44335</c:v>
                </c:pt>
                <c:pt idx="60">
                  <c:v>44342</c:v>
                </c:pt>
                <c:pt idx="61">
                  <c:v>44349</c:v>
                </c:pt>
                <c:pt idx="62">
                  <c:v>44356</c:v>
                </c:pt>
                <c:pt idx="63">
                  <c:v>44363</c:v>
                </c:pt>
                <c:pt idx="64">
                  <c:v>44370</c:v>
                </c:pt>
                <c:pt idx="65">
                  <c:v>44377</c:v>
                </c:pt>
                <c:pt idx="66">
                  <c:v>44384</c:v>
                </c:pt>
                <c:pt idx="67">
                  <c:v>44391</c:v>
                </c:pt>
                <c:pt idx="68">
                  <c:v>44398</c:v>
                </c:pt>
                <c:pt idx="69">
                  <c:v>44405</c:v>
                </c:pt>
                <c:pt idx="70">
                  <c:v>44412</c:v>
                </c:pt>
                <c:pt idx="71">
                  <c:v>44419</c:v>
                </c:pt>
                <c:pt idx="72">
                  <c:v>44426</c:v>
                </c:pt>
                <c:pt idx="73">
                  <c:v>44433</c:v>
                </c:pt>
                <c:pt idx="74">
                  <c:v>44440</c:v>
                </c:pt>
                <c:pt idx="75">
                  <c:v>44447</c:v>
                </c:pt>
                <c:pt idx="76">
                  <c:v>44454</c:v>
                </c:pt>
                <c:pt idx="77">
                  <c:v>44461</c:v>
                </c:pt>
                <c:pt idx="78">
                  <c:v>44468</c:v>
                </c:pt>
                <c:pt idx="79">
                  <c:v>44475</c:v>
                </c:pt>
                <c:pt idx="80">
                  <c:v>44482</c:v>
                </c:pt>
                <c:pt idx="81">
                  <c:v>44489</c:v>
                </c:pt>
                <c:pt idx="82">
                  <c:v>44496</c:v>
                </c:pt>
                <c:pt idx="83">
                  <c:v>44503</c:v>
                </c:pt>
                <c:pt idx="84">
                  <c:v>44510</c:v>
                </c:pt>
                <c:pt idx="85">
                  <c:v>44517</c:v>
                </c:pt>
                <c:pt idx="86">
                  <c:v>44524</c:v>
                </c:pt>
                <c:pt idx="87">
                  <c:v>44531</c:v>
                </c:pt>
                <c:pt idx="88">
                  <c:v>44538</c:v>
                </c:pt>
                <c:pt idx="89">
                  <c:v>44545</c:v>
                </c:pt>
                <c:pt idx="90">
                  <c:v>44552</c:v>
                </c:pt>
                <c:pt idx="91">
                  <c:v>44559</c:v>
                </c:pt>
                <c:pt idx="92">
                  <c:v>44566</c:v>
                </c:pt>
                <c:pt idx="93">
                  <c:v>44573</c:v>
                </c:pt>
                <c:pt idx="94">
                  <c:v>44580</c:v>
                </c:pt>
                <c:pt idx="95">
                  <c:v>44587</c:v>
                </c:pt>
                <c:pt idx="96">
                  <c:v>44594</c:v>
                </c:pt>
                <c:pt idx="97">
                  <c:v>44601</c:v>
                </c:pt>
                <c:pt idx="98">
                  <c:v>44608</c:v>
                </c:pt>
                <c:pt idx="99">
                  <c:v>44615</c:v>
                </c:pt>
                <c:pt idx="100">
                  <c:v>44622</c:v>
                </c:pt>
                <c:pt idx="101">
                  <c:v>44629</c:v>
                </c:pt>
                <c:pt idx="102">
                  <c:v>44636</c:v>
                </c:pt>
                <c:pt idx="103">
                  <c:v>44643</c:v>
                </c:pt>
                <c:pt idx="104">
                  <c:v>44650</c:v>
                </c:pt>
                <c:pt idx="105">
                  <c:v>44657</c:v>
                </c:pt>
                <c:pt idx="106">
                  <c:v>44664</c:v>
                </c:pt>
                <c:pt idx="107">
                  <c:v>44671</c:v>
                </c:pt>
                <c:pt idx="108">
                  <c:v>44678</c:v>
                </c:pt>
                <c:pt idx="109">
                  <c:v>44685</c:v>
                </c:pt>
                <c:pt idx="110">
                  <c:v>44692</c:v>
                </c:pt>
                <c:pt idx="111">
                  <c:v>44699</c:v>
                </c:pt>
                <c:pt idx="112">
                  <c:v>44706</c:v>
                </c:pt>
                <c:pt idx="113">
                  <c:v>44713</c:v>
                </c:pt>
                <c:pt idx="114">
                  <c:v>44720</c:v>
                </c:pt>
                <c:pt idx="115">
                  <c:v>44727</c:v>
                </c:pt>
                <c:pt idx="116">
                  <c:v>44734</c:v>
                </c:pt>
                <c:pt idx="117">
                  <c:v>44741</c:v>
                </c:pt>
                <c:pt idx="118">
                  <c:v>44748</c:v>
                </c:pt>
                <c:pt idx="119">
                  <c:v>44755</c:v>
                </c:pt>
                <c:pt idx="120">
                  <c:v>44762</c:v>
                </c:pt>
                <c:pt idx="121">
                  <c:v>44769</c:v>
                </c:pt>
                <c:pt idx="122">
                  <c:v>44776</c:v>
                </c:pt>
                <c:pt idx="123">
                  <c:v>44783</c:v>
                </c:pt>
                <c:pt idx="124">
                  <c:v>44790</c:v>
                </c:pt>
                <c:pt idx="125">
                  <c:v>44797</c:v>
                </c:pt>
                <c:pt idx="126">
                  <c:v>44804</c:v>
                </c:pt>
                <c:pt idx="127">
                  <c:v>44811</c:v>
                </c:pt>
                <c:pt idx="128">
                  <c:v>44818</c:v>
                </c:pt>
                <c:pt idx="129">
                  <c:v>44825</c:v>
                </c:pt>
                <c:pt idx="130">
                  <c:v>44832</c:v>
                </c:pt>
                <c:pt idx="131">
                  <c:v>44839</c:v>
                </c:pt>
                <c:pt idx="132">
                  <c:v>44846</c:v>
                </c:pt>
                <c:pt idx="133">
                  <c:v>44853</c:v>
                </c:pt>
                <c:pt idx="134">
                  <c:v>44860</c:v>
                </c:pt>
                <c:pt idx="135">
                  <c:v>44867</c:v>
                </c:pt>
                <c:pt idx="136">
                  <c:v>44874</c:v>
                </c:pt>
                <c:pt idx="137">
                  <c:v>44881</c:v>
                </c:pt>
                <c:pt idx="138">
                  <c:v>44888</c:v>
                </c:pt>
                <c:pt idx="139">
                  <c:v>44895</c:v>
                </c:pt>
                <c:pt idx="140">
                  <c:v>44902</c:v>
                </c:pt>
                <c:pt idx="141">
                  <c:v>44909</c:v>
                </c:pt>
                <c:pt idx="142">
                  <c:v>44916</c:v>
                </c:pt>
                <c:pt idx="143">
                  <c:v>44923</c:v>
                </c:pt>
                <c:pt idx="144">
                  <c:v>44930</c:v>
                </c:pt>
                <c:pt idx="145">
                  <c:v>44937</c:v>
                </c:pt>
                <c:pt idx="146">
                  <c:v>44944</c:v>
                </c:pt>
                <c:pt idx="147">
                  <c:v>44951</c:v>
                </c:pt>
                <c:pt idx="148">
                  <c:v>44958</c:v>
                </c:pt>
                <c:pt idx="149">
                  <c:v>44965</c:v>
                </c:pt>
                <c:pt idx="150">
                  <c:v>44972</c:v>
                </c:pt>
                <c:pt idx="151">
                  <c:v>44979</c:v>
                </c:pt>
                <c:pt idx="152">
                  <c:v>44986</c:v>
                </c:pt>
                <c:pt idx="153">
                  <c:v>44993</c:v>
                </c:pt>
                <c:pt idx="154">
                  <c:v>45000</c:v>
                </c:pt>
                <c:pt idx="155">
                  <c:v>45007</c:v>
                </c:pt>
                <c:pt idx="156">
                  <c:v>45014</c:v>
                </c:pt>
                <c:pt idx="157">
                  <c:v>45021</c:v>
                </c:pt>
                <c:pt idx="158">
                  <c:v>45028</c:v>
                </c:pt>
                <c:pt idx="159">
                  <c:v>45035</c:v>
                </c:pt>
                <c:pt idx="160">
                  <c:v>45042</c:v>
                </c:pt>
                <c:pt idx="161">
                  <c:v>45049</c:v>
                </c:pt>
                <c:pt idx="162">
                  <c:v>45056</c:v>
                </c:pt>
                <c:pt idx="163">
                  <c:v>45063</c:v>
                </c:pt>
                <c:pt idx="164">
                  <c:v>45070</c:v>
                </c:pt>
                <c:pt idx="165">
                  <c:v>45077</c:v>
                </c:pt>
                <c:pt idx="166">
                  <c:v>45084</c:v>
                </c:pt>
                <c:pt idx="167">
                  <c:v>45091</c:v>
                </c:pt>
                <c:pt idx="168">
                  <c:v>45098</c:v>
                </c:pt>
                <c:pt idx="169">
                  <c:v>45105</c:v>
                </c:pt>
                <c:pt idx="170">
                  <c:v>45112</c:v>
                </c:pt>
                <c:pt idx="171">
                  <c:v>45119</c:v>
                </c:pt>
                <c:pt idx="172">
                  <c:v>45126</c:v>
                </c:pt>
                <c:pt idx="173">
                  <c:v>45133</c:v>
                </c:pt>
                <c:pt idx="174">
                  <c:v>45140</c:v>
                </c:pt>
                <c:pt idx="175">
                  <c:v>45147</c:v>
                </c:pt>
                <c:pt idx="176">
                  <c:v>45154</c:v>
                </c:pt>
                <c:pt idx="177">
                  <c:v>45161</c:v>
                </c:pt>
                <c:pt idx="178">
                  <c:v>45168</c:v>
                </c:pt>
                <c:pt idx="179">
                  <c:v>45175</c:v>
                </c:pt>
                <c:pt idx="180">
                  <c:v>45182</c:v>
                </c:pt>
                <c:pt idx="181">
                  <c:v>45189</c:v>
                </c:pt>
                <c:pt idx="182">
                  <c:v>45196</c:v>
                </c:pt>
                <c:pt idx="183">
                  <c:v>45203</c:v>
                </c:pt>
                <c:pt idx="184">
                  <c:v>45210</c:v>
                </c:pt>
                <c:pt idx="185">
                  <c:v>45217</c:v>
                </c:pt>
                <c:pt idx="186">
                  <c:v>45224</c:v>
                </c:pt>
                <c:pt idx="187">
                  <c:v>45231</c:v>
                </c:pt>
                <c:pt idx="188">
                  <c:v>45238</c:v>
                </c:pt>
                <c:pt idx="189">
                  <c:v>45245</c:v>
                </c:pt>
                <c:pt idx="190">
                  <c:v>45252</c:v>
                </c:pt>
                <c:pt idx="191">
                  <c:v>45259</c:v>
                </c:pt>
                <c:pt idx="192">
                  <c:v>45266</c:v>
                </c:pt>
                <c:pt idx="193">
                  <c:v>45273</c:v>
                </c:pt>
                <c:pt idx="194">
                  <c:v>45280</c:v>
                </c:pt>
                <c:pt idx="195">
                  <c:v>45287</c:v>
                </c:pt>
                <c:pt idx="196">
                  <c:v>45294</c:v>
                </c:pt>
                <c:pt idx="197">
                  <c:v>45301</c:v>
                </c:pt>
                <c:pt idx="198">
                  <c:v>45308</c:v>
                </c:pt>
                <c:pt idx="199">
                  <c:v>45315</c:v>
                </c:pt>
                <c:pt idx="200">
                  <c:v>45322</c:v>
                </c:pt>
                <c:pt idx="201">
                  <c:v>45329</c:v>
                </c:pt>
                <c:pt idx="202">
                  <c:v>45336</c:v>
                </c:pt>
                <c:pt idx="203">
                  <c:v>45343</c:v>
                </c:pt>
                <c:pt idx="204">
                  <c:v>45350</c:v>
                </c:pt>
                <c:pt idx="205">
                  <c:v>45357</c:v>
                </c:pt>
                <c:pt idx="206">
                  <c:v>45364</c:v>
                </c:pt>
                <c:pt idx="207">
                  <c:v>45371</c:v>
                </c:pt>
                <c:pt idx="208">
                  <c:v>45378</c:v>
                </c:pt>
                <c:pt idx="209">
                  <c:v>45385</c:v>
                </c:pt>
                <c:pt idx="210">
                  <c:v>45392</c:v>
                </c:pt>
                <c:pt idx="211">
                  <c:v>45399</c:v>
                </c:pt>
                <c:pt idx="212">
                  <c:v>45406</c:v>
                </c:pt>
                <c:pt idx="213">
                  <c:v>45413</c:v>
                </c:pt>
                <c:pt idx="214">
                  <c:v>45420</c:v>
                </c:pt>
                <c:pt idx="215">
                  <c:v>45427</c:v>
                </c:pt>
                <c:pt idx="216">
                  <c:v>45434</c:v>
                </c:pt>
                <c:pt idx="217">
                  <c:v>45441</c:v>
                </c:pt>
                <c:pt idx="218">
                  <c:v>45448</c:v>
                </c:pt>
                <c:pt idx="219">
                  <c:v>45455</c:v>
                </c:pt>
                <c:pt idx="220">
                  <c:v>45462</c:v>
                </c:pt>
                <c:pt idx="221">
                  <c:v>45469</c:v>
                </c:pt>
                <c:pt idx="222">
                  <c:v>45476</c:v>
                </c:pt>
                <c:pt idx="223">
                  <c:v>45483</c:v>
                </c:pt>
                <c:pt idx="224">
                  <c:v>45490</c:v>
                </c:pt>
                <c:pt idx="225">
                  <c:v>45497</c:v>
                </c:pt>
                <c:pt idx="226">
                  <c:v>45504</c:v>
                </c:pt>
                <c:pt idx="227">
                  <c:v>45511</c:v>
                </c:pt>
                <c:pt idx="228">
                  <c:v>45518</c:v>
                </c:pt>
                <c:pt idx="229">
                  <c:v>45525</c:v>
                </c:pt>
                <c:pt idx="230">
                  <c:v>45532</c:v>
                </c:pt>
                <c:pt idx="231">
                  <c:v>45539</c:v>
                </c:pt>
                <c:pt idx="232">
                  <c:v>45546</c:v>
                </c:pt>
                <c:pt idx="233">
                  <c:v>45553</c:v>
                </c:pt>
                <c:pt idx="234">
                  <c:v>45560</c:v>
                </c:pt>
                <c:pt idx="235">
                  <c:v>45567</c:v>
                </c:pt>
                <c:pt idx="236">
                  <c:v>45574</c:v>
                </c:pt>
                <c:pt idx="237">
                  <c:v>45581</c:v>
                </c:pt>
                <c:pt idx="238">
                  <c:v>45588</c:v>
                </c:pt>
                <c:pt idx="239">
                  <c:v>45595</c:v>
                </c:pt>
                <c:pt idx="240">
                  <c:v>45602</c:v>
                </c:pt>
                <c:pt idx="241">
                  <c:v>45609</c:v>
                </c:pt>
                <c:pt idx="242">
                  <c:v>45616</c:v>
                </c:pt>
                <c:pt idx="243">
                  <c:v>45623</c:v>
                </c:pt>
                <c:pt idx="244">
                  <c:v>45630</c:v>
                </c:pt>
                <c:pt idx="245">
                  <c:v>45637</c:v>
                </c:pt>
                <c:pt idx="246">
                  <c:v>45644</c:v>
                </c:pt>
                <c:pt idx="247">
                  <c:v>45651</c:v>
                </c:pt>
                <c:pt idx="248">
                  <c:v>45658</c:v>
                </c:pt>
                <c:pt idx="249">
                  <c:v>45665</c:v>
                </c:pt>
                <c:pt idx="250">
                  <c:v>45672</c:v>
                </c:pt>
                <c:pt idx="251">
                  <c:v>45679</c:v>
                </c:pt>
                <c:pt idx="252">
                  <c:v>45686</c:v>
                </c:pt>
                <c:pt idx="253">
                  <c:v>45693</c:v>
                </c:pt>
                <c:pt idx="254">
                  <c:v>45700</c:v>
                </c:pt>
                <c:pt idx="255">
                  <c:v>45707</c:v>
                </c:pt>
                <c:pt idx="256">
                  <c:v>45714</c:v>
                </c:pt>
                <c:pt idx="257">
                  <c:v>45721</c:v>
                </c:pt>
                <c:pt idx="258">
                  <c:v>45728</c:v>
                </c:pt>
                <c:pt idx="259">
                  <c:v>45735</c:v>
                </c:pt>
                <c:pt idx="260">
                  <c:v>45742</c:v>
                </c:pt>
                <c:pt idx="261">
                  <c:v>45749</c:v>
                </c:pt>
                <c:pt idx="262">
                  <c:v>45756</c:v>
                </c:pt>
                <c:pt idx="263">
                  <c:v>45763</c:v>
                </c:pt>
                <c:pt idx="264">
                  <c:v>45770</c:v>
                </c:pt>
                <c:pt idx="265">
                  <c:v>45777</c:v>
                </c:pt>
                <c:pt idx="266">
                  <c:v>45784</c:v>
                </c:pt>
                <c:pt idx="267">
                  <c:v>45791</c:v>
                </c:pt>
                <c:pt idx="268">
                  <c:v>45798</c:v>
                </c:pt>
                <c:pt idx="269">
                  <c:v>45805</c:v>
                </c:pt>
                <c:pt idx="270">
                  <c:v>45812</c:v>
                </c:pt>
                <c:pt idx="271">
                  <c:v>45819</c:v>
                </c:pt>
                <c:pt idx="272">
                  <c:v>45826</c:v>
                </c:pt>
                <c:pt idx="273">
                  <c:v>45833</c:v>
                </c:pt>
                <c:pt idx="274">
                  <c:v>45840</c:v>
                </c:pt>
                <c:pt idx="275">
                  <c:v>45847</c:v>
                </c:pt>
                <c:pt idx="276">
                  <c:v>45854</c:v>
                </c:pt>
                <c:pt idx="277">
                  <c:v>45861</c:v>
                </c:pt>
                <c:pt idx="278">
                  <c:v>45868</c:v>
                </c:pt>
                <c:pt idx="279">
                  <c:v>45875</c:v>
                </c:pt>
                <c:pt idx="280">
                  <c:v>45882</c:v>
                </c:pt>
                <c:pt idx="281">
                  <c:v>45889</c:v>
                </c:pt>
                <c:pt idx="282">
                  <c:v>45896</c:v>
                </c:pt>
                <c:pt idx="283">
                  <c:v>45903</c:v>
                </c:pt>
                <c:pt idx="284">
                  <c:v>45910</c:v>
                </c:pt>
                <c:pt idx="285">
                  <c:v>45917</c:v>
                </c:pt>
                <c:pt idx="286">
                  <c:v>45924</c:v>
                </c:pt>
                <c:pt idx="287">
                  <c:v>45931</c:v>
                </c:pt>
                <c:pt idx="288">
                  <c:v>45938</c:v>
                </c:pt>
                <c:pt idx="289">
                  <c:v>45945</c:v>
                </c:pt>
                <c:pt idx="290">
                  <c:v>45952</c:v>
                </c:pt>
                <c:pt idx="291">
                  <c:v>45959</c:v>
                </c:pt>
                <c:pt idx="292">
                  <c:v>45966</c:v>
                </c:pt>
                <c:pt idx="293">
                  <c:v>45973</c:v>
                </c:pt>
                <c:pt idx="294">
                  <c:v>45980</c:v>
                </c:pt>
                <c:pt idx="295">
                  <c:v>45987</c:v>
                </c:pt>
                <c:pt idx="296">
                  <c:v>45994</c:v>
                </c:pt>
                <c:pt idx="297">
                  <c:v>46001</c:v>
                </c:pt>
              </c:numCache>
            </c:numRef>
          </c:cat>
          <c:val>
            <c:numRef>
              <c:f>资产负债表!$O$17:$O$314</c:f>
              <c:numCache>
                <c:formatCode>General</c:formatCode>
                <c:ptCount val="298"/>
                <c:pt idx="0">
                  <c:v>5092.28</c:v>
                </c:pt>
                <c:pt idx="1">
                  <c:v>5769.18</c:v>
                </c:pt>
                <c:pt idx="2">
                  <c:v>6212.55</c:v>
                </c:pt>
                <c:pt idx="3">
                  <c:v>6593.09</c:v>
                </c:pt>
                <c:pt idx="4">
                  <c:v>6655.96</c:v>
                </c:pt>
                <c:pt idx="5">
                  <c:v>6758.1</c:v>
                </c:pt>
                <c:pt idx="6">
                  <c:v>6866.28</c:v>
                </c:pt>
                <c:pt idx="7">
                  <c:v>7112.58</c:v>
                </c:pt>
                <c:pt idx="8">
                  <c:v>7199.15</c:v>
                </c:pt>
                <c:pt idx="9">
                  <c:v>7193.93</c:v>
                </c:pt>
                <c:pt idx="10">
                  <c:v>7253.16</c:v>
                </c:pt>
                <c:pt idx="11">
                  <c:v>7291.59</c:v>
                </c:pt>
                <c:pt idx="12">
                  <c:v>7358.83</c:v>
                </c:pt>
                <c:pt idx="13">
                  <c:v>7321.5</c:v>
                </c:pt>
                <c:pt idx="14">
                  <c:v>7354.26</c:v>
                </c:pt>
                <c:pt idx="15">
                  <c:v>7381.29</c:v>
                </c:pt>
                <c:pt idx="16">
                  <c:v>7458.67</c:v>
                </c:pt>
                <c:pt idx="17">
                  <c:v>7461.56</c:v>
                </c:pt>
                <c:pt idx="18">
                  <c:v>7454.63</c:v>
                </c:pt>
                <c:pt idx="19">
                  <c:v>7546.25</c:v>
                </c:pt>
                <c:pt idx="20">
                  <c:v>7626.21</c:v>
                </c:pt>
                <c:pt idx="21">
                  <c:v>7719.01</c:v>
                </c:pt>
                <c:pt idx="22">
                  <c:v>7669.33</c:v>
                </c:pt>
                <c:pt idx="23">
                  <c:v>7709.51</c:v>
                </c:pt>
                <c:pt idx="24">
                  <c:v>7782.37</c:v>
                </c:pt>
                <c:pt idx="25">
                  <c:v>7872.9</c:v>
                </c:pt>
                <c:pt idx="26">
                  <c:v>7888.68</c:v>
                </c:pt>
                <c:pt idx="27">
                  <c:v>7971.12</c:v>
                </c:pt>
                <c:pt idx="28">
                  <c:v>7979.37</c:v>
                </c:pt>
                <c:pt idx="29">
                  <c:v>8052.91</c:v>
                </c:pt>
                <c:pt idx="30">
                  <c:v>8093.23</c:v>
                </c:pt>
                <c:pt idx="31">
                  <c:v>8124.04</c:v>
                </c:pt>
                <c:pt idx="32">
                  <c:v>8124.5</c:v>
                </c:pt>
                <c:pt idx="33">
                  <c:v>8247.9699999999993</c:v>
                </c:pt>
                <c:pt idx="34">
                  <c:v>8266.9699999999993</c:v>
                </c:pt>
                <c:pt idx="35">
                  <c:v>8296.64</c:v>
                </c:pt>
                <c:pt idx="36">
                  <c:v>8306.5</c:v>
                </c:pt>
                <c:pt idx="37">
                  <c:v>8322.86</c:v>
                </c:pt>
                <c:pt idx="38">
                  <c:v>8332.43</c:v>
                </c:pt>
                <c:pt idx="39">
                  <c:v>8279.14</c:v>
                </c:pt>
                <c:pt idx="40">
                  <c:v>8368.76</c:v>
                </c:pt>
                <c:pt idx="41">
                  <c:v>8431.74</c:v>
                </c:pt>
                <c:pt idx="42">
                  <c:v>8261.5</c:v>
                </c:pt>
                <c:pt idx="43">
                  <c:v>8342.2199999999993</c:v>
                </c:pt>
                <c:pt idx="44">
                  <c:v>8368.02</c:v>
                </c:pt>
                <c:pt idx="45">
                  <c:v>8456.58</c:v>
                </c:pt>
                <c:pt idx="46">
                  <c:v>8517.4699999999993</c:v>
                </c:pt>
                <c:pt idx="47">
                  <c:v>8587.15</c:v>
                </c:pt>
                <c:pt idx="48">
                  <c:v>8666.24</c:v>
                </c:pt>
                <c:pt idx="49">
                  <c:v>8709.02</c:v>
                </c:pt>
                <c:pt idx="50">
                  <c:v>8771.15</c:v>
                </c:pt>
                <c:pt idx="51">
                  <c:v>8785.99</c:v>
                </c:pt>
                <c:pt idx="52">
                  <c:v>8890.19</c:v>
                </c:pt>
                <c:pt idx="53">
                  <c:v>8891.86</c:v>
                </c:pt>
                <c:pt idx="54">
                  <c:v>8942.08</c:v>
                </c:pt>
                <c:pt idx="55">
                  <c:v>9006.9699999999993</c:v>
                </c:pt>
                <c:pt idx="56">
                  <c:v>9060.4699999999993</c:v>
                </c:pt>
                <c:pt idx="57">
                  <c:v>9062.3799999999992</c:v>
                </c:pt>
                <c:pt idx="58">
                  <c:v>9109.43</c:v>
                </c:pt>
                <c:pt idx="59">
                  <c:v>9189.3799999999992</c:v>
                </c:pt>
                <c:pt idx="60">
                  <c:v>9265.6200000000008</c:v>
                </c:pt>
                <c:pt idx="61">
                  <c:v>9287.5499999999993</c:v>
                </c:pt>
                <c:pt idx="62">
                  <c:v>9339.34</c:v>
                </c:pt>
                <c:pt idx="63">
                  <c:v>9432.49</c:v>
                </c:pt>
                <c:pt idx="64">
                  <c:v>9475.93</c:v>
                </c:pt>
                <c:pt idx="65">
                  <c:v>9509.7199999999993</c:v>
                </c:pt>
                <c:pt idx="66">
                  <c:v>9544.33</c:v>
                </c:pt>
                <c:pt idx="67">
                  <c:v>9486.34</c:v>
                </c:pt>
                <c:pt idx="68">
                  <c:v>9594.14</c:v>
                </c:pt>
                <c:pt idx="69">
                  <c:v>9621.61</c:v>
                </c:pt>
                <c:pt idx="70">
                  <c:v>9600.16</c:v>
                </c:pt>
                <c:pt idx="71">
                  <c:v>9679.8700000000008</c:v>
                </c:pt>
                <c:pt idx="72">
                  <c:v>9731.08</c:v>
                </c:pt>
                <c:pt idx="73">
                  <c:v>9814.8700000000008</c:v>
                </c:pt>
                <c:pt idx="74">
                  <c:v>9781.39</c:v>
                </c:pt>
                <c:pt idx="75">
                  <c:v>9814.98</c:v>
                </c:pt>
                <c:pt idx="76">
                  <c:v>9904.94</c:v>
                </c:pt>
                <c:pt idx="77">
                  <c:v>9949.8799999999992</c:v>
                </c:pt>
                <c:pt idx="78">
                  <c:v>9817.56</c:v>
                </c:pt>
                <c:pt idx="79">
                  <c:v>9942.6299999999992</c:v>
                </c:pt>
                <c:pt idx="80">
                  <c:v>9951.5400000000009</c:v>
                </c:pt>
                <c:pt idx="81">
                  <c:v>10015.02</c:v>
                </c:pt>
                <c:pt idx="82">
                  <c:v>10066.65</c:v>
                </c:pt>
                <c:pt idx="83">
                  <c:v>10013.73</c:v>
                </c:pt>
                <c:pt idx="84">
                  <c:v>10055.51</c:v>
                </c:pt>
                <c:pt idx="85">
                  <c:v>10088.48</c:v>
                </c:pt>
                <c:pt idx="86">
                  <c:v>10092.040000000001</c:v>
                </c:pt>
                <c:pt idx="87">
                  <c:v>10061.379999999999</c:v>
                </c:pt>
                <c:pt idx="88">
                  <c:v>10096.969999999999</c:v>
                </c:pt>
                <c:pt idx="89">
                  <c:v>10180.9</c:v>
                </c:pt>
                <c:pt idx="90">
                  <c:v>10232.31</c:v>
                </c:pt>
                <c:pt idx="91">
                  <c:v>10235.19</c:v>
                </c:pt>
                <c:pt idx="92">
                  <c:v>10193.780000000001</c:v>
                </c:pt>
                <c:pt idx="93">
                  <c:v>10272.959999999999</c:v>
                </c:pt>
                <c:pt idx="94">
                  <c:v>10120.379999999999</c:v>
                </c:pt>
                <c:pt idx="95">
                  <c:v>10144.77</c:v>
                </c:pt>
                <c:pt idx="96">
                  <c:v>10119.98</c:v>
                </c:pt>
                <c:pt idx="97">
                  <c:v>10121.040000000001</c:v>
                </c:pt>
                <c:pt idx="98">
                  <c:v>9916.2000000000007</c:v>
                </c:pt>
                <c:pt idx="99">
                  <c:v>10143.89</c:v>
                </c:pt>
                <c:pt idx="100">
                  <c:v>9999.49</c:v>
                </c:pt>
                <c:pt idx="101">
                  <c:v>10018.120000000001</c:v>
                </c:pt>
                <c:pt idx="102">
                  <c:v>10077.89</c:v>
                </c:pt>
                <c:pt idx="103">
                  <c:v>10080.540000000001</c:v>
                </c:pt>
                <c:pt idx="104">
                  <c:v>9945.59</c:v>
                </c:pt>
                <c:pt idx="105">
                  <c:v>10062.51</c:v>
                </c:pt>
                <c:pt idx="106">
                  <c:v>10065.549999999999</c:v>
                </c:pt>
                <c:pt idx="107">
                  <c:v>10168.26</c:v>
                </c:pt>
                <c:pt idx="108">
                  <c:v>10171.34</c:v>
                </c:pt>
                <c:pt idx="109">
                  <c:v>10176.59</c:v>
                </c:pt>
                <c:pt idx="110">
                  <c:v>10180.99</c:v>
                </c:pt>
                <c:pt idx="111">
                  <c:v>10279.82</c:v>
                </c:pt>
                <c:pt idx="112">
                  <c:v>10284.23</c:v>
                </c:pt>
                <c:pt idx="113">
                  <c:v>10266.09</c:v>
                </c:pt>
                <c:pt idx="114">
                  <c:v>10268.049999999999</c:v>
                </c:pt>
                <c:pt idx="115">
                  <c:v>10289.41</c:v>
                </c:pt>
                <c:pt idx="116">
                  <c:v>10291.36</c:v>
                </c:pt>
                <c:pt idx="117">
                  <c:v>10198.34</c:v>
                </c:pt>
                <c:pt idx="118">
                  <c:v>10232.42</c:v>
                </c:pt>
                <c:pt idx="119">
                  <c:v>10236.18</c:v>
                </c:pt>
                <c:pt idx="120">
                  <c:v>10191.290000000001</c:v>
                </c:pt>
                <c:pt idx="121">
                  <c:v>10194.83</c:v>
                </c:pt>
                <c:pt idx="122">
                  <c:v>10177.34</c:v>
                </c:pt>
                <c:pt idx="123">
                  <c:v>10181.799999999999</c:v>
                </c:pt>
                <c:pt idx="124">
                  <c:v>9867.3799999999992</c:v>
                </c:pt>
                <c:pt idx="125">
                  <c:v>10093.209999999999</c:v>
                </c:pt>
                <c:pt idx="126">
                  <c:v>10009.36</c:v>
                </c:pt>
                <c:pt idx="127">
                  <c:v>10009.32</c:v>
                </c:pt>
                <c:pt idx="128">
                  <c:v>10009.280000000001</c:v>
                </c:pt>
                <c:pt idx="129">
                  <c:v>10009.24</c:v>
                </c:pt>
                <c:pt idx="130">
                  <c:v>10009.200000000001</c:v>
                </c:pt>
                <c:pt idx="131">
                  <c:v>9919.82</c:v>
                </c:pt>
                <c:pt idx="132">
                  <c:v>9919.7099999999991</c:v>
                </c:pt>
                <c:pt idx="133">
                  <c:v>9919.59</c:v>
                </c:pt>
                <c:pt idx="134">
                  <c:v>9919.4699999999993</c:v>
                </c:pt>
                <c:pt idx="135">
                  <c:v>9803.4599999999991</c:v>
                </c:pt>
                <c:pt idx="136">
                  <c:v>9804.41</c:v>
                </c:pt>
                <c:pt idx="137">
                  <c:v>9446.89</c:v>
                </c:pt>
                <c:pt idx="138">
                  <c:v>9570.4599999999991</c:v>
                </c:pt>
                <c:pt idx="139">
                  <c:v>9488.69</c:v>
                </c:pt>
                <c:pt idx="140">
                  <c:v>9490.0499999999993</c:v>
                </c:pt>
                <c:pt idx="141">
                  <c:v>9491.4</c:v>
                </c:pt>
                <c:pt idx="142">
                  <c:v>9492.75</c:v>
                </c:pt>
                <c:pt idx="143">
                  <c:v>9494.1</c:v>
                </c:pt>
                <c:pt idx="144">
                  <c:v>9372.1200000000008</c:v>
                </c:pt>
                <c:pt idx="145">
                  <c:v>9371.7800000000007</c:v>
                </c:pt>
                <c:pt idx="146">
                  <c:v>9195.68</c:v>
                </c:pt>
                <c:pt idx="147">
                  <c:v>9195.3799999999992</c:v>
                </c:pt>
                <c:pt idx="148">
                  <c:v>9104.93</c:v>
                </c:pt>
                <c:pt idx="149">
                  <c:v>9103.93</c:v>
                </c:pt>
                <c:pt idx="150">
                  <c:v>9002.74</c:v>
                </c:pt>
                <c:pt idx="151">
                  <c:v>9139.01</c:v>
                </c:pt>
                <c:pt idx="152">
                  <c:v>9083.7000000000007</c:v>
                </c:pt>
                <c:pt idx="153">
                  <c:v>9085.64</c:v>
                </c:pt>
                <c:pt idx="154">
                  <c:v>9087.99</c:v>
                </c:pt>
                <c:pt idx="155">
                  <c:v>9090.34</c:v>
                </c:pt>
                <c:pt idx="156">
                  <c:v>9092.69</c:v>
                </c:pt>
                <c:pt idx="157">
                  <c:v>8925.7099999999991</c:v>
                </c:pt>
                <c:pt idx="158">
                  <c:v>8927.42</c:v>
                </c:pt>
                <c:pt idx="159">
                  <c:v>8793.85</c:v>
                </c:pt>
                <c:pt idx="160">
                  <c:v>8795.86</c:v>
                </c:pt>
                <c:pt idx="161">
                  <c:v>8712.84</c:v>
                </c:pt>
                <c:pt idx="162">
                  <c:v>8713.9500000000007</c:v>
                </c:pt>
                <c:pt idx="163">
                  <c:v>8605.59</c:v>
                </c:pt>
                <c:pt idx="164">
                  <c:v>8701.81</c:v>
                </c:pt>
                <c:pt idx="165">
                  <c:v>8676.61</c:v>
                </c:pt>
                <c:pt idx="166">
                  <c:v>8678.02</c:v>
                </c:pt>
                <c:pt idx="167">
                  <c:v>8679.43</c:v>
                </c:pt>
                <c:pt idx="168">
                  <c:v>8680.84</c:v>
                </c:pt>
                <c:pt idx="169">
                  <c:v>8682.02</c:v>
                </c:pt>
                <c:pt idx="170">
                  <c:v>8540.7199999999993</c:v>
                </c:pt>
                <c:pt idx="171">
                  <c:v>8541.4</c:v>
                </c:pt>
                <c:pt idx="172">
                  <c:v>8421.68</c:v>
                </c:pt>
                <c:pt idx="173">
                  <c:v>8422.2999999999993</c:v>
                </c:pt>
                <c:pt idx="174">
                  <c:v>8353.6200000000008</c:v>
                </c:pt>
                <c:pt idx="175">
                  <c:v>8354.41</c:v>
                </c:pt>
                <c:pt idx="176">
                  <c:v>8176.56</c:v>
                </c:pt>
                <c:pt idx="177">
                  <c:v>8319.51</c:v>
                </c:pt>
                <c:pt idx="178">
                  <c:v>8320.2999999999993</c:v>
                </c:pt>
                <c:pt idx="179">
                  <c:v>8266.2900000000009</c:v>
                </c:pt>
                <c:pt idx="180">
                  <c:v>8266.77</c:v>
                </c:pt>
                <c:pt idx="181">
                  <c:v>8267.26</c:v>
                </c:pt>
                <c:pt idx="182">
                  <c:v>8267.74</c:v>
                </c:pt>
                <c:pt idx="183">
                  <c:v>8182.58</c:v>
                </c:pt>
                <c:pt idx="184">
                  <c:v>8183.66</c:v>
                </c:pt>
                <c:pt idx="185">
                  <c:v>8184.73</c:v>
                </c:pt>
                <c:pt idx="186">
                  <c:v>8185.8</c:v>
                </c:pt>
                <c:pt idx="187">
                  <c:v>8078.63</c:v>
                </c:pt>
                <c:pt idx="188">
                  <c:v>8079.28</c:v>
                </c:pt>
                <c:pt idx="189">
                  <c:v>7840.28</c:v>
                </c:pt>
                <c:pt idx="190">
                  <c:v>7848.62</c:v>
                </c:pt>
                <c:pt idx="191">
                  <c:v>7849.16</c:v>
                </c:pt>
                <c:pt idx="192">
                  <c:v>7793.68</c:v>
                </c:pt>
                <c:pt idx="193">
                  <c:v>7793.58</c:v>
                </c:pt>
                <c:pt idx="194">
                  <c:v>7793.49</c:v>
                </c:pt>
                <c:pt idx="195">
                  <c:v>7793.39</c:v>
                </c:pt>
                <c:pt idx="196">
                  <c:v>7717.04</c:v>
                </c:pt>
                <c:pt idx="197">
                  <c:v>7716.54</c:v>
                </c:pt>
                <c:pt idx="198">
                  <c:v>7497.92</c:v>
                </c:pt>
                <c:pt idx="199">
                  <c:v>7497.52</c:v>
                </c:pt>
                <c:pt idx="200">
                  <c:v>7417.9</c:v>
                </c:pt>
                <c:pt idx="201">
                  <c:v>7417.69</c:v>
                </c:pt>
                <c:pt idx="202">
                  <c:v>7417.48</c:v>
                </c:pt>
                <c:pt idx="203">
                  <c:v>7162.76</c:v>
                </c:pt>
                <c:pt idx="204">
                  <c:v>7076.56</c:v>
                </c:pt>
                <c:pt idx="205">
                  <c:v>7095.63</c:v>
                </c:pt>
                <c:pt idx="206">
                  <c:v>7097</c:v>
                </c:pt>
                <c:pt idx="207">
                  <c:v>7098.08</c:v>
                </c:pt>
                <c:pt idx="208">
                  <c:v>7099.16</c:v>
                </c:pt>
                <c:pt idx="209">
                  <c:v>7012.79</c:v>
                </c:pt>
                <c:pt idx="210">
                  <c:v>7014.07</c:v>
                </c:pt>
                <c:pt idx="211">
                  <c:v>6841.07</c:v>
                </c:pt>
                <c:pt idx="212">
                  <c:v>6842.09</c:v>
                </c:pt>
                <c:pt idx="213">
                  <c:v>6784.59</c:v>
                </c:pt>
                <c:pt idx="214">
                  <c:v>6785.62</c:v>
                </c:pt>
                <c:pt idx="215">
                  <c:v>6434.1</c:v>
                </c:pt>
                <c:pt idx="216">
                  <c:v>6487.92</c:v>
                </c:pt>
                <c:pt idx="217">
                  <c:v>6488.95</c:v>
                </c:pt>
                <c:pt idx="218">
                  <c:v>6462.34</c:v>
                </c:pt>
                <c:pt idx="219">
                  <c:v>6463</c:v>
                </c:pt>
                <c:pt idx="220">
                  <c:v>6476.26</c:v>
                </c:pt>
                <c:pt idx="221">
                  <c:v>6476.92</c:v>
                </c:pt>
                <c:pt idx="222">
                  <c:v>6462.17</c:v>
                </c:pt>
                <c:pt idx="223">
                  <c:v>6462.4</c:v>
                </c:pt>
                <c:pt idx="224">
                  <c:v>6376.3</c:v>
                </c:pt>
                <c:pt idx="225">
                  <c:v>6376.51</c:v>
                </c:pt>
                <c:pt idx="226">
                  <c:v>6378.5</c:v>
                </c:pt>
                <c:pt idx="227">
                  <c:v>6378.54</c:v>
                </c:pt>
                <c:pt idx="228">
                  <c:v>5835.58</c:v>
                </c:pt>
                <c:pt idx="229">
                  <c:v>5915.5</c:v>
                </c:pt>
                <c:pt idx="230">
                  <c:v>5915.54</c:v>
                </c:pt>
                <c:pt idx="231">
                  <c:v>5902.45</c:v>
                </c:pt>
                <c:pt idx="232">
                  <c:v>5902.61</c:v>
                </c:pt>
                <c:pt idx="233">
                  <c:v>5906.49</c:v>
                </c:pt>
                <c:pt idx="234">
                  <c:v>5906.65</c:v>
                </c:pt>
                <c:pt idx="235">
                  <c:v>5919.34</c:v>
                </c:pt>
                <c:pt idx="236">
                  <c:v>5919.44</c:v>
                </c:pt>
                <c:pt idx="237">
                  <c:v>5924.91</c:v>
                </c:pt>
                <c:pt idx="238">
                  <c:v>5925.01</c:v>
                </c:pt>
                <c:pt idx="239">
                  <c:v>5925.12</c:v>
                </c:pt>
                <c:pt idx="240">
                  <c:v>5932.75</c:v>
                </c:pt>
                <c:pt idx="241">
                  <c:v>5932.97</c:v>
                </c:pt>
                <c:pt idx="242">
                  <c:v>5489.83</c:v>
                </c:pt>
                <c:pt idx="243">
                  <c:v>5490.09</c:v>
                </c:pt>
                <c:pt idx="244">
                  <c:v>5482.21</c:v>
                </c:pt>
                <c:pt idx="245">
                  <c:v>5482.37</c:v>
                </c:pt>
                <c:pt idx="246">
                  <c:v>5485.31</c:v>
                </c:pt>
                <c:pt idx="247">
                  <c:v>5485.47</c:v>
                </c:pt>
                <c:pt idx="248">
                  <c:v>5489.93</c:v>
                </c:pt>
                <c:pt idx="249">
                  <c:v>5490.09</c:v>
                </c:pt>
                <c:pt idx="250">
                  <c:v>5456.7</c:v>
                </c:pt>
                <c:pt idx="251">
                  <c:v>5456.65</c:v>
                </c:pt>
                <c:pt idx="252">
                  <c:v>5456.59</c:v>
                </c:pt>
                <c:pt idx="253">
                  <c:v>5492.06</c:v>
                </c:pt>
                <c:pt idx="254">
                  <c:v>5492.1</c:v>
                </c:pt>
                <c:pt idx="255">
                  <c:v>5312.57</c:v>
                </c:pt>
                <c:pt idx="256">
                  <c:v>5312.62</c:v>
                </c:pt>
                <c:pt idx="257">
                  <c:v>5278.11</c:v>
                </c:pt>
                <c:pt idx="258">
                  <c:v>5278.83</c:v>
                </c:pt>
                <c:pt idx="259">
                  <c:v>5286.15</c:v>
                </c:pt>
                <c:pt idx="260">
                  <c:v>5286.86</c:v>
                </c:pt>
                <c:pt idx="261">
                  <c:v>5305.87</c:v>
                </c:pt>
                <c:pt idx="262">
                  <c:v>5306.38</c:v>
                </c:pt>
                <c:pt idx="263">
                  <c:v>5371.98</c:v>
                </c:pt>
                <c:pt idx="264">
                  <c:v>5372.49</c:v>
                </c:pt>
                <c:pt idx="265">
                  <c:v>5368.97</c:v>
                </c:pt>
                <c:pt idx="266">
                  <c:v>5369.22</c:v>
                </c:pt>
                <c:pt idx="267">
                  <c:v>4964.1000000000004</c:v>
                </c:pt>
                <c:pt idx="268">
                  <c:v>5112.6099999999997</c:v>
                </c:pt>
                <c:pt idx="269">
                  <c:v>5112.8599999999997</c:v>
                </c:pt>
                <c:pt idx="270">
                  <c:v>5107.68</c:v>
                </c:pt>
                <c:pt idx="271">
                  <c:v>5108.04</c:v>
                </c:pt>
                <c:pt idx="272">
                  <c:v>5115.46</c:v>
                </c:pt>
                <c:pt idx="273">
                  <c:v>5115.7700000000004</c:v>
                </c:pt>
                <c:pt idx="274">
                  <c:v>5159.88</c:v>
                </c:pt>
                <c:pt idx="275">
                  <c:v>5160.1099999999997</c:v>
                </c:pt>
                <c:pt idx="276">
                  <c:v>5102.5600000000004</c:v>
                </c:pt>
                <c:pt idx="277">
                  <c:v>5102.75</c:v>
                </c:pt>
                <c:pt idx="278">
                  <c:v>5102.8999999999996</c:v>
                </c:pt>
                <c:pt idx="279">
                  <c:v>5147.4799999999996</c:v>
                </c:pt>
                <c:pt idx="280">
                  <c:v>5147.79</c:v>
                </c:pt>
                <c:pt idx="281">
                  <c:v>5008.01</c:v>
                </c:pt>
                <c:pt idx="282">
                  <c:v>5008.33</c:v>
                </c:pt>
                <c:pt idx="283">
                  <c:v>5024.33</c:v>
                </c:pt>
                <c:pt idx="284">
                  <c:v>5024.47</c:v>
                </c:pt>
                <c:pt idx="285">
                  <c:v>5024.62</c:v>
                </c:pt>
                <c:pt idx="286">
                  <c:v>5024.76</c:v>
                </c:pt>
                <c:pt idx="287">
                  <c:v>5059.7700000000004</c:v>
                </c:pt>
                <c:pt idx="288">
                  <c:v>5060.04</c:v>
                </c:pt>
                <c:pt idx="289">
                  <c:v>5067.55</c:v>
                </c:pt>
                <c:pt idx="290">
                  <c:v>5067.82</c:v>
                </c:pt>
                <c:pt idx="291">
                  <c:v>5068.1000000000004</c:v>
                </c:pt>
                <c:pt idx="292">
                  <c:v>5093.62</c:v>
                </c:pt>
                <c:pt idx="293">
                  <c:v>5093.87</c:v>
                </c:pt>
                <c:pt idx="294">
                  <c:v>4910.25</c:v>
                </c:pt>
                <c:pt idx="295">
                  <c:v>4910.53</c:v>
                </c:pt>
                <c:pt idx="296">
                  <c:v>4956.54</c:v>
                </c:pt>
                <c:pt idx="297">
                  <c:v>4956.78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F-4901-870D-A1A0570CAB8D}"/>
            </c:ext>
          </c:extLst>
        </c:ser>
        <c:ser>
          <c:idx val="3"/>
          <c:order val="3"/>
          <c:tx>
            <c:strRef>
              <c:f>资产负债表!$P$3</c:f>
              <c:strCache>
                <c:ptCount val="1"/>
                <c:pt idx="0">
                  <c:v>大于10年</c:v>
                </c:pt>
              </c:strCache>
            </c:strRef>
          </c:tx>
          <c:spPr>
            <a:ln w="15875" cap="rnd">
              <a:solidFill>
                <a:sysClr val="windowText" lastClr="000000">
                  <a:lumMod val="95000"/>
                  <a:lumOff val="5000"/>
                </a:sys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资产负债表!$I$17:$I$314</c:f>
              <c:numCache>
                <c:formatCode>yyyy\-mm\-dd</c:formatCode>
                <c:ptCount val="298"/>
                <c:pt idx="0">
                  <c:v>43922</c:v>
                </c:pt>
                <c:pt idx="1">
                  <c:v>43929</c:v>
                </c:pt>
                <c:pt idx="2">
                  <c:v>43936</c:v>
                </c:pt>
                <c:pt idx="3">
                  <c:v>43943</c:v>
                </c:pt>
                <c:pt idx="4">
                  <c:v>43950</c:v>
                </c:pt>
                <c:pt idx="5">
                  <c:v>43957</c:v>
                </c:pt>
                <c:pt idx="6">
                  <c:v>43964</c:v>
                </c:pt>
                <c:pt idx="7">
                  <c:v>43971</c:v>
                </c:pt>
                <c:pt idx="8">
                  <c:v>43978</c:v>
                </c:pt>
                <c:pt idx="9">
                  <c:v>43985</c:v>
                </c:pt>
                <c:pt idx="10">
                  <c:v>43992</c:v>
                </c:pt>
                <c:pt idx="11">
                  <c:v>43999</c:v>
                </c:pt>
                <c:pt idx="12">
                  <c:v>44006</c:v>
                </c:pt>
                <c:pt idx="13">
                  <c:v>44013</c:v>
                </c:pt>
                <c:pt idx="14">
                  <c:v>44020</c:v>
                </c:pt>
                <c:pt idx="15">
                  <c:v>44027</c:v>
                </c:pt>
                <c:pt idx="16">
                  <c:v>44034</c:v>
                </c:pt>
                <c:pt idx="17">
                  <c:v>44041</c:v>
                </c:pt>
                <c:pt idx="18">
                  <c:v>44048</c:v>
                </c:pt>
                <c:pt idx="19">
                  <c:v>44055</c:v>
                </c:pt>
                <c:pt idx="20">
                  <c:v>44062</c:v>
                </c:pt>
                <c:pt idx="21">
                  <c:v>44069</c:v>
                </c:pt>
                <c:pt idx="22">
                  <c:v>44076</c:v>
                </c:pt>
                <c:pt idx="23">
                  <c:v>44083</c:v>
                </c:pt>
                <c:pt idx="24">
                  <c:v>44090</c:v>
                </c:pt>
                <c:pt idx="25">
                  <c:v>44097</c:v>
                </c:pt>
                <c:pt idx="26">
                  <c:v>44104</c:v>
                </c:pt>
                <c:pt idx="27">
                  <c:v>44111</c:v>
                </c:pt>
                <c:pt idx="28">
                  <c:v>44118</c:v>
                </c:pt>
                <c:pt idx="29">
                  <c:v>44125</c:v>
                </c:pt>
                <c:pt idx="30">
                  <c:v>44132</c:v>
                </c:pt>
                <c:pt idx="31">
                  <c:v>44139</c:v>
                </c:pt>
                <c:pt idx="32">
                  <c:v>44146</c:v>
                </c:pt>
                <c:pt idx="33">
                  <c:v>44153</c:v>
                </c:pt>
                <c:pt idx="34">
                  <c:v>44160</c:v>
                </c:pt>
                <c:pt idx="35">
                  <c:v>44167</c:v>
                </c:pt>
                <c:pt idx="36">
                  <c:v>44174</c:v>
                </c:pt>
                <c:pt idx="37">
                  <c:v>44181</c:v>
                </c:pt>
                <c:pt idx="38">
                  <c:v>44188</c:v>
                </c:pt>
                <c:pt idx="39">
                  <c:v>44195</c:v>
                </c:pt>
                <c:pt idx="40">
                  <c:v>44202</c:v>
                </c:pt>
                <c:pt idx="41">
                  <c:v>44209</c:v>
                </c:pt>
                <c:pt idx="42">
                  <c:v>44216</c:v>
                </c:pt>
                <c:pt idx="43">
                  <c:v>44223</c:v>
                </c:pt>
                <c:pt idx="44">
                  <c:v>44230</c:v>
                </c:pt>
                <c:pt idx="45">
                  <c:v>44237</c:v>
                </c:pt>
                <c:pt idx="46">
                  <c:v>44244</c:v>
                </c:pt>
                <c:pt idx="47">
                  <c:v>44251</c:v>
                </c:pt>
                <c:pt idx="48">
                  <c:v>44258</c:v>
                </c:pt>
                <c:pt idx="49">
                  <c:v>44265</c:v>
                </c:pt>
                <c:pt idx="50">
                  <c:v>44272</c:v>
                </c:pt>
                <c:pt idx="51">
                  <c:v>44279</c:v>
                </c:pt>
                <c:pt idx="52">
                  <c:v>44286</c:v>
                </c:pt>
                <c:pt idx="53">
                  <c:v>44293</c:v>
                </c:pt>
                <c:pt idx="54">
                  <c:v>44300</c:v>
                </c:pt>
                <c:pt idx="55">
                  <c:v>44307</c:v>
                </c:pt>
                <c:pt idx="56">
                  <c:v>44314</c:v>
                </c:pt>
                <c:pt idx="57">
                  <c:v>44321</c:v>
                </c:pt>
                <c:pt idx="58">
                  <c:v>44328</c:v>
                </c:pt>
                <c:pt idx="59">
                  <c:v>44335</c:v>
                </c:pt>
                <c:pt idx="60">
                  <c:v>44342</c:v>
                </c:pt>
                <c:pt idx="61">
                  <c:v>44349</c:v>
                </c:pt>
                <c:pt idx="62">
                  <c:v>44356</c:v>
                </c:pt>
                <c:pt idx="63">
                  <c:v>44363</c:v>
                </c:pt>
                <c:pt idx="64">
                  <c:v>44370</c:v>
                </c:pt>
                <c:pt idx="65">
                  <c:v>44377</c:v>
                </c:pt>
                <c:pt idx="66">
                  <c:v>44384</c:v>
                </c:pt>
                <c:pt idx="67">
                  <c:v>44391</c:v>
                </c:pt>
                <c:pt idx="68">
                  <c:v>44398</c:v>
                </c:pt>
                <c:pt idx="69">
                  <c:v>44405</c:v>
                </c:pt>
                <c:pt idx="70">
                  <c:v>44412</c:v>
                </c:pt>
                <c:pt idx="71">
                  <c:v>44419</c:v>
                </c:pt>
                <c:pt idx="72">
                  <c:v>44426</c:v>
                </c:pt>
                <c:pt idx="73">
                  <c:v>44433</c:v>
                </c:pt>
                <c:pt idx="74">
                  <c:v>44440</c:v>
                </c:pt>
                <c:pt idx="75">
                  <c:v>44447</c:v>
                </c:pt>
                <c:pt idx="76">
                  <c:v>44454</c:v>
                </c:pt>
                <c:pt idx="77">
                  <c:v>44461</c:v>
                </c:pt>
                <c:pt idx="78">
                  <c:v>44468</c:v>
                </c:pt>
                <c:pt idx="79">
                  <c:v>44475</c:v>
                </c:pt>
                <c:pt idx="80">
                  <c:v>44482</c:v>
                </c:pt>
                <c:pt idx="81">
                  <c:v>44489</c:v>
                </c:pt>
                <c:pt idx="82">
                  <c:v>44496</c:v>
                </c:pt>
                <c:pt idx="83">
                  <c:v>44503</c:v>
                </c:pt>
                <c:pt idx="84">
                  <c:v>44510</c:v>
                </c:pt>
                <c:pt idx="85">
                  <c:v>44517</c:v>
                </c:pt>
                <c:pt idx="86">
                  <c:v>44524</c:v>
                </c:pt>
                <c:pt idx="87">
                  <c:v>44531</c:v>
                </c:pt>
                <c:pt idx="88">
                  <c:v>44538</c:v>
                </c:pt>
                <c:pt idx="89">
                  <c:v>44545</c:v>
                </c:pt>
                <c:pt idx="90">
                  <c:v>44552</c:v>
                </c:pt>
                <c:pt idx="91">
                  <c:v>44559</c:v>
                </c:pt>
                <c:pt idx="92">
                  <c:v>44566</c:v>
                </c:pt>
                <c:pt idx="93">
                  <c:v>44573</c:v>
                </c:pt>
                <c:pt idx="94">
                  <c:v>44580</c:v>
                </c:pt>
                <c:pt idx="95">
                  <c:v>44587</c:v>
                </c:pt>
                <c:pt idx="96">
                  <c:v>44594</c:v>
                </c:pt>
                <c:pt idx="97">
                  <c:v>44601</c:v>
                </c:pt>
                <c:pt idx="98">
                  <c:v>44608</c:v>
                </c:pt>
                <c:pt idx="99">
                  <c:v>44615</c:v>
                </c:pt>
                <c:pt idx="100">
                  <c:v>44622</c:v>
                </c:pt>
                <c:pt idx="101">
                  <c:v>44629</c:v>
                </c:pt>
                <c:pt idx="102">
                  <c:v>44636</c:v>
                </c:pt>
                <c:pt idx="103">
                  <c:v>44643</c:v>
                </c:pt>
                <c:pt idx="104">
                  <c:v>44650</c:v>
                </c:pt>
                <c:pt idx="105">
                  <c:v>44657</c:v>
                </c:pt>
                <c:pt idx="106">
                  <c:v>44664</c:v>
                </c:pt>
                <c:pt idx="107">
                  <c:v>44671</c:v>
                </c:pt>
                <c:pt idx="108">
                  <c:v>44678</c:v>
                </c:pt>
                <c:pt idx="109">
                  <c:v>44685</c:v>
                </c:pt>
                <c:pt idx="110">
                  <c:v>44692</c:v>
                </c:pt>
                <c:pt idx="111">
                  <c:v>44699</c:v>
                </c:pt>
                <c:pt idx="112">
                  <c:v>44706</c:v>
                </c:pt>
                <c:pt idx="113">
                  <c:v>44713</c:v>
                </c:pt>
                <c:pt idx="114">
                  <c:v>44720</c:v>
                </c:pt>
                <c:pt idx="115">
                  <c:v>44727</c:v>
                </c:pt>
                <c:pt idx="116">
                  <c:v>44734</c:v>
                </c:pt>
                <c:pt idx="117">
                  <c:v>44741</c:v>
                </c:pt>
                <c:pt idx="118">
                  <c:v>44748</c:v>
                </c:pt>
                <c:pt idx="119">
                  <c:v>44755</c:v>
                </c:pt>
                <c:pt idx="120">
                  <c:v>44762</c:v>
                </c:pt>
                <c:pt idx="121">
                  <c:v>44769</c:v>
                </c:pt>
                <c:pt idx="122">
                  <c:v>44776</c:v>
                </c:pt>
                <c:pt idx="123">
                  <c:v>44783</c:v>
                </c:pt>
                <c:pt idx="124">
                  <c:v>44790</c:v>
                </c:pt>
                <c:pt idx="125">
                  <c:v>44797</c:v>
                </c:pt>
                <c:pt idx="126">
                  <c:v>44804</c:v>
                </c:pt>
                <c:pt idx="127">
                  <c:v>44811</c:v>
                </c:pt>
                <c:pt idx="128">
                  <c:v>44818</c:v>
                </c:pt>
                <c:pt idx="129">
                  <c:v>44825</c:v>
                </c:pt>
                <c:pt idx="130">
                  <c:v>44832</c:v>
                </c:pt>
                <c:pt idx="131">
                  <c:v>44839</c:v>
                </c:pt>
                <c:pt idx="132">
                  <c:v>44846</c:v>
                </c:pt>
                <c:pt idx="133">
                  <c:v>44853</c:v>
                </c:pt>
                <c:pt idx="134">
                  <c:v>44860</c:v>
                </c:pt>
                <c:pt idx="135">
                  <c:v>44867</c:v>
                </c:pt>
                <c:pt idx="136">
                  <c:v>44874</c:v>
                </c:pt>
                <c:pt idx="137">
                  <c:v>44881</c:v>
                </c:pt>
                <c:pt idx="138">
                  <c:v>44888</c:v>
                </c:pt>
                <c:pt idx="139">
                  <c:v>44895</c:v>
                </c:pt>
                <c:pt idx="140">
                  <c:v>44902</c:v>
                </c:pt>
                <c:pt idx="141">
                  <c:v>44909</c:v>
                </c:pt>
                <c:pt idx="142">
                  <c:v>44916</c:v>
                </c:pt>
                <c:pt idx="143">
                  <c:v>44923</c:v>
                </c:pt>
                <c:pt idx="144">
                  <c:v>44930</c:v>
                </c:pt>
                <c:pt idx="145">
                  <c:v>44937</c:v>
                </c:pt>
                <c:pt idx="146">
                  <c:v>44944</c:v>
                </c:pt>
                <c:pt idx="147">
                  <c:v>44951</c:v>
                </c:pt>
                <c:pt idx="148">
                  <c:v>44958</c:v>
                </c:pt>
                <c:pt idx="149">
                  <c:v>44965</c:v>
                </c:pt>
                <c:pt idx="150">
                  <c:v>44972</c:v>
                </c:pt>
                <c:pt idx="151">
                  <c:v>44979</c:v>
                </c:pt>
                <c:pt idx="152">
                  <c:v>44986</c:v>
                </c:pt>
                <c:pt idx="153">
                  <c:v>44993</c:v>
                </c:pt>
                <c:pt idx="154">
                  <c:v>45000</c:v>
                </c:pt>
                <c:pt idx="155">
                  <c:v>45007</c:v>
                </c:pt>
                <c:pt idx="156">
                  <c:v>45014</c:v>
                </c:pt>
                <c:pt idx="157">
                  <c:v>45021</c:v>
                </c:pt>
                <c:pt idx="158">
                  <c:v>45028</c:v>
                </c:pt>
                <c:pt idx="159">
                  <c:v>45035</c:v>
                </c:pt>
                <c:pt idx="160">
                  <c:v>45042</c:v>
                </c:pt>
                <c:pt idx="161">
                  <c:v>45049</c:v>
                </c:pt>
                <c:pt idx="162">
                  <c:v>45056</c:v>
                </c:pt>
                <c:pt idx="163">
                  <c:v>45063</c:v>
                </c:pt>
                <c:pt idx="164">
                  <c:v>45070</c:v>
                </c:pt>
                <c:pt idx="165">
                  <c:v>45077</c:v>
                </c:pt>
                <c:pt idx="166">
                  <c:v>45084</c:v>
                </c:pt>
                <c:pt idx="167">
                  <c:v>45091</c:v>
                </c:pt>
                <c:pt idx="168">
                  <c:v>45098</c:v>
                </c:pt>
                <c:pt idx="169">
                  <c:v>45105</c:v>
                </c:pt>
                <c:pt idx="170">
                  <c:v>45112</c:v>
                </c:pt>
                <c:pt idx="171">
                  <c:v>45119</c:v>
                </c:pt>
                <c:pt idx="172">
                  <c:v>45126</c:v>
                </c:pt>
                <c:pt idx="173">
                  <c:v>45133</c:v>
                </c:pt>
                <c:pt idx="174">
                  <c:v>45140</c:v>
                </c:pt>
                <c:pt idx="175">
                  <c:v>45147</c:v>
                </c:pt>
                <c:pt idx="176">
                  <c:v>45154</c:v>
                </c:pt>
                <c:pt idx="177">
                  <c:v>45161</c:v>
                </c:pt>
                <c:pt idx="178">
                  <c:v>45168</c:v>
                </c:pt>
                <c:pt idx="179">
                  <c:v>45175</c:v>
                </c:pt>
                <c:pt idx="180">
                  <c:v>45182</c:v>
                </c:pt>
                <c:pt idx="181">
                  <c:v>45189</c:v>
                </c:pt>
                <c:pt idx="182">
                  <c:v>45196</c:v>
                </c:pt>
                <c:pt idx="183">
                  <c:v>45203</c:v>
                </c:pt>
                <c:pt idx="184">
                  <c:v>45210</c:v>
                </c:pt>
                <c:pt idx="185">
                  <c:v>45217</c:v>
                </c:pt>
                <c:pt idx="186">
                  <c:v>45224</c:v>
                </c:pt>
                <c:pt idx="187">
                  <c:v>45231</c:v>
                </c:pt>
                <c:pt idx="188">
                  <c:v>45238</c:v>
                </c:pt>
                <c:pt idx="189">
                  <c:v>45245</c:v>
                </c:pt>
                <c:pt idx="190">
                  <c:v>45252</c:v>
                </c:pt>
                <c:pt idx="191">
                  <c:v>45259</c:v>
                </c:pt>
                <c:pt idx="192">
                  <c:v>45266</c:v>
                </c:pt>
                <c:pt idx="193">
                  <c:v>45273</c:v>
                </c:pt>
                <c:pt idx="194">
                  <c:v>45280</c:v>
                </c:pt>
                <c:pt idx="195">
                  <c:v>45287</c:v>
                </c:pt>
                <c:pt idx="196">
                  <c:v>45294</c:v>
                </c:pt>
                <c:pt idx="197">
                  <c:v>45301</c:v>
                </c:pt>
                <c:pt idx="198">
                  <c:v>45308</c:v>
                </c:pt>
                <c:pt idx="199">
                  <c:v>45315</c:v>
                </c:pt>
                <c:pt idx="200">
                  <c:v>45322</c:v>
                </c:pt>
                <c:pt idx="201">
                  <c:v>45329</c:v>
                </c:pt>
                <c:pt idx="202">
                  <c:v>45336</c:v>
                </c:pt>
                <c:pt idx="203">
                  <c:v>45343</c:v>
                </c:pt>
                <c:pt idx="204">
                  <c:v>45350</c:v>
                </c:pt>
                <c:pt idx="205">
                  <c:v>45357</c:v>
                </c:pt>
                <c:pt idx="206">
                  <c:v>45364</c:v>
                </c:pt>
                <c:pt idx="207">
                  <c:v>45371</c:v>
                </c:pt>
                <c:pt idx="208">
                  <c:v>45378</c:v>
                </c:pt>
                <c:pt idx="209">
                  <c:v>45385</c:v>
                </c:pt>
                <c:pt idx="210">
                  <c:v>45392</c:v>
                </c:pt>
                <c:pt idx="211">
                  <c:v>45399</c:v>
                </c:pt>
                <c:pt idx="212">
                  <c:v>45406</c:v>
                </c:pt>
                <c:pt idx="213">
                  <c:v>45413</c:v>
                </c:pt>
                <c:pt idx="214">
                  <c:v>45420</c:v>
                </c:pt>
                <c:pt idx="215">
                  <c:v>45427</c:v>
                </c:pt>
                <c:pt idx="216">
                  <c:v>45434</c:v>
                </c:pt>
                <c:pt idx="217">
                  <c:v>45441</c:v>
                </c:pt>
                <c:pt idx="218">
                  <c:v>45448</c:v>
                </c:pt>
                <c:pt idx="219">
                  <c:v>45455</c:v>
                </c:pt>
                <c:pt idx="220">
                  <c:v>45462</c:v>
                </c:pt>
                <c:pt idx="221">
                  <c:v>45469</c:v>
                </c:pt>
                <c:pt idx="222">
                  <c:v>45476</c:v>
                </c:pt>
                <c:pt idx="223">
                  <c:v>45483</c:v>
                </c:pt>
                <c:pt idx="224">
                  <c:v>45490</c:v>
                </c:pt>
                <c:pt idx="225">
                  <c:v>45497</c:v>
                </c:pt>
                <c:pt idx="226">
                  <c:v>45504</c:v>
                </c:pt>
                <c:pt idx="227">
                  <c:v>45511</c:v>
                </c:pt>
                <c:pt idx="228">
                  <c:v>45518</c:v>
                </c:pt>
                <c:pt idx="229">
                  <c:v>45525</c:v>
                </c:pt>
                <c:pt idx="230">
                  <c:v>45532</c:v>
                </c:pt>
                <c:pt idx="231">
                  <c:v>45539</c:v>
                </c:pt>
                <c:pt idx="232">
                  <c:v>45546</c:v>
                </c:pt>
                <c:pt idx="233">
                  <c:v>45553</c:v>
                </c:pt>
                <c:pt idx="234">
                  <c:v>45560</c:v>
                </c:pt>
                <c:pt idx="235">
                  <c:v>45567</c:v>
                </c:pt>
                <c:pt idx="236">
                  <c:v>45574</c:v>
                </c:pt>
                <c:pt idx="237">
                  <c:v>45581</c:v>
                </c:pt>
                <c:pt idx="238">
                  <c:v>45588</c:v>
                </c:pt>
                <c:pt idx="239">
                  <c:v>45595</c:v>
                </c:pt>
                <c:pt idx="240">
                  <c:v>45602</c:v>
                </c:pt>
                <c:pt idx="241">
                  <c:v>45609</c:v>
                </c:pt>
                <c:pt idx="242">
                  <c:v>45616</c:v>
                </c:pt>
                <c:pt idx="243">
                  <c:v>45623</c:v>
                </c:pt>
                <c:pt idx="244">
                  <c:v>45630</c:v>
                </c:pt>
                <c:pt idx="245">
                  <c:v>45637</c:v>
                </c:pt>
                <c:pt idx="246">
                  <c:v>45644</c:v>
                </c:pt>
                <c:pt idx="247">
                  <c:v>45651</c:v>
                </c:pt>
                <c:pt idx="248">
                  <c:v>45658</c:v>
                </c:pt>
                <c:pt idx="249">
                  <c:v>45665</c:v>
                </c:pt>
                <c:pt idx="250">
                  <c:v>45672</c:v>
                </c:pt>
                <c:pt idx="251">
                  <c:v>45679</c:v>
                </c:pt>
                <c:pt idx="252">
                  <c:v>45686</c:v>
                </c:pt>
                <c:pt idx="253">
                  <c:v>45693</c:v>
                </c:pt>
                <c:pt idx="254">
                  <c:v>45700</c:v>
                </c:pt>
                <c:pt idx="255">
                  <c:v>45707</c:v>
                </c:pt>
                <c:pt idx="256">
                  <c:v>45714</c:v>
                </c:pt>
                <c:pt idx="257">
                  <c:v>45721</c:v>
                </c:pt>
                <c:pt idx="258">
                  <c:v>45728</c:v>
                </c:pt>
                <c:pt idx="259">
                  <c:v>45735</c:v>
                </c:pt>
                <c:pt idx="260">
                  <c:v>45742</c:v>
                </c:pt>
                <c:pt idx="261">
                  <c:v>45749</c:v>
                </c:pt>
                <c:pt idx="262">
                  <c:v>45756</c:v>
                </c:pt>
                <c:pt idx="263">
                  <c:v>45763</c:v>
                </c:pt>
                <c:pt idx="264">
                  <c:v>45770</c:v>
                </c:pt>
                <c:pt idx="265">
                  <c:v>45777</c:v>
                </c:pt>
                <c:pt idx="266">
                  <c:v>45784</c:v>
                </c:pt>
                <c:pt idx="267">
                  <c:v>45791</c:v>
                </c:pt>
                <c:pt idx="268">
                  <c:v>45798</c:v>
                </c:pt>
                <c:pt idx="269">
                  <c:v>45805</c:v>
                </c:pt>
                <c:pt idx="270">
                  <c:v>45812</c:v>
                </c:pt>
                <c:pt idx="271">
                  <c:v>45819</c:v>
                </c:pt>
                <c:pt idx="272">
                  <c:v>45826</c:v>
                </c:pt>
                <c:pt idx="273">
                  <c:v>45833</c:v>
                </c:pt>
                <c:pt idx="274">
                  <c:v>45840</c:v>
                </c:pt>
                <c:pt idx="275">
                  <c:v>45847</c:v>
                </c:pt>
                <c:pt idx="276">
                  <c:v>45854</c:v>
                </c:pt>
                <c:pt idx="277">
                  <c:v>45861</c:v>
                </c:pt>
                <c:pt idx="278">
                  <c:v>45868</c:v>
                </c:pt>
                <c:pt idx="279">
                  <c:v>45875</c:v>
                </c:pt>
                <c:pt idx="280">
                  <c:v>45882</c:v>
                </c:pt>
                <c:pt idx="281">
                  <c:v>45889</c:v>
                </c:pt>
                <c:pt idx="282">
                  <c:v>45896</c:v>
                </c:pt>
                <c:pt idx="283">
                  <c:v>45903</c:v>
                </c:pt>
                <c:pt idx="284">
                  <c:v>45910</c:v>
                </c:pt>
                <c:pt idx="285">
                  <c:v>45917</c:v>
                </c:pt>
                <c:pt idx="286">
                  <c:v>45924</c:v>
                </c:pt>
                <c:pt idx="287">
                  <c:v>45931</c:v>
                </c:pt>
                <c:pt idx="288">
                  <c:v>45938</c:v>
                </c:pt>
                <c:pt idx="289">
                  <c:v>45945</c:v>
                </c:pt>
                <c:pt idx="290">
                  <c:v>45952</c:v>
                </c:pt>
                <c:pt idx="291">
                  <c:v>45959</c:v>
                </c:pt>
                <c:pt idx="292">
                  <c:v>45966</c:v>
                </c:pt>
                <c:pt idx="293">
                  <c:v>45973</c:v>
                </c:pt>
                <c:pt idx="294">
                  <c:v>45980</c:v>
                </c:pt>
                <c:pt idx="295">
                  <c:v>45987</c:v>
                </c:pt>
                <c:pt idx="296">
                  <c:v>45994</c:v>
                </c:pt>
                <c:pt idx="297">
                  <c:v>46001</c:v>
                </c:pt>
              </c:numCache>
            </c:numRef>
          </c:cat>
          <c:val>
            <c:numRef>
              <c:f>资产负债表!$P$17:$P$314</c:f>
              <c:numCache>
                <c:formatCode>General</c:formatCode>
                <c:ptCount val="298"/>
                <c:pt idx="0">
                  <c:v>7959.49</c:v>
                </c:pt>
                <c:pt idx="1">
                  <c:v>8441.4599999999991</c:v>
                </c:pt>
                <c:pt idx="2">
                  <c:v>8629.8700000000008</c:v>
                </c:pt>
                <c:pt idx="3">
                  <c:v>8829.9699999999993</c:v>
                </c:pt>
                <c:pt idx="4">
                  <c:v>8923.81</c:v>
                </c:pt>
                <c:pt idx="5">
                  <c:v>8988.85</c:v>
                </c:pt>
                <c:pt idx="6">
                  <c:v>9043.61</c:v>
                </c:pt>
                <c:pt idx="7">
                  <c:v>9111.2999999999993</c:v>
                </c:pt>
                <c:pt idx="8">
                  <c:v>9131.77</c:v>
                </c:pt>
                <c:pt idx="9">
                  <c:v>9173.41</c:v>
                </c:pt>
                <c:pt idx="10">
                  <c:v>9216.4</c:v>
                </c:pt>
                <c:pt idx="11">
                  <c:v>9240.06</c:v>
                </c:pt>
                <c:pt idx="12">
                  <c:v>9256.17</c:v>
                </c:pt>
                <c:pt idx="13">
                  <c:v>9323.91</c:v>
                </c:pt>
                <c:pt idx="14">
                  <c:v>9344.48</c:v>
                </c:pt>
                <c:pt idx="15">
                  <c:v>9386.0400000000009</c:v>
                </c:pt>
                <c:pt idx="16">
                  <c:v>9412.19</c:v>
                </c:pt>
                <c:pt idx="17">
                  <c:v>9446.84</c:v>
                </c:pt>
                <c:pt idx="18">
                  <c:v>9492.7999999999993</c:v>
                </c:pt>
                <c:pt idx="19">
                  <c:v>9512.44</c:v>
                </c:pt>
                <c:pt idx="20">
                  <c:v>9702.7800000000007</c:v>
                </c:pt>
                <c:pt idx="21">
                  <c:v>9728.89</c:v>
                </c:pt>
                <c:pt idx="22">
                  <c:v>9792.43</c:v>
                </c:pt>
                <c:pt idx="23">
                  <c:v>9820.93</c:v>
                </c:pt>
                <c:pt idx="24">
                  <c:v>9848.76</c:v>
                </c:pt>
                <c:pt idx="25">
                  <c:v>9867.52</c:v>
                </c:pt>
                <c:pt idx="26">
                  <c:v>9937.73</c:v>
                </c:pt>
                <c:pt idx="27">
                  <c:v>9955.9699999999993</c:v>
                </c:pt>
                <c:pt idx="28">
                  <c:v>9991.26</c:v>
                </c:pt>
                <c:pt idx="29">
                  <c:v>10022.799999999999</c:v>
                </c:pt>
                <c:pt idx="30">
                  <c:v>10067.799999999999</c:v>
                </c:pt>
                <c:pt idx="31">
                  <c:v>10132.14</c:v>
                </c:pt>
                <c:pt idx="32">
                  <c:v>10149.77</c:v>
                </c:pt>
                <c:pt idx="33">
                  <c:v>10246.51</c:v>
                </c:pt>
                <c:pt idx="34">
                  <c:v>10295.39</c:v>
                </c:pt>
                <c:pt idx="35">
                  <c:v>10350.370000000001</c:v>
                </c:pt>
                <c:pt idx="36">
                  <c:v>10388.64</c:v>
                </c:pt>
                <c:pt idx="37">
                  <c:v>10505.59</c:v>
                </c:pt>
                <c:pt idx="38">
                  <c:v>10544.49</c:v>
                </c:pt>
                <c:pt idx="39">
                  <c:v>10544.58</c:v>
                </c:pt>
                <c:pt idx="40">
                  <c:v>10598.32</c:v>
                </c:pt>
                <c:pt idx="41">
                  <c:v>10618.26</c:v>
                </c:pt>
                <c:pt idx="42">
                  <c:v>10699.86</c:v>
                </c:pt>
                <c:pt idx="43">
                  <c:v>10722.72</c:v>
                </c:pt>
                <c:pt idx="44">
                  <c:v>10810.36</c:v>
                </c:pt>
                <c:pt idx="45">
                  <c:v>10830.04</c:v>
                </c:pt>
                <c:pt idx="46">
                  <c:v>10880.59</c:v>
                </c:pt>
                <c:pt idx="47">
                  <c:v>10903.79</c:v>
                </c:pt>
                <c:pt idx="48">
                  <c:v>11028.96</c:v>
                </c:pt>
                <c:pt idx="49">
                  <c:v>11095.53</c:v>
                </c:pt>
                <c:pt idx="50">
                  <c:v>11146.04</c:v>
                </c:pt>
                <c:pt idx="51">
                  <c:v>11205.62</c:v>
                </c:pt>
                <c:pt idx="52">
                  <c:v>11273.12</c:v>
                </c:pt>
                <c:pt idx="53">
                  <c:v>11309.08</c:v>
                </c:pt>
                <c:pt idx="54">
                  <c:v>11363.72</c:v>
                </c:pt>
                <c:pt idx="55">
                  <c:v>11444.23</c:v>
                </c:pt>
                <c:pt idx="56">
                  <c:v>11498.86</c:v>
                </c:pt>
                <c:pt idx="57">
                  <c:v>11580.9</c:v>
                </c:pt>
                <c:pt idx="58">
                  <c:v>11619.58</c:v>
                </c:pt>
                <c:pt idx="59">
                  <c:v>11800.11</c:v>
                </c:pt>
                <c:pt idx="60">
                  <c:v>11835.76</c:v>
                </c:pt>
                <c:pt idx="61">
                  <c:v>11909.91</c:v>
                </c:pt>
                <c:pt idx="62">
                  <c:v>11947.77</c:v>
                </c:pt>
                <c:pt idx="63">
                  <c:v>12008.19</c:v>
                </c:pt>
                <c:pt idx="64">
                  <c:v>12044.18</c:v>
                </c:pt>
                <c:pt idx="65">
                  <c:v>12120.68</c:v>
                </c:pt>
                <c:pt idx="66">
                  <c:v>12142.56</c:v>
                </c:pt>
                <c:pt idx="67">
                  <c:v>12178.47</c:v>
                </c:pt>
                <c:pt idx="68">
                  <c:v>12249.98</c:v>
                </c:pt>
                <c:pt idx="69">
                  <c:v>12285.89</c:v>
                </c:pt>
                <c:pt idx="70">
                  <c:v>12354.72</c:v>
                </c:pt>
                <c:pt idx="71">
                  <c:v>12390.97</c:v>
                </c:pt>
                <c:pt idx="72">
                  <c:v>12551.94</c:v>
                </c:pt>
                <c:pt idx="73">
                  <c:v>12574.17</c:v>
                </c:pt>
                <c:pt idx="74">
                  <c:v>12669.13</c:v>
                </c:pt>
                <c:pt idx="75">
                  <c:v>12704.37</c:v>
                </c:pt>
                <c:pt idx="76">
                  <c:v>12751.16</c:v>
                </c:pt>
                <c:pt idx="77">
                  <c:v>12775.02</c:v>
                </c:pt>
                <c:pt idx="78">
                  <c:v>12804.27</c:v>
                </c:pt>
                <c:pt idx="79">
                  <c:v>12873.78</c:v>
                </c:pt>
                <c:pt idx="80">
                  <c:v>12906.52</c:v>
                </c:pt>
                <c:pt idx="81">
                  <c:v>12965.09</c:v>
                </c:pt>
                <c:pt idx="82">
                  <c:v>13003.8</c:v>
                </c:pt>
                <c:pt idx="83">
                  <c:v>13076.8</c:v>
                </c:pt>
                <c:pt idx="84">
                  <c:v>13119.78</c:v>
                </c:pt>
                <c:pt idx="85">
                  <c:v>13279.01</c:v>
                </c:pt>
                <c:pt idx="86">
                  <c:v>13309.59</c:v>
                </c:pt>
                <c:pt idx="87">
                  <c:v>13348.59</c:v>
                </c:pt>
                <c:pt idx="88">
                  <c:v>13385.58</c:v>
                </c:pt>
                <c:pt idx="89">
                  <c:v>13449.88</c:v>
                </c:pt>
                <c:pt idx="90">
                  <c:v>13488.18</c:v>
                </c:pt>
                <c:pt idx="91">
                  <c:v>13506.31</c:v>
                </c:pt>
                <c:pt idx="92">
                  <c:v>13534.99</c:v>
                </c:pt>
                <c:pt idx="93">
                  <c:v>13571.7</c:v>
                </c:pt>
                <c:pt idx="94">
                  <c:v>13626.25</c:v>
                </c:pt>
                <c:pt idx="95">
                  <c:v>13643.52</c:v>
                </c:pt>
                <c:pt idx="96">
                  <c:v>13695.57</c:v>
                </c:pt>
                <c:pt idx="97">
                  <c:v>13730.47</c:v>
                </c:pt>
                <c:pt idx="98">
                  <c:v>14094.33</c:v>
                </c:pt>
                <c:pt idx="99">
                  <c:v>13887.39</c:v>
                </c:pt>
                <c:pt idx="100">
                  <c:v>13942.86</c:v>
                </c:pt>
                <c:pt idx="101">
                  <c:v>13963.08</c:v>
                </c:pt>
                <c:pt idx="102">
                  <c:v>13998.91</c:v>
                </c:pt>
                <c:pt idx="103">
                  <c:v>14001.14</c:v>
                </c:pt>
                <c:pt idx="104">
                  <c:v>14003.37</c:v>
                </c:pt>
                <c:pt idx="105">
                  <c:v>14035.64</c:v>
                </c:pt>
                <c:pt idx="106">
                  <c:v>14038.16</c:v>
                </c:pt>
                <c:pt idx="107">
                  <c:v>14069.84</c:v>
                </c:pt>
                <c:pt idx="108">
                  <c:v>14072.33</c:v>
                </c:pt>
                <c:pt idx="109">
                  <c:v>14097.6</c:v>
                </c:pt>
                <c:pt idx="110">
                  <c:v>14101.14</c:v>
                </c:pt>
                <c:pt idx="111">
                  <c:v>14258.65</c:v>
                </c:pt>
                <c:pt idx="112">
                  <c:v>14262.2</c:v>
                </c:pt>
                <c:pt idx="113">
                  <c:v>14291.02</c:v>
                </c:pt>
                <c:pt idx="114">
                  <c:v>14292.57</c:v>
                </c:pt>
                <c:pt idx="115">
                  <c:v>14305.29</c:v>
                </c:pt>
                <c:pt idx="116">
                  <c:v>14306.84</c:v>
                </c:pt>
                <c:pt idx="117">
                  <c:v>14308.14</c:v>
                </c:pt>
                <c:pt idx="118">
                  <c:v>14321.62</c:v>
                </c:pt>
                <c:pt idx="119">
                  <c:v>14324.61</c:v>
                </c:pt>
                <c:pt idx="120">
                  <c:v>14351.81</c:v>
                </c:pt>
                <c:pt idx="121">
                  <c:v>14354.79</c:v>
                </c:pt>
                <c:pt idx="122">
                  <c:v>14370.25</c:v>
                </c:pt>
                <c:pt idx="123">
                  <c:v>14374</c:v>
                </c:pt>
                <c:pt idx="124">
                  <c:v>14731.95</c:v>
                </c:pt>
                <c:pt idx="125">
                  <c:v>14514.34</c:v>
                </c:pt>
                <c:pt idx="126">
                  <c:v>14548.71</c:v>
                </c:pt>
                <c:pt idx="127">
                  <c:v>14548.68</c:v>
                </c:pt>
                <c:pt idx="128">
                  <c:v>14548.64</c:v>
                </c:pt>
                <c:pt idx="129">
                  <c:v>14548.61</c:v>
                </c:pt>
                <c:pt idx="130">
                  <c:v>14548.57</c:v>
                </c:pt>
                <c:pt idx="131">
                  <c:v>14548.49</c:v>
                </c:pt>
                <c:pt idx="132">
                  <c:v>14548.39</c:v>
                </c:pt>
                <c:pt idx="133">
                  <c:v>14548.3</c:v>
                </c:pt>
                <c:pt idx="134">
                  <c:v>14548.19</c:v>
                </c:pt>
                <c:pt idx="135">
                  <c:v>14548.8</c:v>
                </c:pt>
                <c:pt idx="136">
                  <c:v>14549.49</c:v>
                </c:pt>
                <c:pt idx="137">
                  <c:v>14746.49</c:v>
                </c:pt>
                <c:pt idx="138">
                  <c:v>14624.46</c:v>
                </c:pt>
                <c:pt idx="139">
                  <c:v>14641.3</c:v>
                </c:pt>
                <c:pt idx="140">
                  <c:v>14642.44</c:v>
                </c:pt>
                <c:pt idx="141">
                  <c:v>14643.57</c:v>
                </c:pt>
                <c:pt idx="142">
                  <c:v>14644.71</c:v>
                </c:pt>
                <c:pt idx="143">
                  <c:v>14645.85</c:v>
                </c:pt>
                <c:pt idx="144">
                  <c:v>14646.17</c:v>
                </c:pt>
                <c:pt idx="145">
                  <c:v>14645.89</c:v>
                </c:pt>
                <c:pt idx="146">
                  <c:v>14645.6</c:v>
                </c:pt>
                <c:pt idx="147">
                  <c:v>14645.32</c:v>
                </c:pt>
                <c:pt idx="148">
                  <c:v>14644.94</c:v>
                </c:pt>
                <c:pt idx="149">
                  <c:v>14643.98</c:v>
                </c:pt>
                <c:pt idx="150">
                  <c:v>14861.87</c:v>
                </c:pt>
                <c:pt idx="151">
                  <c:v>14724.14</c:v>
                </c:pt>
                <c:pt idx="152">
                  <c:v>14778.14</c:v>
                </c:pt>
                <c:pt idx="153">
                  <c:v>14780.92</c:v>
                </c:pt>
                <c:pt idx="154">
                  <c:v>14783.2</c:v>
                </c:pt>
                <c:pt idx="155">
                  <c:v>14785.47</c:v>
                </c:pt>
                <c:pt idx="156">
                  <c:v>14787.75</c:v>
                </c:pt>
                <c:pt idx="157">
                  <c:v>14789.59</c:v>
                </c:pt>
                <c:pt idx="158">
                  <c:v>14791.24</c:v>
                </c:pt>
                <c:pt idx="159">
                  <c:v>14804.41</c:v>
                </c:pt>
                <c:pt idx="160">
                  <c:v>14806.06</c:v>
                </c:pt>
                <c:pt idx="161">
                  <c:v>14819.13</c:v>
                </c:pt>
                <c:pt idx="162">
                  <c:v>14820.09</c:v>
                </c:pt>
                <c:pt idx="163">
                  <c:v>14973.61</c:v>
                </c:pt>
                <c:pt idx="164">
                  <c:v>14879.21</c:v>
                </c:pt>
                <c:pt idx="165">
                  <c:v>14908.34</c:v>
                </c:pt>
                <c:pt idx="166">
                  <c:v>14909.85</c:v>
                </c:pt>
                <c:pt idx="167">
                  <c:v>14911.37</c:v>
                </c:pt>
                <c:pt idx="168">
                  <c:v>14913.38</c:v>
                </c:pt>
                <c:pt idx="169">
                  <c:v>14914.86</c:v>
                </c:pt>
                <c:pt idx="170">
                  <c:v>14915.81</c:v>
                </c:pt>
                <c:pt idx="171">
                  <c:v>14916.55</c:v>
                </c:pt>
                <c:pt idx="172">
                  <c:v>14917.28</c:v>
                </c:pt>
                <c:pt idx="173">
                  <c:v>14918.01</c:v>
                </c:pt>
                <c:pt idx="174">
                  <c:v>14918.8</c:v>
                </c:pt>
                <c:pt idx="175">
                  <c:v>14919.75</c:v>
                </c:pt>
                <c:pt idx="176">
                  <c:v>15148.9</c:v>
                </c:pt>
                <c:pt idx="177">
                  <c:v>15007.68</c:v>
                </c:pt>
                <c:pt idx="178">
                  <c:v>15008.62</c:v>
                </c:pt>
                <c:pt idx="179">
                  <c:v>15034.41</c:v>
                </c:pt>
                <c:pt idx="180">
                  <c:v>15034.49</c:v>
                </c:pt>
                <c:pt idx="181">
                  <c:v>15035.07</c:v>
                </c:pt>
                <c:pt idx="182">
                  <c:v>15035.65</c:v>
                </c:pt>
                <c:pt idx="183">
                  <c:v>15036.64</c:v>
                </c:pt>
                <c:pt idx="184">
                  <c:v>15037.93</c:v>
                </c:pt>
                <c:pt idx="185">
                  <c:v>15039.22</c:v>
                </c:pt>
                <c:pt idx="186">
                  <c:v>15040.5</c:v>
                </c:pt>
                <c:pt idx="187">
                  <c:v>15042.22</c:v>
                </c:pt>
                <c:pt idx="188">
                  <c:v>15043.32</c:v>
                </c:pt>
                <c:pt idx="189">
                  <c:v>15056.26</c:v>
                </c:pt>
                <c:pt idx="190">
                  <c:v>15049.52</c:v>
                </c:pt>
                <c:pt idx="191">
                  <c:v>15050.17</c:v>
                </c:pt>
                <c:pt idx="192">
                  <c:v>15052.02</c:v>
                </c:pt>
                <c:pt idx="193">
                  <c:v>15051.91</c:v>
                </c:pt>
                <c:pt idx="194">
                  <c:v>15051.8</c:v>
                </c:pt>
                <c:pt idx="195">
                  <c:v>15051.68</c:v>
                </c:pt>
                <c:pt idx="196">
                  <c:v>15051.36</c:v>
                </c:pt>
                <c:pt idx="197">
                  <c:v>15050.76</c:v>
                </c:pt>
                <c:pt idx="198">
                  <c:v>15050.16</c:v>
                </c:pt>
                <c:pt idx="199">
                  <c:v>15049.56</c:v>
                </c:pt>
                <c:pt idx="200">
                  <c:v>15048.97</c:v>
                </c:pt>
                <c:pt idx="201">
                  <c:v>15048.65</c:v>
                </c:pt>
                <c:pt idx="202">
                  <c:v>15048.34</c:v>
                </c:pt>
                <c:pt idx="203">
                  <c:v>15066.51</c:v>
                </c:pt>
                <c:pt idx="204">
                  <c:v>15066.19</c:v>
                </c:pt>
                <c:pt idx="205">
                  <c:v>15078.83</c:v>
                </c:pt>
                <c:pt idx="206">
                  <c:v>15080.45</c:v>
                </c:pt>
                <c:pt idx="207">
                  <c:v>15082.07</c:v>
                </c:pt>
                <c:pt idx="208">
                  <c:v>15083.69</c:v>
                </c:pt>
                <c:pt idx="209">
                  <c:v>15085.44</c:v>
                </c:pt>
                <c:pt idx="210">
                  <c:v>15087.35</c:v>
                </c:pt>
                <c:pt idx="211">
                  <c:v>15092.89</c:v>
                </c:pt>
                <c:pt idx="212">
                  <c:v>15094.8</c:v>
                </c:pt>
                <c:pt idx="213">
                  <c:v>15097.33</c:v>
                </c:pt>
                <c:pt idx="214">
                  <c:v>15099.28</c:v>
                </c:pt>
                <c:pt idx="215">
                  <c:v>15185.43</c:v>
                </c:pt>
                <c:pt idx="216">
                  <c:v>15134.59</c:v>
                </c:pt>
                <c:pt idx="217">
                  <c:v>15136.53</c:v>
                </c:pt>
                <c:pt idx="218">
                  <c:v>15147.46</c:v>
                </c:pt>
                <c:pt idx="219">
                  <c:v>15148.67</c:v>
                </c:pt>
                <c:pt idx="220">
                  <c:v>15157.01</c:v>
                </c:pt>
                <c:pt idx="221">
                  <c:v>15158.22</c:v>
                </c:pt>
                <c:pt idx="222">
                  <c:v>15163.38</c:v>
                </c:pt>
                <c:pt idx="223">
                  <c:v>15164.31</c:v>
                </c:pt>
                <c:pt idx="224">
                  <c:v>15200.56</c:v>
                </c:pt>
                <c:pt idx="225">
                  <c:v>15201.07</c:v>
                </c:pt>
                <c:pt idx="226">
                  <c:v>15208.74</c:v>
                </c:pt>
                <c:pt idx="227">
                  <c:v>15208.84</c:v>
                </c:pt>
                <c:pt idx="228">
                  <c:v>15208.94</c:v>
                </c:pt>
                <c:pt idx="229">
                  <c:v>15256.59</c:v>
                </c:pt>
                <c:pt idx="230">
                  <c:v>15256.19</c:v>
                </c:pt>
                <c:pt idx="231">
                  <c:v>15269.17</c:v>
                </c:pt>
                <c:pt idx="232">
                  <c:v>15269.53</c:v>
                </c:pt>
                <c:pt idx="233">
                  <c:v>15272</c:v>
                </c:pt>
                <c:pt idx="234">
                  <c:v>15272.37</c:v>
                </c:pt>
                <c:pt idx="235">
                  <c:v>15275.38</c:v>
                </c:pt>
                <c:pt idx="236">
                  <c:v>15275.63</c:v>
                </c:pt>
                <c:pt idx="237">
                  <c:v>15278.9</c:v>
                </c:pt>
                <c:pt idx="238">
                  <c:v>15279.15</c:v>
                </c:pt>
                <c:pt idx="239">
                  <c:v>15280.24</c:v>
                </c:pt>
                <c:pt idx="240">
                  <c:v>15282.91</c:v>
                </c:pt>
                <c:pt idx="241">
                  <c:v>15283.41</c:v>
                </c:pt>
                <c:pt idx="242">
                  <c:v>15344.68</c:v>
                </c:pt>
                <c:pt idx="243">
                  <c:v>15345.25</c:v>
                </c:pt>
                <c:pt idx="244">
                  <c:v>15356.48</c:v>
                </c:pt>
                <c:pt idx="245">
                  <c:v>15356.83</c:v>
                </c:pt>
                <c:pt idx="246">
                  <c:v>15358.76</c:v>
                </c:pt>
                <c:pt idx="247">
                  <c:v>15359.11</c:v>
                </c:pt>
                <c:pt idx="248">
                  <c:v>15360.69</c:v>
                </c:pt>
                <c:pt idx="249">
                  <c:v>15360.5</c:v>
                </c:pt>
                <c:pt idx="250">
                  <c:v>15408.68</c:v>
                </c:pt>
                <c:pt idx="251">
                  <c:v>15408.51</c:v>
                </c:pt>
                <c:pt idx="252">
                  <c:v>15408.35</c:v>
                </c:pt>
                <c:pt idx="253">
                  <c:v>15415.61</c:v>
                </c:pt>
                <c:pt idx="254">
                  <c:v>15415.73</c:v>
                </c:pt>
                <c:pt idx="255">
                  <c:v>15484.52</c:v>
                </c:pt>
                <c:pt idx="256">
                  <c:v>15485.14</c:v>
                </c:pt>
                <c:pt idx="257">
                  <c:v>15511.82</c:v>
                </c:pt>
                <c:pt idx="258">
                  <c:v>15513.83</c:v>
                </c:pt>
                <c:pt idx="259">
                  <c:v>15519.58</c:v>
                </c:pt>
                <c:pt idx="260">
                  <c:v>15521.59</c:v>
                </c:pt>
                <c:pt idx="261">
                  <c:v>15527.28</c:v>
                </c:pt>
                <c:pt idx="262">
                  <c:v>15528.7</c:v>
                </c:pt>
                <c:pt idx="263">
                  <c:v>15566.84</c:v>
                </c:pt>
                <c:pt idx="264">
                  <c:v>15568.27</c:v>
                </c:pt>
                <c:pt idx="265">
                  <c:v>15578.59</c:v>
                </c:pt>
                <c:pt idx="266">
                  <c:v>15579.29</c:v>
                </c:pt>
                <c:pt idx="267">
                  <c:v>15579.99</c:v>
                </c:pt>
                <c:pt idx="268">
                  <c:v>15668.94</c:v>
                </c:pt>
                <c:pt idx="269">
                  <c:v>15669.64</c:v>
                </c:pt>
                <c:pt idx="270">
                  <c:v>15692.42</c:v>
                </c:pt>
                <c:pt idx="271">
                  <c:v>15693.42</c:v>
                </c:pt>
                <c:pt idx="272">
                  <c:v>15698.52</c:v>
                </c:pt>
                <c:pt idx="273">
                  <c:v>15699.88</c:v>
                </c:pt>
                <c:pt idx="274">
                  <c:v>15713.38</c:v>
                </c:pt>
                <c:pt idx="275">
                  <c:v>15714.03</c:v>
                </c:pt>
                <c:pt idx="276">
                  <c:v>15740.71</c:v>
                </c:pt>
                <c:pt idx="277">
                  <c:v>15741.37</c:v>
                </c:pt>
                <c:pt idx="278">
                  <c:v>15742.02</c:v>
                </c:pt>
                <c:pt idx="279">
                  <c:v>15751.89</c:v>
                </c:pt>
                <c:pt idx="280">
                  <c:v>15752.95</c:v>
                </c:pt>
                <c:pt idx="281">
                  <c:v>15838.86</c:v>
                </c:pt>
                <c:pt idx="282">
                  <c:v>15839.94</c:v>
                </c:pt>
                <c:pt idx="283">
                  <c:v>15860.06</c:v>
                </c:pt>
                <c:pt idx="284">
                  <c:v>15860.06</c:v>
                </c:pt>
                <c:pt idx="285">
                  <c:v>15860.55</c:v>
                </c:pt>
                <c:pt idx="286">
                  <c:v>15861.04</c:v>
                </c:pt>
                <c:pt idx="287">
                  <c:v>15868.77</c:v>
                </c:pt>
                <c:pt idx="288">
                  <c:v>15869.67</c:v>
                </c:pt>
                <c:pt idx="289">
                  <c:v>15874.66</c:v>
                </c:pt>
                <c:pt idx="290">
                  <c:v>15875.57</c:v>
                </c:pt>
                <c:pt idx="291">
                  <c:v>15876.47</c:v>
                </c:pt>
                <c:pt idx="292">
                  <c:v>15885.61</c:v>
                </c:pt>
                <c:pt idx="293">
                  <c:v>15886.44</c:v>
                </c:pt>
                <c:pt idx="294">
                  <c:v>15926.21</c:v>
                </c:pt>
                <c:pt idx="295">
                  <c:v>15927.16</c:v>
                </c:pt>
                <c:pt idx="296">
                  <c:v>15946.15</c:v>
                </c:pt>
                <c:pt idx="297">
                  <c:v>15946.93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EF-4901-870D-A1A0570CA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  <c:min val="43869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持有证券（单位：亿美元）</a:t>
                </a:r>
              </a:p>
            </c:rich>
          </c:tx>
          <c:layout>
            <c:manualLayout>
              <c:xMode val="edge"/>
              <c:yMode val="edge"/>
              <c:x val="2.6458339457948947E-2"/>
              <c:y val="0.185649305555555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资产端：</a:t>
            </a:r>
            <a:r>
              <a:rPr lang="zh-CN" altLang="en-US" sz="1400"/>
              <a:t>持有</a:t>
            </a:r>
            <a:r>
              <a:rPr lang="en-US" altLang="zh-CN" sz="1400"/>
              <a:t>MBS</a:t>
            </a:r>
            <a:endParaRPr lang="zh-CN" alt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资产负债表!$Q$3</c:f>
              <c:strCache>
                <c:ptCount val="1"/>
                <c:pt idx="0">
                  <c:v>抵押贷款支持债券(MBS)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资产负债表!$I$4:$I$301</c:f>
              <c:numCache>
                <c:formatCode>yyyy\-mm\-dd</c:formatCode>
                <c:ptCount val="298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43999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  <c:pt idx="53">
                  <c:v>44202</c:v>
                </c:pt>
                <c:pt idx="54">
                  <c:v>44209</c:v>
                </c:pt>
                <c:pt idx="55">
                  <c:v>44216</c:v>
                </c:pt>
                <c:pt idx="56">
                  <c:v>44223</c:v>
                </c:pt>
                <c:pt idx="57">
                  <c:v>44230</c:v>
                </c:pt>
                <c:pt idx="58">
                  <c:v>44237</c:v>
                </c:pt>
                <c:pt idx="59">
                  <c:v>44244</c:v>
                </c:pt>
                <c:pt idx="60">
                  <c:v>44251</c:v>
                </c:pt>
                <c:pt idx="61">
                  <c:v>44258</c:v>
                </c:pt>
                <c:pt idx="62">
                  <c:v>44265</c:v>
                </c:pt>
                <c:pt idx="63">
                  <c:v>44272</c:v>
                </c:pt>
                <c:pt idx="64">
                  <c:v>44279</c:v>
                </c:pt>
                <c:pt idx="65">
                  <c:v>44286</c:v>
                </c:pt>
                <c:pt idx="66">
                  <c:v>44293</c:v>
                </c:pt>
                <c:pt idx="67">
                  <c:v>44300</c:v>
                </c:pt>
                <c:pt idx="68">
                  <c:v>44307</c:v>
                </c:pt>
                <c:pt idx="69">
                  <c:v>44314</c:v>
                </c:pt>
                <c:pt idx="70">
                  <c:v>44321</c:v>
                </c:pt>
                <c:pt idx="71">
                  <c:v>44328</c:v>
                </c:pt>
                <c:pt idx="72">
                  <c:v>44335</c:v>
                </c:pt>
                <c:pt idx="73">
                  <c:v>44342</c:v>
                </c:pt>
                <c:pt idx="74">
                  <c:v>44349</c:v>
                </c:pt>
                <c:pt idx="75">
                  <c:v>44356</c:v>
                </c:pt>
                <c:pt idx="76">
                  <c:v>44363</c:v>
                </c:pt>
                <c:pt idx="77">
                  <c:v>44370</c:v>
                </c:pt>
                <c:pt idx="78">
                  <c:v>44377</c:v>
                </c:pt>
                <c:pt idx="79">
                  <c:v>44384</c:v>
                </c:pt>
                <c:pt idx="80">
                  <c:v>44391</c:v>
                </c:pt>
                <c:pt idx="81">
                  <c:v>44398</c:v>
                </c:pt>
                <c:pt idx="82">
                  <c:v>44405</c:v>
                </c:pt>
                <c:pt idx="83">
                  <c:v>44412</c:v>
                </c:pt>
                <c:pt idx="84">
                  <c:v>44419</c:v>
                </c:pt>
                <c:pt idx="85">
                  <c:v>44426</c:v>
                </c:pt>
                <c:pt idx="86">
                  <c:v>44433</c:v>
                </c:pt>
                <c:pt idx="87">
                  <c:v>44440</c:v>
                </c:pt>
                <c:pt idx="88">
                  <c:v>44447</c:v>
                </c:pt>
                <c:pt idx="89">
                  <c:v>44454</c:v>
                </c:pt>
                <c:pt idx="90">
                  <c:v>44461</c:v>
                </c:pt>
                <c:pt idx="91">
                  <c:v>44468</c:v>
                </c:pt>
                <c:pt idx="92">
                  <c:v>44475</c:v>
                </c:pt>
                <c:pt idx="93">
                  <c:v>44482</c:v>
                </c:pt>
                <c:pt idx="94">
                  <c:v>44489</c:v>
                </c:pt>
                <c:pt idx="95">
                  <c:v>44496</c:v>
                </c:pt>
                <c:pt idx="96">
                  <c:v>44503</c:v>
                </c:pt>
                <c:pt idx="97">
                  <c:v>44510</c:v>
                </c:pt>
                <c:pt idx="98">
                  <c:v>44517</c:v>
                </c:pt>
                <c:pt idx="99">
                  <c:v>44524</c:v>
                </c:pt>
                <c:pt idx="100">
                  <c:v>44531</c:v>
                </c:pt>
                <c:pt idx="101">
                  <c:v>44538</c:v>
                </c:pt>
                <c:pt idx="102">
                  <c:v>44545</c:v>
                </c:pt>
                <c:pt idx="103">
                  <c:v>44552</c:v>
                </c:pt>
                <c:pt idx="104">
                  <c:v>44559</c:v>
                </c:pt>
                <c:pt idx="105">
                  <c:v>44566</c:v>
                </c:pt>
                <c:pt idx="106">
                  <c:v>44573</c:v>
                </c:pt>
                <c:pt idx="107">
                  <c:v>44580</c:v>
                </c:pt>
                <c:pt idx="108">
                  <c:v>44587</c:v>
                </c:pt>
                <c:pt idx="109">
                  <c:v>44594</c:v>
                </c:pt>
                <c:pt idx="110">
                  <c:v>44601</c:v>
                </c:pt>
                <c:pt idx="111">
                  <c:v>44608</c:v>
                </c:pt>
                <c:pt idx="112">
                  <c:v>44615</c:v>
                </c:pt>
                <c:pt idx="113">
                  <c:v>44622</c:v>
                </c:pt>
                <c:pt idx="114">
                  <c:v>44629</c:v>
                </c:pt>
                <c:pt idx="115">
                  <c:v>44636</c:v>
                </c:pt>
                <c:pt idx="116">
                  <c:v>44643</c:v>
                </c:pt>
                <c:pt idx="117">
                  <c:v>44650</c:v>
                </c:pt>
                <c:pt idx="118">
                  <c:v>44657</c:v>
                </c:pt>
                <c:pt idx="119">
                  <c:v>44664</c:v>
                </c:pt>
                <c:pt idx="120">
                  <c:v>44671</c:v>
                </c:pt>
                <c:pt idx="121">
                  <c:v>44678</c:v>
                </c:pt>
                <c:pt idx="122">
                  <c:v>44685</c:v>
                </c:pt>
                <c:pt idx="123">
                  <c:v>44692</c:v>
                </c:pt>
                <c:pt idx="124">
                  <c:v>44699</c:v>
                </c:pt>
                <c:pt idx="125">
                  <c:v>44706</c:v>
                </c:pt>
                <c:pt idx="126">
                  <c:v>44713</c:v>
                </c:pt>
                <c:pt idx="127">
                  <c:v>44720</c:v>
                </c:pt>
                <c:pt idx="128">
                  <c:v>44727</c:v>
                </c:pt>
                <c:pt idx="129">
                  <c:v>44734</c:v>
                </c:pt>
                <c:pt idx="130">
                  <c:v>44741</c:v>
                </c:pt>
                <c:pt idx="131">
                  <c:v>44748</c:v>
                </c:pt>
                <c:pt idx="132">
                  <c:v>44755</c:v>
                </c:pt>
                <c:pt idx="133">
                  <c:v>44762</c:v>
                </c:pt>
                <c:pt idx="134">
                  <c:v>44769</c:v>
                </c:pt>
                <c:pt idx="135">
                  <c:v>44776</c:v>
                </c:pt>
                <c:pt idx="136">
                  <c:v>44783</c:v>
                </c:pt>
                <c:pt idx="137">
                  <c:v>44790</c:v>
                </c:pt>
                <c:pt idx="138">
                  <c:v>44797</c:v>
                </c:pt>
                <c:pt idx="139">
                  <c:v>44804</c:v>
                </c:pt>
                <c:pt idx="140">
                  <c:v>44811</c:v>
                </c:pt>
                <c:pt idx="141">
                  <c:v>44818</c:v>
                </c:pt>
                <c:pt idx="142">
                  <c:v>44825</c:v>
                </c:pt>
                <c:pt idx="143">
                  <c:v>44832</c:v>
                </c:pt>
                <c:pt idx="144">
                  <c:v>44839</c:v>
                </c:pt>
                <c:pt idx="145">
                  <c:v>44846</c:v>
                </c:pt>
                <c:pt idx="146">
                  <c:v>44853</c:v>
                </c:pt>
                <c:pt idx="147">
                  <c:v>44860</c:v>
                </c:pt>
                <c:pt idx="148">
                  <c:v>44867</c:v>
                </c:pt>
                <c:pt idx="149">
                  <c:v>44874</c:v>
                </c:pt>
                <c:pt idx="150">
                  <c:v>44881</c:v>
                </c:pt>
                <c:pt idx="151">
                  <c:v>44888</c:v>
                </c:pt>
                <c:pt idx="152">
                  <c:v>44895</c:v>
                </c:pt>
                <c:pt idx="153">
                  <c:v>44902</c:v>
                </c:pt>
                <c:pt idx="154">
                  <c:v>44909</c:v>
                </c:pt>
                <c:pt idx="155">
                  <c:v>44916</c:v>
                </c:pt>
                <c:pt idx="156">
                  <c:v>44923</c:v>
                </c:pt>
                <c:pt idx="157">
                  <c:v>44930</c:v>
                </c:pt>
                <c:pt idx="158">
                  <c:v>44937</c:v>
                </c:pt>
                <c:pt idx="159">
                  <c:v>44944</c:v>
                </c:pt>
                <c:pt idx="160">
                  <c:v>44951</c:v>
                </c:pt>
                <c:pt idx="161">
                  <c:v>44958</c:v>
                </c:pt>
                <c:pt idx="162">
                  <c:v>44965</c:v>
                </c:pt>
                <c:pt idx="163">
                  <c:v>44972</c:v>
                </c:pt>
                <c:pt idx="164">
                  <c:v>44979</c:v>
                </c:pt>
                <c:pt idx="165">
                  <c:v>44986</c:v>
                </c:pt>
                <c:pt idx="166">
                  <c:v>44993</c:v>
                </c:pt>
                <c:pt idx="167">
                  <c:v>45000</c:v>
                </c:pt>
                <c:pt idx="168">
                  <c:v>45007</c:v>
                </c:pt>
                <c:pt idx="169">
                  <c:v>45014</c:v>
                </c:pt>
                <c:pt idx="170">
                  <c:v>45021</c:v>
                </c:pt>
                <c:pt idx="171">
                  <c:v>45028</c:v>
                </c:pt>
                <c:pt idx="172">
                  <c:v>45035</c:v>
                </c:pt>
                <c:pt idx="173">
                  <c:v>45042</c:v>
                </c:pt>
                <c:pt idx="174">
                  <c:v>45049</c:v>
                </c:pt>
                <c:pt idx="175">
                  <c:v>45056</c:v>
                </c:pt>
                <c:pt idx="176">
                  <c:v>45063</c:v>
                </c:pt>
                <c:pt idx="177">
                  <c:v>45070</c:v>
                </c:pt>
                <c:pt idx="178">
                  <c:v>45077</c:v>
                </c:pt>
                <c:pt idx="179">
                  <c:v>45084</c:v>
                </c:pt>
                <c:pt idx="180">
                  <c:v>45091</c:v>
                </c:pt>
                <c:pt idx="181">
                  <c:v>45098</c:v>
                </c:pt>
                <c:pt idx="182">
                  <c:v>45105</c:v>
                </c:pt>
                <c:pt idx="183">
                  <c:v>45112</c:v>
                </c:pt>
                <c:pt idx="184">
                  <c:v>45119</c:v>
                </c:pt>
                <c:pt idx="185">
                  <c:v>45126</c:v>
                </c:pt>
                <c:pt idx="186">
                  <c:v>45133</c:v>
                </c:pt>
                <c:pt idx="187">
                  <c:v>45140</c:v>
                </c:pt>
                <c:pt idx="188">
                  <c:v>45147</c:v>
                </c:pt>
                <c:pt idx="189">
                  <c:v>45154</c:v>
                </c:pt>
                <c:pt idx="190">
                  <c:v>45161</c:v>
                </c:pt>
                <c:pt idx="191">
                  <c:v>45168</c:v>
                </c:pt>
                <c:pt idx="192">
                  <c:v>45175</c:v>
                </c:pt>
                <c:pt idx="193">
                  <c:v>45182</c:v>
                </c:pt>
                <c:pt idx="194">
                  <c:v>45189</c:v>
                </c:pt>
                <c:pt idx="195">
                  <c:v>45196</c:v>
                </c:pt>
                <c:pt idx="196">
                  <c:v>45203</c:v>
                </c:pt>
                <c:pt idx="197">
                  <c:v>45210</c:v>
                </c:pt>
                <c:pt idx="198">
                  <c:v>45217</c:v>
                </c:pt>
                <c:pt idx="199">
                  <c:v>45224</c:v>
                </c:pt>
                <c:pt idx="200">
                  <c:v>45231</c:v>
                </c:pt>
                <c:pt idx="201">
                  <c:v>45238</c:v>
                </c:pt>
                <c:pt idx="202">
                  <c:v>45245</c:v>
                </c:pt>
                <c:pt idx="203">
                  <c:v>45252</c:v>
                </c:pt>
                <c:pt idx="204">
                  <c:v>45259</c:v>
                </c:pt>
                <c:pt idx="205">
                  <c:v>45266</c:v>
                </c:pt>
                <c:pt idx="206">
                  <c:v>45273</c:v>
                </c:pt>
                <c:pt idx="207">
                  <c:v>45280</c:v>
                </c:pt>
                <c:pt idx="208">
                  <c:v>45287</c:v>
                </c:pt>
                <c:pt idx="209">
                  <c:v>45294</c:v>
                </c:pt>
                <c:pt idx="210">
                  <c:v>45301</c:v>
                </c:pt>
                <c:pt idx="211">
                  <c:v>45308</c:v>
                </c:pt>
                <c:pt idx="212">
                  <c:v>45315</c:v>
                </c:pt>
                <c:pt idx="213">
                  <c:v>45322</c:v>
                </c:pt>
                <c:pt idx="214">
                  <c:v>45329</c:v>
                </c:pt>
                <c:pt idx="215">
                  <c:v>45336</c:v>
                </c:pt>
                <c:pt idx="216">
                  <c:v>45343</c:v>
                </c:pt>
                <c:pt idx="217">
                  <c:v>45350</c:v>
                </c:pt>
                <c:pt idx="218">
                  <c:v>45357</c:v>
                </c:pt>
                <c:pt idx="219">
                  <c:v>45364</c:v>
                </c:pt>
                <c:pt idx="220">
                  <c:v>45371</c:v>
                </c:pt>
                <c:pt idx="221">
                  <c:v>45378</c:v>
                </c:pt>
                <c:pt idx="222">
                  <c:v>45385</c:v>
                </c:pt>
                <c:pt idx="223">
                  <c:v>45392</c:v>
                </c:pt>
                <c:pt idx="224">
                  <c:v>45399</c:v>
                </c:pt>
                <c:pt idx="225">
                  <c:v>45406</c:v>
                </c:pt>
                <c:pt idx="226">
                  <c:v>45413</c:v>
                </c:pt>
                <c:pt idx="227">
                  <c:v>45420</c:v>
                </c:pt>
                <c:pt idx="228">
                  <c:v>45427</c:v>
                </c:pt>
                <c:pt idx="229">
                  <c:v>45434</c:v>
                </c:pt>
                <c:pt idx="230">
                  <c:v>45441</c:v>
                </c:pt>
                <c:pt idx="231">
                  <c:v>45448</c:v>
                </c:pt>
                <c:pt idx="232">
                  <c:v>45455</c:v>
                </c:pt>
                <c:pt idx="233">
                  <c:v>45462</c:v>
                </c:pt>
                <c:pt idx="234">
                  <c:v>45469</c:v>
                </c:pt>
                <c:pt idx="235">
                  <c:v>45476</c:v>
                </c:pt>
                <c:pt idx="236">
                  <c:v>45483</c:v>
                </c:pt>
                <c:pt idx="237">
                  <c:v>45490</c:v>
                </c:pt>
                <c:pt idx="238">
                  <c:v>45497</c:v>
                </c:pt>
                <c:pt idx="239">
                  <c:v>45504</c:v>
                </c:pt>
                <c:pt idx="240">
                  <c:v>45511</c:v>
                </c:pt>
                <c:pt idx="241">
                  <c:v>45518</c:v>
                </c:pt>
                <c:pt idx="242">
                  <c:v>45525</c:v>
                </c:pt>
                <c:pt idx="243">
                  <c:v>45532</c:v>
                </c:pt>
                <c:pt idx="244">
                  <c:v>45539</c:v>
                </c:pt>
                <c:pt idx="245">
                  <c:v>45546</c:v>
                </c:pt>
                <c:pt idx="246">
                  <c:v>45553</c:v>
                </c:pt>
                <c:pt idx="247">
                  <c:v>45560</c:v>
                </c:pt>
                <c:pt idx="248">
                  <c:v>45567</c:v>
                </c:pt>
                <c:pt idx="249">
                  <c:v>45574</c:v>
                </c:pt>
                <c:pt idx="250">
                  <c:v>45581</c:v>
                </c:pt>
                <c:pt idx="251">
                  <c:v>45588</c:v>
                </c:pt>
                <c:pt idx="252">
                  <c:v>45595</c:v>
                </c:pt>
                <c:pt idx="253">
                  <c:v>45602</c:v>
                </c:pt>
                <c:pt idx="254">
                  <c:v>45609</c:v>
                </c:pt>
                <c:pt idx="255">
                  <c:v>45616</c:v>
                </c:pt>
                <c:pt idx="256">
                  <c:v>45623</c:v>
                </c:pt>
                <c:pt idx="257">
                  <c:v>45630</c:v>
                </c:pt>
                <c:pt idx="258">
                  <c:v>45637</c:v>
                </c:pt>
                <c:pt idx="259">
                  <c:v>45644</c:v>
                </c:pt>
                <c:pt idx="260">
                  <c:v>45651</c:v>
                </c:pt>
                <c:pt idx="261">
                  <c:v>45658</c:v>
                </c:pt>
                <c:pt idx="262">
                  <c:v>45665</c:v>
                </c:pt>
                <c:pt idx="263">
                  <c:v>45672</c:v>
                </c:pt>
                <c:pt idx="264">
                  <c:v>45679</c:v>
                </c:pt>
                <c:pt idx="265">
                  <c:v>45686</c:v>
                </c:pt>
                <c:pt idx="266">
                  <c:v>45693</c:v>
                </c:pt>
                <c:pt idx="267">
                  <c:v>45700</c:v>
                </c:pt>
                <c:pt idx="268">
                  <c:v>45707</c:v>
                </c:pt>
                <c:pt idx="269">
                  <c:v>45714</c:v>
                </c:pt>
                <c:pt idx="270">
                  <c:v>45721</c:v>
                </c:pt>
                <c:pt idx="271">
                  <c:v>45728</c:v>
                </c:pt>
                <c:pt idx="272">
                  <c:v>45735</c:v>
                </c:pt>
                <c:pt idx="273">
                  <c:v>45742</c:v>
                </c:pt>
                <c:pt idx="274">
                  <c:v>45749</c:v>
                </c:pt>
                <c:pt idx="275">
                  <c:v>45756</c:v>
                </c:pt>
                <c:pt idx="276">
                  <c:v>45763</c:v>
                </c:pt>
                <c:pt idx="277">
                  <c:v>45770</c:v>
                </c:pt>
                <c:pt idx="278">
                  <c:v>45777</c:v>
                </c:pt>
                <c:pt idx="279">
                  <c:v>45784</c:v>
                </c:pt>
                <c:pt idx="280">
                  <c:v>45791</c:v>
                </c:pt>
                <c:pt idx="281">
                  <c:v>45798</c:v>
                </c:pt>
                <c:pt idx="282">
                  <c:v>45805</c:v>
                </c:pt>
                <c:pt idx="283">
                  <c:v>45812</c:v>
                </c:pt>
                <c:pt idx="284">
                  <c:v>45819</c:v>
                </c:pt>
                <c:pt idx="285">
                  <c:v>45826</c:v>
                </c:pt>
                <c:pt idx="286">
                  <c:v>45833</c:v>
                </c:pt>
                <c:pt idx="287">
                  <c:v>45840</c:v>
                </c:pt>
                <c:pt idx="288">
                  <c:v>45847</c:v>
                </c:pt>
                <c:pt idx="289">
                  <c:v>45854</c:v>
                </c:pt>
                <c:pt idx="290">
                  <c:v>45861</c:v>
                </c:pt>
                <c:pt idx="291">
                  <c:v>45868</c:v>
                </c:pt>
                <c:pt idx="292">
                  <c:v>45875</c:v>
                </c:pt>
                <c:pt idx="293">
                  <c:v>45882</c:v>
                </c:pt>
                <c:pt idx="294">
                  <c:v>45889</c:v>
                </c:pt>
                <c:pt idx="295">
                  <c:v>45896</c:v>
                </c:pt>
                <c:pt idx="296">
                  <c:v>45903</c:v>
                </c:pt>
                <c:pt idx="297">
                  <c:v>45910</c:v>
                </c:pt>
              </c:numCache>
            </c:numRef>
          </c:cat>
          <c:val>
            <c:numRef>
              <c:f>资产负债表!$Q$4:$Q$301</c:f>
              <c:numCache>
                <c:formatCode>General</c:formatCode>
                <c:ptCount val="298"/>
                <c:pt idx="0">
                  <c:v>14086.77</c:v>
                </c:pt>
                <c:pt idx="1">
                  <c:v>14086.77</c:v>
                </c:pt>
                <c:pt idx="2">
                  <c:v>14043.18</c:v>
                </c:pt>
                <c:pt idx="3">
                  <c:v>13986.42</c:v>
                </c:pt>
                <c:pt idx="4">
                  <c:v>13872.88</c:v>
                </c:pt>
                <c:pt idx="5">
                  <c:v>13872.89</c:v>
                </c:pt>
                <c:pt idx="6">
                  <c:v>13915.26</c:v>
                </c:pt>
                <c:pt idx="7">
                  <c:v>13857.84</c:v>
                </c:pt>
                <c:pt idx="8">
                  <c:v>13718.43</c:v>
                </c:pt>
                <c:pt idx="9">
                  <c:v>13718.46</c:v>
                </c:pt>
                <c:pt idx="10">
                  <c:v>13718.46</c:v>
                </c:pt>
                <c:pt idx="11">
                  <c:v>13666.76</c:v>
                </c:pt>
                <c:pt idx="12">
                  <c:v>13845.63</c:v>
                </c:pt>
                <c:pt idx="13">
                  <c:v>14577.21</c:v>
                </c:pt>
                <c:pt idx="14">
                  <c:v>14597.01</c:v>
                </c:pt>
                <c:pt idx="15">
                  <c:v>15681.71</c:v>
                </c:pt>
                <c:pt idx="16">
                  <c:v>16224.87</c:v>
                </c:pt>
                <c:pt idx="17">
                  <c:v>16047.2</c:v>
                </c:pt>
                <c:pt idx="18">
                  <c:v>16053.8</c:v>
                </c:pt>
                <c:pt idx="19">
                  <c:v>17837.61</c:v>
                </c:pt>
                <c:pt idx="20">
                  <c:v>18628.41</c:v>
                </c:pt>
                <c:pt idx="21">
                  <c:v>18351.099999999999</c:v>
                </c:pt>
                <c:pt idx="22">
                  <c:v>18355.939999999999</c:v>
                </c:pt>
                <c:pt idx="23">
                  <c:v>18355.95</c:v>
                </c:pt>
                <c:pt idx="24">
                  <c:v>19187.41</c:v>
                </c:pt>
                <c:pt idx="25">
                  <c:v>19434.41</c:v>
                </c:pt>
                <c:pt idx="26">
                  <c:v>19113.810000000001</c:v>
                </c:pt>
                <c:pt idx="27">
                  <c:v>19114.009999999998</c:v>
                </c:pt>
                <c:pt idx="28">
                  <c:v>19483.88</c:v>
                </c:pt>
                <c:pt idx="29">
                  <c:v>19706</c:v>
                </c:pt>
                <c:pt idx="30">
                  <c:v>19333.8</c:v>
                </c:pt>
                <c:pt idx="31">
                  <c:v>19334.66</c:v>
                </c:pt>
                <c:pt idx="32">
                  <c:v>19335.48</c:v>
                </c:pt>
                <c:pt idx="33">
                  <c:v>19778.97</c:v>
                </c:pt>
                <c:pt idx="34">
                  <c:v>19492.28</c:v>
                </c:pt>
                <c:pt idx="35">
                  <c:v>19492.36</c:v>
                </c:pt>
                <c:pt idx="36">
                  <c:v>19495.990000000002</c:v>
                </c:pt>
                <c:pt idx="37">
                  <c:v>20050.349999999999</c:v>
                </c:pt>
                <c:pt idx="38">
                  <c:v>20248.68</c:v>
                </c:pt>
                <c:pt idx="39">
                  <c:v>19827.75</c:v>
                </c:pt>
                <c:pt idx="40">
                  <c:v>19827.89</c:v>
                </c:pt>
                <c:pt idx="41">
                  <c:v>20468.39</c:v>
                </c:pt>
                <c:pt idx="42">
                  <c:v>20472.349999999999</c:v>
                </c:pt>
                <c:pt idx="43">
                  <c:v>20003.05</c:v>
                </c:pt>
                <c:pt idx="44">
                  <c:v>20003.240000000002</c:v>
                </c:pt>
                <c:pt idx="45">
                  <c:v>20003.68</c:v>
                </c:pt>
                <c:pt idx="46">
                  <c:v>20511.759999999998</c:v>
                </c:pt>
                <c:pt idx="47">
                  <c:v>20035.919999999998</c:v>
                </c:pt>
                <c:pt idx="48">
                  <c:v>20036.21</c:v>
                </c:pt>
                <c:pt idx="49">
                  <c:v>20036.560000000001</c:v>
                </c:pt>
                <c:pt idx="50">
                  <c:v>20790.93</c:v>
                </c:pt>
                <c:pt idx="51">
                  <c:v>20865.740000000002</c:v>
                </c:pt>
                <c:pt idx="52">
                  <c:v>20394.68</c:v>
                </c:pt>
                <c:pt idx="53">
                  <c:v>20394.689999999999</c:v>
                </c:pt>
                <c:pt idx="54">
                  <c:v>20395.419999999998</c:v>
                </c:pt>
                <c:pt idx="55">
                  <c:v>20998.49</c:v>
                </c:pt>
                <c:pt idx="56">
                  <c:v>20697.689999999999</c:v>
                </c:pt>
                <c:pt idx="57">
                  <c:v>20697.89</c:v>
                </c:pt>
                <c:pt idx="58">
                  <c:v>20697.900000000001</c:v>
                </c:pt>
                <c:pt idx="59">
                  <c:v>21705.62</c:v>
                </c:pt>
                <c:pt idx="60">
                  <c:v>21806.78</c:v>
                </c:pt>
                <c:pt idx="61">
                  <c:v>21334</c:v>
                </c:pt>
                <c:pt idx="62">
                  <c:v>21334.36</c:v>
                </c:pt>
                <c:pt idx="63">
                  <c:v>22214.29</c:v>
                </c:pt>
                <c:pt idx="64">
                  <c:v>22348.07</c:v>
                </c:pt>
                <c:pt idx="65">
                  <c:v>21846.83</c:v>
                </c:pt>
                <c:pt idx="66">
                  <c:v>21846.84</c:v>
                </c:pt>
                <c:pt idx="67">
                  <c:v>22490.19</c:v>
                </c:pt>
                <c:pt idx="68">
                  <c:v>22469.89</c:v>
                </c:pt>
                <c:pt idx="69">
                  <c:v>21913.05</c:v>
                </c:pt>
                <c:pt idx="70">
                  <c:v>21913.25</c:v>
                </c:pt>
                <c:pt idx="71">
                  <c:v>21913.25</c:v>
                </c:pt>
                <c:pt idx="72">
                  <c:v>22775.61</c:v>
                </c:pt>
                <c:pt idx="73">
                  <c:v>22442.65</c:v>
                </c:pt>
                <c:pt idx="74">
                  <c:v>22442.7</c:v>
                </c:pt>
                <c:pt idx="75">
                  <c:v>22442.7</c:v>
                </c:pt>
                <c:pt idx="76">
                  <c:v>23281.24</c:v>
                </c:pt>
                <c:pt idx="77">
                  <c:v>23541.55</c:v>
                </c:pt>
                <c:pt idx="78">
                  <c:v>23196.37</c:v>
                </c:pt>
                <c:pt idx="79">
                  <c:v>23196.37</c:v>
                </c:pt>
                <c:pt idx="80">
                  <c:v>24023.62</c:v>
                </c:pt>
                <c:pt idx="81">
                  <c:v>24221.77</c:v>
                </c:pt>
                <c:pt idx="82">
                  <c:v>23847.79</c:v>
                </c:pt>
                <c:pt idx="83">
                  <c:v>23847.85</c:v>
                </c:pt>
                <c:pt idx="84">
                  <c:v>23847.85</c:v>
                </c:pt>
                <c:pt idx="85">
                  <c:v>24656.38</c:v>
                </c:pt>
                <c:pt idx="86">
                  <c:v>24380.67</c:v>
                </c:pt>
                <c:pt idx="87">
                  <c:v>24380.68</c:v>
                </c:pt>
                <c:pt idx="88">
                  <c:v>24380.68</c:v>
                </c:pt>
                <c:pt idx="89">
                  <c:v>25141.56</c:v>
                </c:pt>
                <c:pt idx="90">
                  <c:v>25365.57</c:v>
                </c:pt>
                <c:pt idx="91">
                  <c:v>24946.84</c:v>
                </c:pt>
                <c:pt idx="92">
                  <c:v>24947.49</c:v>
                </c:pt>
                <c:pt idx="93">
                  <c:v>24947.59</c:v>
                </c:pt>
                <c:pt idx="94">
                  <c:v>25469.32</c:v>
                </c:pt>
                <c:pt idx="95">
                  <c:v>25277.77</c:v>
                </c:pt>
                <c:pt idx="96">
                  <c:v>25278.240000000002</c:v>
                </c:pt>
                <c:pt idx="97">
                  <c:v>25933.66</c:v>
                </c:pt>
                <c:pt idx="98">
                  <c:v>26034.31</c:v>
                </c:pt>
                <c:pt idx="99">
                  <c:v>26097.26</c:v>
                </c:pt>
                <c:pt idx="100">
                  <c:v>25708.84</c:v>
                </c:pt>
                <c:pt idx="101">
                  <c:v>25709.18</c:v>
                </c:pt>
                <c:pt idx="102">
                  <c:v>26281.3</c:v>
                </c:pt>
                <c:pt idx="103">
                  <c:v>26496.61</c:v>
                </c:pt>
                <c:pt idx="104">
                  <c:v>26154.92</c:v>
                </c:pt>
                <c:pt idx="105">
                  <c:v>26155.599999999999</c:v>
                </c:pt>
                <c:pt idx="106">
                  <c:v>26155.67</c:v>
                </c:pt>
                <c:pt idx="107">
                  <c:v>26862.62</c:v>
                </c:pt>
                <c:pt idx="108">
                  <c:v>26608.2</c:v>
                </c:pt>
                <c:pt idx="109">
                  <c:v>26608.45</c:v>
                </c:pt>
                <c:pt idx="110">
                  <c:v>26608.51</c:v>
                </c:pt>
                <c:pt idx="111">
                  <c:v>27046.13</c:v>
                </c:pt>
                <c:pt idx="112">
                  <c:v>27178.67</c:v>
                </c:pt>
                <c:pt idx="113">
                  <c:v>26913.58</c:v>
                </c:pt>
                <c:pt idx="114">
                  <c:v>26913.61</c:v>
                </c:pt>
                <c:pt idx="115">
                  <c:v>27299.31</c:v>
                </c:pt>
                <c:pt idx="116">
                  <c:v>27387.599999999999</c:v>
                </c:pt>
                <c:pt idx="117">
                  <c:v>27152.5</c:v>
                </c:pt>
                <c:pt idx="118">
                  <c:v>27153.55</c:v>
                </c:pt>
                <c:pt idx="119">
                  <c:v>27401.85</c:v>
                </c:pt>
                <c:pt idx="120">
                  <c:v>27306.87</c:v>
                </c:pt>
                <c:pt idx="121">
                  <c:v>27150.12</c:v>
                </c:pt>
                <c:pt idx="122">
                  <c:v>27150.2</c:v>
                </c:pt>
                <c:pt idx="123">
                  <c:v>27150.21</c:v>
                </c:pt>
                <c:pt idx="124">
                  <c:v>27338.23</c:v>
                </c:pt>
                <c:pt idx="125">
                  <c:v>27074.46</c:v>
                </c:pt>
                <c:pt idx="126">
                  <c:v>27074.46</c:v>
                </c:pt>
                <c:pt idx="127">
                  <c:v>27074.46</c:v>
                </c:pt>
                <c:pt idx="128">
                  <c:v>27275.67</c:v>
                </c:pt>
                <c:pt idx="129">
                  <c:v>27288.15</c:v>
                </c:pt>
                <c:pt idx="130">
                  <c:v>27093.279999999999</c:v>
                </c:pt>
                <c:pt idx="131">
                  <c:v>27093.360000000001</c:v>
                </c:pt>
                <c:pt idx="132">
                  <c:v>27093.37</c:v>
                </c:pt>
                <c:pt idx="133">
                  <c:v>27262.61</c:v>
                </c:pt>
                <c:pt idx="134">
                  <c:v>27173.79</c:v>
                </c:pt>
                <c:pt idx="135">
                  <c:v>27175.52</c:v>
                </c:pt>
                <c:pt idx="136">
                  <c:v>27175.68</c:v>
                </c:pt>
                <c:pt idx="137">
                  <c:v>27274.73</c:v>
                </c:pt>
                <c:pt idx="138">
                  <c:v>27259.06</c:v>
                </c:pt>
                <c:pt idx="139">
                  <c:v>27092.880000000001</c:v>
                </c:pt>
                <c:pt idx="140">
                  <c:v>27092.91</c:v>
                </c:pt>
                <c:pt idx="141">
                  <c:v>27185.26</c:v>
                </c:pt>
                <c:pt idx="142">
                  <c:v>27148.87</c:v>
                </c:pt>
                <c:pt idx="143">
                  <c:v>26981.58</c:v>
                </c:pt>
                <c:pt idx="144">
                  <c:v>26981.58</c:v>
                </c:pt>
                <c:pt idx="145">
                  <c:v>26981.58</c:v>
                </c:pt>
                <c:pt idx="146">
                  <c:v>26986.51</c:v>
                </c:pt>
                <c:pt idx="147">
                  <c:v>26785.19</c:v>
                </c:pt>
                <c:pt idx="148">
                  <c:v>26785.23</c:v>
                </c:pt>
                <c:pt idx="149">
                  <c:v>26785.24</c:v>
                </c:pt>
                <c:pt idx="150">
                  <c:v>26768.81</c:v>
                </c:pt>
                <c:pt idx="151">
                  <c:v>26720.83</c:v>
                </c:pt>
                <c:pt idx="152">
                  <c:v>26587.56</c:v>
                </c:pt>
                <c:pt idx="153">
                  <c:v>26587.56</c:v>
                </c:pt>
                <c:pt idx="154">
                  <c:v>26586.33</c:v>
                </c:pt>
                <c:pt idx="155">
                  <c:v>26532.22</c:v>
                </c:pt>
                <c:pt idx="156">
                  <c:v>26414.02</c:v>
                </c:pt>
                <c:pt idx="157">
                  <c:v>26414.02</c:v>
                </c:pt>
                <c:pt idx="158">
                  <c:v>26414.02</c:v>
                </c:pt>
                <c:pt idx="159">
                  <c:v>26399.4</c:v>
                </c:pt>
                <c:pt idx="160">
                  <c:v>26247.35</c:v>
                </c:pt>
                <c:pt idx="161">
                  <c:v>26247.35</c:v>
                </c:pt>
                <c:pt idx="162">
                  <c:v>26247.35</c:v>
                </c:pt>
                <c:pt idx="163">
                  <c:v>26235.119999999999</c:v>
                </c:pt>
                <c:pt idx="164">
                  <c:v>26202.48</c:v>
                </c:pt>
                <c:pt idx="165">
                  <c:v>26100.400000000001</c:v>
                </c:pt>
                <c:pt idx="166">
                  <c:v>26100.400000000001</c:v>
                </c:pt>
                <c:pt idx="167">
                  <c:v>26087.41</c:v>
                </c:pt>
                <c:pt idx="168">
                  <c:v>26052.35</c:v>
                </c:pt>
                <c:pt idx="169">
                  <c:v>25944.799999999999</c:v>
                </c:pt>
                <c:pt idx="170">
                  <c:v>25944.799999999999</c:v>
                </c:pt>
                <c:pt idx="171">
                  <c:v>25944.799999999999</c:v>
                </c:pt>
                <c:pt idx="172">
                  <c:v>25930.42</c:v>
                </c:pt>
                <c:pt idx="173">
                  <c:v>25757.759999999998</c:v>
                </c:pt>
                <c:pt idx="174">
                  <c:v>25757.8</c:v>
                </c:pt>
                <c:pt idx="175">
                  <c:v>25757.8</c:v>
                </c:pt>
                <c:pt idx="176">
                  <c:v>25744.28</c:v>
                </c:pt>
                <c:pt idx="177">
                  <c:v>25704.25</c:v>
                </c:pt>
                <c:pt idx="178">
                  <c:v>25582.36</c:v>
                </c:pt>
                <c:pt idx="179">
                  <c:v>25582.36</c:v>
                </c:pt>
                <c:pt idx="180">
                  <c:v>25581.72</c:v>
                </c:pt>
                <c:pt idx="181">
                  <c:v>25533.5</c:v>
                </c:pt>
                <c:pt idx="182">
                  <c:v>25381.38</c:v>
                </c:pt>
                <c:pt idx="183">
                  <c:v>25381.38</c:v>
                </c:pt>
                <c:pt idx="184">
                  <c:v>25381.38</c:v>
                </c:pt>
                <c:pt idx="185">
                  <c:v>25380.59</c:v>
                </c:pt>
                <c:pt idx="186">
                  <c:v>25175.59</c:v>
                </c:pt>
                <c:pt idx="187">
                  <c:v>25175.59</c:v>
                </c:pt>
                <c:pt idx="188">
                  <c:v>25175.59</c:v>
                </c:pt>
                <c:pt idx="189">
                  <c:v>25174.83</c:v>
                </c:pt>
                <c:pt idx="190">
                  <c:v>25131.4</c:v>
                </c:pt>
                <c:pt idx="191">
                  <c:v>24988.7</c:v>
                </c:pt>
                <c:pt idx="192">
                  <c:v>24988.7</c:v>
                </c:pt>
                <c:pt idx="193">
                  <c:v>24988.7</c:v>
                </c:pt>
                <c:pt idx="194">
                  <c:v>24944.6</c:v>
                </c:pt>
                <c:pt idx="195">
                  <c:v>24797.26</c:v>
                </c:pt>
                <c:pt idx="196">
                  <c:v>24797.26</c:v>
                </c:pt>
                <c:pt idx="197">
                  <c:v>24797.26</c:v>
                </c:pt>
                <c:pt idx="198">
                  <c:v>24796.52</c:v>
                </c:pt>
                <c:pt idx="199">
                  <c:v>24629.07</c:v>
                </c:pt>
                <c:pt idx="200">
                  <c:v>24629.07</c:v>
                </c:pt>
                <c:pt idx="201">
                  <c:v>24629.07</c:v>
                </c:pt>
                <c:pt idx="202">
                  <c:v>24629.31</c:v>
                </c:pt>
                <c:pt idx="203">
                  <c:v>24595.95</c:v>
                </c:pt>
                <c:pt idx="204">
                  <c:v>24470.35</c:v>
                </c:pt>
                <c:pt idx="205">
                  <c:v>24470.35</c:v>
                </c:pt>
                <c:pt idx="206">
                  <c:v>24469.01</c:v>
                </c:pt>
                <c:pt idx="207">
                  <c:v>24434.92</c:v>
                </c:pt>
                <c:pt idx="208">
                  <c:v>24317.73</c:v>
                </c:pt>
                <c:pt idx="209">
                  <c:v>24317.73</c:v>
                </c:pt>
                <c:pt idx="210">
                  <c:v>24317.73</c:v>
                </c:pt>
                <c:pt idx="211">
                  <c:v>24317.1</c:v>
                </c:pt>
                <c:pt idx="212">
                  <c:v>24286.44</c:v>
                </c:pt>
                <c:pt idx="213">
                  <c:v>24171.56</c:v>
                </c:pt>
                <c:pt idx="214">
                  <c:v>24171.56</c:v>
                </c:pt>
                <c:pt idx="215">
                  <c:v>24172.27</c:v>
                </c:pt>
                <c:pt idx="216">
                  <c:v>24142.2</c:v>
                </c:pt>
                <c:pt idx="217">
                  <c:v>24032.35</c:v>
                </c:pt>
                <c:pt idx="218">
                  <c:v>24032.35</c:v>
                </c:pt>
                <c:pt idx="219">
                  <c:v>24032.35</c:v>
                </c:pt>
                <c:pt idx="220">
                  <c:v>23999.919999999998</c:v>
                </c:pt>
                <c:pt idx="221">
                  <c:v>23884.35</c:v>
                </c:pt>
                <c:pt idx="222">
                  <c:v>23884.35</c:v>
                </c:pt>
                <c:pt idx="223">
                  <c:v>23884.35</c:v>
                </c:pt>
                <c:pt idx="224">
                  <c:v>23882.41</c:v>
                </c:pt>
                <c:pt idx="225">
                  <c:v>23847.200000000001</c:v>
                </c:pt>
                <c:pt idx="226">
                  <c:v>23720.49</c:v>
                </c:pt>
                <c:pt idx="227">
                  <c:v>23720.49</c:v>
                </c:pt>
                <c:pt idx="228">
                  <c:v>23719.83</c:v>
                </c:pt>
                <c:pt idx="229">
                  <c:v>23682.400000000001</c:v>
                </c:pt>
                <c:pt idx="230">
                  <c:v>23546.42</c:v>
                </c:pt>
                <c:pt idx="231">
                  <c:v>23546.42</c:v>
                </c:pt>
                <c:pt idx="232">
                  <c:v>23546.42</c:v>
                </c:pt>
                <c:pt idx="233">
                  <c:v>23546.400000000001</c:v>
                </c:pt>
                <c:pt idx="234">
                  <c:v>23359.97</c:v>
                </c:pt>
                <c:pt idx="235">
                  <c:v>23359.97</c:v>
                </c:pt>
                <c:pt idx="236">
                  <c:v>23359.97</c:v>
                </c:pt>
                <c:pt idx="237">
                  <c:v>23359.32</c:v>
                </c:pt>
                <c:pt idx="238">
                  <c:v>23322.16</c:v>
                </c:pt>
                <c:pt idx="239">
                  <c:v>23181.9</c:v>
                </c:pt>
                <c:pt idx="240">
                  <c:v>23181.9</c:v>
                </c:pt>
                <c:pt idx="241">
                  <c:v>23181.24</c:v>
                </c:pt>
                <c:pt idx="242">
                  <c:v>23140.79</c:v>
                </c:pt>
                <c:pt idx="243">
                  <c:v>22997.98</c:v>
                </c:pt>
                <c:pt idx="244">
                  <c:v>22997.98</c:v>
                </c:pt>
                <c:pt idx="245">
                  <c:v>22997.98</c:v>
                </c:pt>
                <c:pt idx="246">
                  <c:v>22997.3</c:v>
                </c:pt>
                <c:pt idx="247">
                  <c:v>22820.78</c:v>
                </c:pt>
                <c:pt idx="248">
                  <c:v>22820.78</c:v>
                </c:pt>
                <c:pt idx="249">
                  <c:v>22820.78</c:v>
                </c:pt>
                <c:pt idx="250">
                  <c:v>22820.880000000001</c:v>
                </c:pt>
                <c:pt idx="251">
                  <c:v>22786.16</c:v>
                </c:pt>
                <c:pt idx="252">
                  <c:v>22659.63</c:v>
                </c:pt>
                <c:pt idx="253">
                  <c:v>22659.63</c:v>
                </c:pt>
                <c:pt idx="254">
                  <c:v>22659.63</c:v>
                </c:pt>
                <c:pt idx="255">
                  <c:v>22622.79</c:v>
                </c:pt>
                <c:pt idx="256">
                  <c:v>22489.82</c:v>
                </c:pt>
                <c:pt idx="257">
                  <c:v>22489.82</c:v>
                </c:pt>
                <c:pt idx="258">
                  <c:v>22489.82</c:v>
                </c:pt>
                <c:pt idx="259">
                  <c:v>22487.87</c:v>
                </c:pt>
                <c:pt idx="260">
                  <c:v>22454.79</c:v>
                </c:pt>
                <c:pt idx="261">
                  <c:v>22332.62</c:v>
                </c:pt>
                <c:pt idx="262">
                  <c:v>22332.62</c:v>
                </c:pt>
                <c:pt idx="263">
                  <c:v>22332.05</c:v>
                </c:pt>
                <c:pt idx="264">
                  <c:v>22298.38</c:v>
                </c:pt>
                <c:pt idx="265">
                  <c:v>22175.59</c:v>
                </c:pt>
                <c:pt idx="266">
                  <c:v>22175.59</c:v>
                </c:pt>
                <c:pt idx="267">
                  <c:v>22175.59</c:v>
                </c:pt>
                <c:pt idx="268">
                  <c:v>22175.72</c:v>
                </c:pt>
                <c:pt idx="269">
                  <c:v>22033.09</c:v>
                </c:pt>
                <c:pt idx="270">
                  <c:v>22033.09</c:v>
                </c:pt>
                <c:pt idx="271">
                  <c:v>22033.09</c:v>
                </c:pt>
                <c:pt idx="272">
                  <c:v>22032.57</c:v>
                </c:pt>
                <c:pt idx="273">
                  <c:v>21889.99</c:v>
                </c:pt>
                <c:pt idx="274">
                  <c:v>21889.99</c:v>
                </c:pt>
                <c:pt idx="275">
                  <c:v>21889.99</c:v>
                </c:pt>
                <c:pt idx="276">
                  <c:v>21888.73</c:v>
                </c:pt>
                <c:pt idx="277">
                  <c:v>21854.06</c:v>
                </c:pt>
                <c:pt idx="278">
                  <c:v>21729.45</c:v>
                </c:pt>
                <c:pt idx="279">
                  <c:v>21729.45</c:v>
                </c:pt>
                <c:pt idx="280">
                  <c:v>21729.45</c:v>
                </c:pt>
                <c:pt idx="281">
                  <c:v>21692.959999999999</c:v>
                </c:pt>
                <c:pt idx="282">
                  <c:v>21561.61</c:v>
                </c:pt>
                <c:pt idx="283">
                  <c:v>21561.61</c:v>
                </c:pt>
                <c:pt idx="284">
                  <c:v>21561.61</c:v>
                </c:pt>
                <c:pt idx="285">
                  <c:v>21561.68</c:v>
                </c:pt>
                <c:pt idx="286">
                  <c:v>21384.959999999999</c:v>
                </c:pt>
                <c:pt idx="287">
                  <c:v>21384.959999999999</c:v>
                </c:pt>
                <c:pt idx="288">
                  <c:v>21384.959999999999</c:v>
                </c:pt>
                <c:pt idx="289">
                  <c:v>21384.26</c:v>
                </c:pt>
                <c:pt idx="290">
                  <c:v>21347.84</c:v>
                </c:pt>
                <c:pt idx="291">
                  <c:v>21206.720000000001</c:v>
                </c:pt>
                <c:pt idx="292">
                  <c:v>21206.720000000001</c:v>
                </c:pt>
                <c:pt idx="293">
                  <c:v>21206.06</c:v>
                </c:pt>
                <c:pt idx="294">
                  <c:v>21167.64</c:v>
                </c:pt>
                <c:pt idx="295">
                  <c:v>21028.46</c:v>
                </c:pt>
                <c:pt idx="296">
                  <c:v>21028.46</c:v>
                </c:pt>
                <c:pt idx="297">
                  <c:v>21028.46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4-4559-9F12-06670323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持有证券（单位：亿美元）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负债端：存款准备金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资产负债表!$R$3</c:f>
              <c:strCache>
                <c:ptCount val="1"/>
                <c:pt idx="0">
                  <c:v>存款准备金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资产负债表!$I$9:$I$306</c:f>
              <c:numCache>
                <c:formatCode>yyyy\-mm\-dd</c:formatCode>
                <c:ptCount val="298"/>
                <c:pt idx="0">
                  <c:v>43866</c:v>
                </c:pt>
                <c:pt idx="1">
                  <c:v>43873</c:v>
                </c:pt>
                <c:pt idx="2">
                  <c:v>43880</c:v>
                </c:pt>
                <c:pt idx="3">
                  <c:v>43887</c:v>
                </c:pt>
                <c:pt idx="4">
                  <c:v>43894</c:v>
                </c:pt>
                <c:pt idx="5">
                  <c:v>43901</c:v>
                </c:pt>
                <c:pt idx="6">
                  <c:v>43908</c:v>
                </c:pt>
                <c:pt idx="7">
                  <c:v>43915</c:v>
                </c:pt>
                <c:pt idx="8">
                  <c:v>43922</c:v>
                </c:pt>
                <c:pt idx="9">
                  <c:v>43929</c:v>
                </c:pt>
                <c:pt idx="10">
                  <c:v>43936</c:v>
                </c:pt>
                <c:pt idx="11">
                  <c:v>43943</c:v>
                </c:pt>
                <c:pt idx="12">
                  <c:v>43950</c:v>
                </c:pt>
                <c:pt idx="13">
                  <c:v>43957</c:v>
                </c:pt>
                <c:pt idx="14">
                  <c:v>43964</c:v>
                </c:pt>
                <c:pt idx="15">
                  <c:v>43971</c:v>
                </c:pt>
                <c:pt idx="16">
                  <c:v>43978</c:v>
                </c:pt>
                <c:pt idx="17">
                  <c:v>43985</c:v>
                </c:pt>
                <c:pt idx="18">
                  <c:v>43992</c:v>
                </c:pt>
                <c:pt idx="19">
                  <c:v>43999</c:v>
                </c:pt>
                <c:pt idx="20">
                  <c:v>44006</c:v>
                </c:pt>
                <c:pt idx="21">
                  <c:v>44013</c:v>
                </c:pt>
                <c:pt idx="22">
                  <c:v>44020</c:v>
                </c:pt>
                <c:pt idx="23">
                  <c:v>44027</c:v>
                </c:pt>
                <c:pt idx="24">
                  <c:v>44034</c:v>
                </c:pt>
                <c:pt idx="25">
                  <c:v>44041</c:v>
                </c:pt>
                <c:pt idx="26">
                  <c:v>44048</c:v>
                </c:pt>
                <c:pt idx="27">
                  <c:v>44055</c:v>
                </c:pt>
                <c:pt idx="28">
                  <c:v>44062</c:v>
                </c:pt>
                <c:pt idx="29">
                  <c:v>44069</c:v>
                </c:pt>
                <c:pt idx="30">
                  <c:v>44076</c:v>
                </c:pt>
                <c:pt idx="31">
                  <c:v>44083</c:v>
                </c:pt>
                <c:pt idx="32">
                  <c:v>44090</c:v>
                </c:pt>
                <c:pt idx="33">
                  <c:v>44097</c:v>
                </c:pt>
                <c:pt idx="34">
                  <c:v>44104</c:v>
                </c:pt>
                <c:pt idx="35">
                  <c:v>44111</c:v>
                </c:pt>
                <c:pt idx="36">
                  <c:v>44118</c:v>
                </c:pt>
                <c:pt idx="37">
                  <c:v>44125</c:v>
                </c:pt>
                <c:pt idx="38">
                  <c:v>44132</c:v>
                </c:pt>
                <c:pt idx="39">
                  <c:v>44139</c:v>
                </c:pt>
                <c:pt idx="40">
                  <c:v>44146</c:v>
                </c:pt>
                <c:pt idx="41">
                  <c:v>44153</c:v>
                </c:pt>
                <c:pt idx="42">
                  <c:v>44160</c:v>
                </c:pt>
                <c:pt idx="43">
                  <c:v>44167</c:v>
                </c:pt>
                <c:pt idx="44">
                  <c:v>44174</c:v>
                </c:pt>
                <c:pt idx="45">
                  <c:v>44181</c:v>
                </c:pt>
                <c:pt idx="46">
                  <c:v>44188</c:v>
                </c:pt>
                <c:pt idx="47">
                  <c:v>44195</c:v>
                </c:pt>
                <c:pt idx="48">
                  <c:v>44202</c:v>
                </c:pt>
                <c:pt idx="49">
                  <c:v>44209</c:v>
                </c:pt>
                <c:pt idx="50">
                  <c:v>44216</c:v>
                </c:pt>
                <c:pt idx="51">
                  <c:v>44223</c:v>
                </c:pt>
                <c:pt idx="52">
                  <c:v>44230</c:v>
                </c:pt>
                <c:pt idx="53">
                  <c:v>44237</c:v>
                </c:pt>
                <c:pt idx="54">
                  <c:v>44244</c:v>
                </c:pt>
                <c:pt idx="55">
                  <c:v>44251</c:v>
                </c:pt>
                <c:pt idx="56">
                  <c:v>44258</c:v>
                </c:pt>
                <c:pt idx="57">
                  <c:v>44265</c:v>
                </c:pt>
                <c:pt idx="58">
                  <c:v>44272</c:v>
                </c:pt>
                <c:pt idx="59">
                  <c:v>44279</c:v>
                </c:pt>
                <c:pt idx="60">
                  <c:v>44286</c:v>
                </c:pt>
                <c:pt idx="61">
                  <c:v>44293</c:v>
                </c:pt>
                <c:pt idx="62">
                  <c:v>44300</c:v>
                </c:pt>
                <c:pt idx="63">
                  <c:v>44307</c:v>
                </c:pt>
                <c:pt idx="64">
                  <c:v>44314</c:v>
                </c:pt>
                <c:pt idx="65">
                  <c:v>44321</c:v>
                </c:pt>
                <c:pt idx="66">
                  <c:v>44328</c:v>
                </c:pt>
                <c:pt idx="67">
                  <c:v>44335</c:v>
                </c:pt>
                <c:pt idx="68">
                  <c:v>44342</c:v>
                </c:pt>
                <c:pt idx="69">
                  <c:v>44349</c:v>
                </c:pt>
                <c:pt idx="70">
                  <c:v>44356</c:v>
                </c:pt>
                <c:pt idx="71">
                  <c:v>44363</c:v>
                </c:pt>
                <c:pt idx="72">
                  <c:v>44370</c:v>
                </c:pt>
                <c:pt idx="73">
                  <c:v>44377</c:v>
                </c:pt>
                <c:pt idx="74">
                  <c:v>44384</c:v>
                </c:pt>
                <c:pt idx="75">
                  <c:v>44391</c:v>
                </c:pt>
                <c:pt idx="76">
                  <c:v>44398</c:v>
                </c:pt>
                <c:pt idx="77">
                  <c:v>44405</c:v>
                </c:pt>
                <c:pt idx="78">
                  <c:v>44412</c:v>
                </c:pt>
                <c:pt idx="79">
                  <c:v>44419</c:v>
                </c:pt>
                <c:pt idx="80">
                  <c:v>44426</c:v>
                </c:pt>
                <c:pt idx="81">
                  <c:v>44433</c:v>
                </c:pt>
                <c:pt idx="82">
                  <c:v>44440</c:v>
                </c:pt>
                <c:pt idx="83">
                  <c:v>44447</c:v>
                </c:pt>
                <c:pt idx="84">
                  <c:v>44454</c:v>
                </c:pt>
                <c:pt idx="85">
                  <c:v>44461</c:v>
                </c:pt>
                <c:pt idx="86">
                  <c:v>44468</c:v>
                </c:pt>
                <c:pt idx="87">
                  <c:v>44475</c:v>
                </c:pt>
                <c:pt idx="88">
                  <c:v>44482</c:v>
                </c:pt>
                <c:pt idx="89">
                  <c:v>44489</c:v>
                </c:pt>
                <c:pt idx="90">
                  <c:v>44496</c:v>
                </c:pt>
                <c:pt idx="91">
                  <c:v>44503</c:v>
                </c:pt>
                <c:pt idx="92">
                  <c:v>44510</c:v>
                </c:pt>
                <c:pt idx="93">
                  <c:v>44517</c:v>
                </c:pt>
                <c:pt idx="94">
                  <c:v>44524</c:v>
                </c:pt>
                <c:pt idx="95">
                  <c:v>44531</c:v>
                </c:pt>
                <c:pt idx="96">
                  <c:v>44538</c:v>
                </c:pt>
                <c:pt idx="97">
                  <c:v>44545</c:v>
                </c:pt>
                <c:pt idx="98">
                  <c:v>44552</c:v>
                </c:pt>
                <c:pt idx="99">
                  <c:v>44559</c:v>
                </c:pt>
                <c:pt idx="100">
                  <c:v>44566</c:v>
                </c:pt>
                <c:pt idx="101">
                  <c:v>44573</c:v>
                </c:pt>
                <c:pt idx="102">
                  <c:v>44580</c:v>
                </c:pt>
                <c:pt idx="103">
                  <c:v>44587</c:v>
                </c:pt>
                <c:pt idx="104">
                  <c:v>44594</c:v>
                </c:pt>
                <c:pt idx="105">
                  <c:v>44601</c:v>
                </c:pt>
                <c:pt idx="106">
                  <c:v>44608</c:v>
                </c:pt>
                <c:pt idx="107">
                  <c:v>44615</c:v>
                </c:pt>
                <c:pt idx="108">
                  <c:v>44622</c:v>
                </c:pt>
                <c:pt idx="109">
                  <c:v>44629</c:v>
                </c:pt>
                <c:pt idx="110">
                  <c:v>44636</c:v>
                </c:pt>
                <c:pt idx="111">
                  <c:v>44643</c:v>
                </c:pt>
                <c:pt idx="112">
                  <c:v>44650</c:v>
                </c:pt>
                <c:pt idx="113">
                  <c:v>44657</c:v>
                </c:pt>
                <c:pt idx="114">
                  <c:v>44664</c:v>
                </c:pt>
                <c:pt idx="115">
                  <c:v>44671</c:v>
                </c:pt>
                <c:pt idx="116">
                  <c:v>44678</c:v>
                </c:pt>
                <c:pt idx="117">
                  <c:v>44685</c:v>
                </c:pt>
                <c:pt idx="118">
                  <c:v>44692</c:v>
                </c:pt>
                <c:pt idx="119">
                  <c:v>44699</c:v>
                </c:pt>
                <c:pt idx="120">
                  <c:v>44706</c:v>
                </c:pt>
                <c:pt idx="121">
                  <c:v>44713</c:v>
                </c:pt>
                <c:pt idx="122">
                  <c:v>44720</c:v>
                </c:pt>
                <c:pt idx="123">
                  <c:v>44727</c:v>
                </c:pt>
                <c:pt idx="124">
                  <c:v>44734</c:v>
                </c:pt>
                <c:pt idx="125">
                  <c:v>44741</c:v>
                </c:pt>
                <c:pt idx="126">
                  <c:v>44748</c:v>
                </c:pt>
                <c:pt idx="127">
                  <c:v>44755</c:v>
                </c:pt>
                <c:pt idx="128">
                  <c:v>44762</c:v>
                </c:pt>
                <c:pt idx="129">
                  <c:v>44769</c:v>
                </c:pt>
                <c:pt idx="130">
                  <c:v>44776</c:v>
                </c:pt>
                <c:pt idx="131">
                  <c:v>44783</c:v>
                </c:pt>
                <c:pt idx="132">
                  <c:v>44790</c:v>
                </c:pt>
                <c:pt idx="133">
                  <c:v>44797</c:v>
                </c:pt>
                <c:pt idx="134">
                  <c:v>44804</c:v>
                </c:pt>
                <c:pt idx="135">
                  <c:v>44811</c:v>
                </c:pt>
                <c:pt idx="136">
                  <c:v>44818</c:v>
                </c:pt>
                <c:pt idx="137">
                  <c:v>44825</c:v>
                </c:pt>
                <c:pt idx="138">
                  <c:v>44832</c:v>
                </c:pt>
                <c:pt idx="139">
                  <c:v>44839</c:v>
                </c:pt>
                <c:pt idx="140">
                  <c:v>44846</c:v>
                </c:pt>
                <c:pt idx="141">
                  <c:v>44853</c:v>
                </c:pt>
                <c:pt idx="142">
                  <c:v>44860</c:v>
                </c:pt>
                <c:pt idx="143">
                  <c:v>44867</c:v>
                </c:pt>
                <c:pt idx="144">
                  <c:v>44874</c:v>
                </c:pt>
                <c:pt idx="145">
                  <c:v>44881</c:v>
                </c:pt>
                <c:pt idx="146">
                  <c:v>44888</c:v>
                </c:pt>
                <c:pt idx="147">
                  <c:v>44895</c:v>
                </c:pt>
                <c:pt idx="148">
                  <c:v>44902</c:v>
                </c:pt>
                <c:pt idx="149">
                  <c:v>44909</c:v>
                </c:pt>
                <c:pt idx="150">
                  <c:v>44916</c:v>
                </c:pt>
                <c:pt idx="151">
                  <c:v>44923</c:v>
                </c:pt>
                <c:pt idx="152">
                  <c:v>44930</c:v>
                </c:pt>
                <c:pt idx="153">
                  <c:v>44937</c:v>
                </c:pt>
                <c:pt idx="154">
                  <c:v>44944</c:v>
                </c:pt>
                <c:pt idx="155">
                  <c:v>44951</c:v>
                </c:pt>
                <c:pt idx="156">
                  <c:v>44958</c:v>
                </c:pt>
                <c:pt idx="157">
                  <c:v>44965</c:v>
                </c:pt>
                <c:pt idx="158">
                  <c:v>44972</c:v>
                </c:pt>
                <c:pt idx="159">
                  <c:v>44979</c:v>
                </c:pt>
                <c:pt idx="160">
                  <c:v>44986</c:v>
                </c:pt>
                <c:pt idx="161">
                  <c:v>44993</c:v>
                </c:pt>
                <c:pt idx="162">
                  <c:v>45000</c:v>
                </c:pt>
                <c:pt idx="163">
                  <c:v>45007</c:v>
                </c:pt>
                <c:pt idx="164">
                  <c:v>45014</c:v>
                </c:pt>
                <c:pt idx="165">
                  <c:v>45021</c:v>
                </c:pt>
                <c:pt idx="166">
                  <c:v>45028</c:v>
                </c:pt>
                <c:pt idx="167">
                  <c:v>45035</c:v>
                </c:pt>
                <c:pt idx="168">
                  <c:v>45042</c:v>
                </c:pt>
                <c:pt idx="169">
                  <c:v>45049</c:v>
                </c:pt>
                <c:pt idx="170">
                  <c:v>45056</c:v>
                </c:pt>
                <c:pt idx="171">
                  <c:v>45063</c:v>
                </c:pt>
                <c:pt idx="172">
                  <c:v>45070</c:v>
                </c:pt>
                <c:pt idx="173">
                  <c:v>45077</c:v>
                </c:pt>
                <c:pt idx="174">
                  <c:v>45084</c:v>
                </c:pt>
                <c:pt idx="175">
                  <c:v>45091</c:v>
                </c:pt>
                <c:pt idx="176">
                  <c:v>45098</c:v>
                </c:pt>
                <c:pt idx="177">
                  <c:v>45105</c:v>
                </c:pt>
                <c:pt idx="178">
                  <c:v>45112</c:v>
                </c:pt>
                <c:pt idx="179">
                  <c:v>45119</c:v>
                </c:pt>
                <c:pt idx="180">
                  <c:v>45126</c:v>
                </c:pt>
                <c:pt idx="181">
                  <c:v>45133</c:v>
                </c:pt>
                <c:pt idx="182">
                  <c:v>45140</c:v>
                </c:pt>
                <c:pt idx="183">
                  <c:v>45147</c:v>
                </c:pt>
                <c:pt idx="184">
                  <c:v>45154</c:v>
                </c:pt>
                <c:pt idx="185">
                  <c:v>45161</c:v>
                </c:pt>
                <c:pt idx="186">
                  <c:v>45168</c:v>
                </c:pt>
                <c:pt idx="187">
                  <c:v>45175</c:v>
                </c:pt>
                <c:pt idx="188">
                  <c:v>45182</c:v>
                </c:pt>
                <c:pt idx="189">
                  <c:v>45189</c:v>
                </c:pt>
                <c:pt idx="190">
                  <c:v>45196</c:v>
                </c:pt>
                <c:pt idx="191">
                  <c:v>45203</c:v>
                </c:pt>
                <c:pt idx="192">
                  <c:v>45210</c:v>
                </c:pt>
                <c:pt idx="193">
                  <c:v>45217</c:v>
                </c:pt>
                <c:pt idx="194">
                  <c:v>45224</c:v>
                </c:pt>
                <c:pt idx="195">
                  <c:v>45231</c:v>
                </c:pt>
                <c:pt idx="196">
                  <c:v>45238</c:v>
                </c:pt>
                <c:pt idx="197">
                  <c:v>45245</c:v>
                </c:pt>
                <c:pt idx="198">
                  <c:v>45252</c:v>
                </c:pt>
                <c:pt idx="199">
                  <c:v>45259</c:v>
                </c:pt>
                <c:pt idx="200">
                  <c:v>45266</c:v>
                </c:pt>
                <c:pt idx="201">
                  <c:v>45273</c:v>
                </c:pt>
                <c:pt idx="202">
                  <c:v>45280</c:v>
                </c:pt>
                <c:pt idx="203">
                  <c:v>45287</c:v>
                </c:pt>
                <c:pt idx="204">
                  <c:v>45294</c:v>
                </c:pt>
                <c:pt idx="205">
                  <c:v>45301</c:v>
                </c:pt>
                <c:pt idx="206">
                  <c:v>45308</c:v>
                </c:pt>
                <c:pt idx="207">
                  <c:v>45315</c:v>
                </c:pt>
                <c:pt idx="208">
                  <c:v>45322</c:v>
                </c:pt>
                <c:pt idx="209">
                  <c:v>45329</c:v>
                </c:pt>
                <c:pt idx="210">
                  <c:v>45336</c:v>
                </c:pt>
                <c:pt idx="211">
                  <c:v>45343</c:v>
                </c:pt>
                <c:pt idx="212">
                  <c:v>45350</c:v>
                </c:pt>
                <c:pt idx="213">
                  <c:v>45357</c:v>
                </c:pt>
                <c:pt idx="214">
                  <c:v>45364</c:v>
                </c:pt>
                <c:pt idx="215">
                  <c:v>45371</c:v>
                </c:pt>
                <c:pt idx="216">
                  <c:v>45378</c:v>
                </c:pt>
                <c:pt idx="217">
                  <c:v>45385</c:v>
                </c:pt>
                <c:pt idx="218">
                  <c:v>45392</c:v>
                </c:pt>
                <c:pt idx="219">
                  <c:v>45399</c:v>
                </c:pt>
                <c:pt idx="220">
                  <c:v>45406</c:v>
                </c:pt>
                <c:pt idx="221">
                  <c:v>45413</c:v>
                </c:pt>
                <c:pt idx="222">
                  <c:v>45420</c:v>
                </c:pt>
                <c:pt idx="223">
                  <c:v>45427</c:v>
                </c:pt>
                <c:pt idx="224">
                  <c:v>45434</c:v>
                </c:pt>
                <c:pt idx="225">
                  <c:v>45441</c:v>
                </c:pt>
                <c:pt idx="226">
                  <c:v>45448</c:v>
                </c:pt>
                <c:pt idx="227">
                  <c:v>45455</c:v>
                </c:pt>
                <c:pt idx="228">
                  <c:v>45462</c:v>
                </c:pt>
                <c:pt idx="229">
                  <c:v>45469</c:v>
                </c:pt>
                <c:pt idx="230">
                  <c:v>45476</c:v>
                </c:pt>
                <c:pt idx="231">
                  <c:v>45483</c:v>
                </c:pt>
                <c:pt idx="232">
                  <c:v>45490</c:v>
                </c:pt>
                <c:pt idx="233">
                  <c:v>45497</c:v>
                </c:pt>
                <c:pt idx="234">
                  <c:v>45504</c:v>
                </c:pt>
                <c:pt idx="235">
                  <c:v>45511</c:v>
                </c:pt>
                <c:pt idx="236">
                  <c:v>45518</c:v>
                </c:pt>
                <c:pt idx="237">
                  <c:v>45525</c:v>
                </c:pt>
                <c:pt idx="238">
                  <c:v>45532</c:v>
                </c:pt>
                <c:pt idx="239">
                  <c:v>45539</c:v>
                </c:pt>
                <c:pt idx="240">
                  <c:v>45546</c:v>
                </c:pt>
                <c:pt idx="241">
                  <c:v>45553</c:v>
                </c:pt>
                <c:pt idx="242">
                  <c:v>45560</c:v>
                </c:pt>
                <c:pt idx="243">
                  <c:v>45567</c:v>
                </c:pt>
                <c:pt idx="244">
                  <c:v>45574</c:v>
                </c:pt>
                <c:pt idx="245">
                  <c:v>45581</c:v>
                </c:pt>
                <c:pt idx="246">
                  <c:v>45588</c:v>
                </c:pt>
                <c:pt idx="247">
                  <c:v>45595</c:v>
                </c:pt>
                <c:pt idx="248">
                  <c:v>45602</c:v>
                </c:pt>
                <c:pt idx="249">
                  <c:v>45609</c:v>
                </c:pt>
                <c:pt idx="250">
                  <c:v>45616</c:v>
                </c:pt>
                <c:pt idx="251">
                  <c:v>45623</c:v>
                </c:pt>
                <c:pt idx="252">
                  <c:v>45630</c:v>
                </c:pt>
                <c:pt idx="253">
                  <c:v>45637</c:v>
                </c:pt>
                <c:pt idx="254">
                  <c:v>45644</c:v>
                </c:pt>
                <c:pt idx="255">
                  <c:v>45651</c:v>
                </c:pt>
                <c:pt idx="256">
                  <c:v>45658</c:v>
                </c:pt>
                <c:pt idx="257">
                  <c:v>45665</c:v>
                </c:pt>
                <c:pt idx="258">
                  <c:v>45672</c:v>
                </c:pt>
                <c:pt idx="259">
                  <c:v>45679</c:v>
                </c:pt>
                <c:pt idx="260">
                  <c:v>45686</c:v>
                </c:pt>
                <c:pt idx="261">
                  <c:v>45693</c:v>
                </c:pt>
                <c:pt idx="262">
                  <c:v>45700</c:v>
                </c:pt>
                <c:pt idx="263">
                  <c:v>45707</c:v>
                </c:pt>
                <c:pt idx="264">
                  <c:v>45714</c:v>
                </c:pt>
                <c:pt idx="265">
                  <c:v>45721</c:v>
                </c:pt>
                <c:pt idx="266">
                  <c:v>45728</c:v>
                </c:pt>
                <c:pt idx="267">
                  <c:v>45735</c:v>
                </c:pt>
                <c:pt idx="268">
                  <c:v>45742</c:v>
                </c:pt>
                <c:pt idx="269">
                  <c:v>45749</c:v>
                </c:pt>
                <c:pt idx="270">
                  <c:v>45756</c:v>
                </c:pt>
                <c:pt idx="271">
                  <c:v>45763</c:v>
                </c:pt>
                <c:pt idx="272">
                  <c:v>45770</c:v>
                </c:pt>
                <c:pt idx="273">
                  <c:v>45777</c:v>
                </c:pt>
                <c:pt idx="274">
                  <c:v>45784</c:v>
                </c:pt>
                <c:pt idx="275">
                  <c:v>45791</c:v>
                </c:pt>
                <c:pt idx="276">
                  <c:v>45798</c:v>
                </c:pt>
                <c:pt idx="277">
                  <c:v>45805</c:v>
                </c:pt>
                <c:pt idx="278">
                  <c:v>45812</c:v>
                </c:pt>
                <c:pt idx="279">
                  <c:v>45819</c:v>
                </c:pt>
                <c:pt idx="280">
                  <c:v>45826</c:v>
                </c:pt>
                <c:pt idx="281">
                  <c:v>45833</c:v>
                </c:pt>
                <c:pt idx="282">
                  <c:v>45840</c:v>
                </c:pt>
                <c:pt idx="283">
                  <c:v>45847</c:v>
                </c:pt>
                <c:pt idx="284">
                  <c:v>45854</c:v>
                </c:pt>
                <c:pt idx="285">
                  <c:v>45861</c:v>
                </c:pt>
                <c:pt idx="286">
                  <c:v>45868</c:v>
                </c:pt>
                <c:pt idx="287">
                  <c:v>45875</c:v>
                </c:pt>
                <c:pt idx="288">
                  <c:v>45882</c:v>
                </c:pt>
                <c:pt idx="289">
                  <c:v>45889</c:v>
                </c:pt>
                <c:pt idx="290">
                  <c:v>45896</c:v>
                </c:pt>
                <c:pt idx="291">
                  <c:v>45903</c:v>
                </c:pt>
                <c:pt idx="292">
                  <c:v>45910</c:v>
                </c:pt>
                <c:pt idx="293">
                  <c:v>45917</c:v>
                </c:pt>
                <c:pt idx="294">
                  <c:v>45924</c:v>
                </c:pt>
                <c:pt idx="295">
                  <c:v>45931</c:v>
                </c:pt>
                <c:pt idx="296">
                  <c:v>45938</c:v>
                </c:pt>
                <c:pt idx="297">
                  <c:v>45945</c:v>
                </c:pt>
              </c:numCache>
            </c:numRef>
          </c:cat>
          <c:val>
            <c:numRef>
              <c:f>资产负债表!$R$9:$R$306</c:f>
              <c:numCache>
                <c:formatCode>General</c:formatCode>
                <c:ptCount val="298"/>
                <c:pt idx="0">
                  <c:v>16528.73</c:v>
                </c:pt>
                <c:pt idx="1">
                  <c:v>16950.82</c:v>
                </c:pt>
                <c:pt idx="2">
                  <c:v>16590.21</c:v>
                </c:pt>
                <c:pt idx="3">
                  <c:v>16800.7</c:v>
                </c:pt>
                <c:pt idx="4">
                  <c:v>17350.060000000001</c:v>
                </c:pt>
                <c:pt idx="5">
                  <c:v>17799.900000000001</c:v>
                </c:pt>
                <c:pt idx="6">
                  <c:v>19453.939999999999</c:v>
                </c:pt>
                <c:pt idx="7">
                  <c:v>23477.47</c:v>
                </c:pt>
                <c:pt idx="8">
                  <c:v>26843.98</c:v>
                </c:pt>
                <c:pt idx="9">
                  <c:v>27745.06</c:v>
                </c:pt>
                <c:pt idx="10">
                  <c:v>30698.74</c:v>
                </c:pt>
                <c:pt idx="11">
                  <c:v>30999.8</c:v>
                </c:pt>
                <c:pt idx="12">
                  <c:v>31635.13</c:v>
                </c:pt>
                <c:pt idx="13">
                  <c:v>31656.06</c:v>
                </c:pt>
                <c:pt idx="14">
                  <c:v>32634.31</c:v>
                </c:pt>
                <c:pt idx="15">
                  <c:v>33042.21</c:v>
                </c:pt>
                <c:pt idx="16">
                  <c:v>33176.879999999997</c:v>
                </c:pt>
                <c:pt idx="17">
                  <c:v>32574.35</c:v>
                </c:pt>
                <c:pt idx="18">
                  <c:v>31906.54</c:v>
                </c:pt>
                <c:pt idx="19">
                  <c:v>30694.39</c:v>
                </c:pt>
                <c:pt idx="20">
                  <c:v>29376.57</c:v>
                </c:pt>
                <c:pt idx="21">
                  <c:v>28631.96</c:v>
                </c:pt>
                <c:pt idx="22">
                  <c:v>28132.959999999999</c:v>
                </c:pt>
                <c:pt idx="23">
                  <c:v>27326.49</c:v>
                </c:pt>
                <c:pt idx="24">
                  <c:v>26596.58</c:v>
                </c:pt>
                <c:pt idx="25">
                  <c:v>26853.759999999998</c:v>
                </c:pt>
                <c:pt idx="26">
                  <c:v>27535.31</c:v>
                </c:pt>
                <c:pt idx="27">
                  <c:v>28281.7</c:v>
                </c:pt>
                <c:pt idx="28">
                  <c:v>28218.53</c:v>
                </c:pt>
                <c:pt idx="29">
                  <c:v>28754</c:v>
                </c:pt>
                <c:pt idx="30">
                  <c:v>28506</c:v>
                </c:pt>
                <c:pt idx="31">
                  <c:v>29068.54</c:v>
                </c:pt>
                <c:pt idx="32">
                  <c:v>28693.11</c:v>
                </c:pt>
                <c:pt idx="33">
                  <c:v>28480.85</c:v>
                </c:pt>
                <c:pt idx="34">
                  <c:v>27432.46</c:v>
                </c:pt>
                <c:pt idx="35">
                  <c:v>28633.57</c:v>
                </c:pt>
                <c:pt idx="36">
                  <c:v>29077.34</c:v>
                </c:pt>
                <c:pt idx="37">
                  <c:v>28901.3</c:v>
                </c:pt>
                <c:pt idx="38">
                  <c:v>29472.560000000001</c:v>
                </c:pt>
                <c:pt idx="39">
                  <c:v>29795.37</c:v>
                </c:pt>
                <c:pt idx="40">
                  <c:v>29920.99</c:v>
                </c:pt>
                <c:pt idx="41">
                  <c:v>30332.29</c:v>
                </c:pt>
                <c:pt idx="42">
                  <c:v>31438.63</c:v>
                </c:pt>
                <c:pt idx="43">
                  <c:v>31012.35</c:v>
                </c:pt>
                <c:pt idx="44">
                  <c:v>31476.560000000001</c:v>
                </c:pt>
                <c:pt idx="45">
                  <c:v>31688.26</c:v>
                </c:pt>
                <c:pt idx="46">
                  <c:v>31773.1</c:v>
                </c:pt>
                <c:pt idx="47">
                  <c:v>31429.77</c:v>
                </c:pt>
                <c:pt idx="48">
                  <c:v>31637.79</c:v>
                </c:pt>
                <c:pt idx="49">
                  <c:v>32008.69</c:v>
                </c:pt>
                <c:pt idx="50">
                  <c:v>31498.07</c:v>
                </c:pt>
                <c:pt idx="51">
                  <c:v>32287.51</c:v>
                </c:pt>
                <c:pt idx="52">
                  <c:v>32027.22</c:v>
                </c:pt>
                <c:pt idx="53">
                  <c:v>32986.39</c:v>
                </c:pt>
                <c:pt idx="54">
                  <c:v>34078.71</c:v>
                </c:pt>
                <c:pt idx="55">
                  <c:v>33842.620000000003</c:v>
                </c:pt>
                <c:pt idx="56">
                  <c:v>35648.5</c:v>
                </c:pt>
                <c:pt idx="57">
                  <c:v>36467.32</c:v>
                </c:pt>
                <c:pt idx="58">
                  <c:v>38733.230000000003</c:v>
                </c:pt>
                <c:pt idx="59">
                  <c:v>38091.39</c:v>
                </c:pt>
                <c:pt idx="60">
                  <c:v>36727.019999999997</c:v>
                </c:pt>
                <c:pt idx="61">
                  <c:v>39440.550000000003</c:v>
                </c:pt>
                <c:pt idx="62">
                  <c:v>39364.54</c:v>
                </c:pt>
                <c:pt idx="63">
                  <c:v>37674.54</c:v>
                </c:pt>
                <c:pt idx="64">
                  <c:v>38890.18</c:v>
                </c:pt>
                <c:pt idx="65">
                  <c:v>39008.03</c:v>
                </c:pt>
                <c:pt idx="66">
                  <c:v>39558.639999999999</c:v>
                </c:pt>
                <c:pt idx="67">
                  <c:v>38239.81</c:v>
                </c:pt>
                <c:pt idx="68">
                  <c:v>38516.230000000003</c:v>
                </c:pt>
                <c:pt idx="69">
                  <c:v>38482.620000000003</c:v>
                </c:pt>
                <c:pt idx="70">
                  <c:v>39167.25</c:v>
                </c:pt>
                <c:pt idx="71">
                  <c:v>39057.360000000001</c:v>
                </c:pt>
                <c:pt idx="72">
                  <c:v>37657.14</c:v>
                </c:pt>
                <c:pt idx="73">
                  <c:v>35116.300000000003</c:v>
                </c:pt>
                <c:pt idx="74">
                  <c:v>38562.03</c:v>
                </c:pt>
                <c:pt idx="75">
                  <c:v>39447</c:v>
                </c:pt>
                <c:pt idx="76">
                  <c:v>39745.47</c:v>
                </c:pt>
                <c:pt idx="77">
                  <c:v>40010.61</c:v>
                </c:pt>
                <c:pt idx="78">
                  <c:v>40458.93</c:v>
                </c:pt>
                <c:pt idx="79">
                  <c:v>41272.9</c:v>
                </c:pt>
                <c:pt idx="80">
                  <c:v>41621.65</c:v>
                </c:pt>
                <c:pt idx="81">
                  <c:v>42034.78</c:v>
                </c:pt>
                <c:pt idx="82">
                  <c:v>42064.49</c:v>
                </c:pt>
                <c:pt idx="83">
                  <c:v>42596.03</c:v>
                </c:pt>
                <c:pt idx="84">
                  <c:v>42446.77</c:v>
                </c:pt>
                <c:pt idx="85">
                  <c:v>41379.19</c:v>
                </c:pt>
                <c:pt idx="86">
                  <c:v>40948.1</c:v>
                </c:pt>
                <c:pt idx="87">
                  <c:v>41675.440000000002</c:v>
                </c:pt>
                <c:pt idx="88">
                  <c:v>42045.1</c:v>
                </c:pt>
                <c:pt idx="89">
                  <c:v>40503.43</c:v>
                </c:pt>
                <c:pt idx="90">
                  <c:v>41231.54</c:v>
                </c:pt>
                <c:pt idx="91">
                  <c:v>41498.300000000003</c:v>
                </c:pt>
                <c:pt idx="92">
                  <c:v>41785.86</c:v>
                </c:pt>
                <c:pt idx="93">
                  <c:v>41888.370000000003</c:v>
                </c:pt>
                <c:pt idx="94">
                  <c:v>41728.07</c:v>
                </c:pt>
                <c:pt idx="95">
                  <c:v>42660.22</c:v>
                </c:pt>
                <c:pt idx="96">
                  <c:v>42556</c:v>
                </c:pt>
                <c:pt idx="97">
                  <c:v>42736.34</c:v>
                </c:pt>
                <c:pt idx="98">
                  <c:v>41049.26</c:v>
                </c:pt>
                <c:pt idx="99">
                  <c:v>40398.6</c:v>
                </c:pt>
                <c:pt idx="100">
                  <c:v>40284.6</c:v>
                </c:pt>
                <c:pt idx="101">
                  <c:v>39289.33</c:v>
                </c:pt>
                <c:pt idx="102">
                  <c:v>38217.43</c:v>
                </c:pt>
                <c:pt idx="103">
                  <c:v>38250.76</c:v>
                </c:pt>
                <c:pt idx="104">
                  <c:v>37566.17</c:v>
                </c:pt>
                <c:pt idx="105">
                  <c:v>37949.769999999997</c:v>
                </c:pt>
                <c:pt idx="106">
                  <c:v>37967.199999999997</c:v>
                </c:pt>
                <c:pt idx="107">
                  <c:v>37459.760000000002</c:v>
                </c:pt>
                <c:pt idx="108">
                  <c:v>39194.839999999997</c:v>
                </c:pt>
                <c:pt idx="109">
                  <c:v>39536.51</c:v>
                </c:pt>
                <c:pt idx="110">
                  <c:v>38934.120000000003</c:v>
                </c:pt>
                <c:pt idx="111">
                  <c:v>37690.46</c:v>
                </c:pt>
                <c:pt idx="112">
                  <c:v>37734.660000000003</c:v>
                </c:pt>
                <c:pt idx="113">
                  <c:v>38498.720000000001</c:v>
                </c:pt>
                <c:pt idx="114">
                  <c:v>37933.19</c:v>
                </c:pt>
                <c:pt idx="115">
                  <c:v>33268.57</c:v>
                </c:pt>
                <c:pt idx="116">
                  <c:v>33275.51</c:v>
                </c:pt>
                <c:pt idx="117">
                  <c:v>33139.949999999997</c:v>
                </c:pt>
                <c:pt idx="118">
                  <c:v>32956.81</c:v>
                </c:pt>
                <c:pt idx="119">
                  <c:v>32971.42</c:v>
                </c:pt>
                <c:pt idx="120">
                  <c:v>33150.18</c:v>
                </c:pt>
                <c:pt idx="121">
                  <c:v>33573.949999999997</c:v>
                </c:pt>
                <c:pt idx="122">
                  <c:v>32926.019999999997</c:v>
                </c:pt>
                <c:pt idx="123">
                  <c:v>31896.05</c:v>
                </c:pt>
                <c:pt idx="124">
                  <c:v>31155.94</c:v>
                </c:pt>
                <c:pt idx="125">
                  <c:v>31186.14</c:v>
                </c:pt>
                <c:pt idx="126">
                  <c:v>32229.31</c:v>
                </c:pt>
                <c:pt idx="127">
                  <c:v>33065.21</c:v>
                </c:pt>
                <c:pt idx="128">
                  <c:v>32351.72</c:v>
                </c:pt>
                <c:pt idx="129">
                  <c:v>32756.09</c:v>
                </c:pt>
                <c:pt idx="130">
                  <c:v>33425.19</c:v>
                </c:pt>
                <c:pt idx="131">
                  <c:v>33574.94</c:v>
                </c:pt>
                <c:pt idx="132">
                  <c:v>33337</c:v>
                </c:pt>
                <c:pt idx="133">
                  <c:v>32709.13</c:v>
                </c:pt>
                <c:pt idx="134">
                  <c:v>31158.49</c:v>
                </c:pt>
                <c:pt idx="135">
                  <c:v>32713.360000000001</c:v>
                </c:pt>
                <c:pt idx="136">
                  <c:v>31586.97</c:v>
                </c:pt>
                <c:pt idx="137">
                  <c:v>30037.41</c:v>
                </c:pt>
                <c:pt idx="138">
                  <c:v>29832.080000000002</c:v>
                </c:pt>
                <c:pt idx="139">
                  <c:v>30764.5</c:v>
                </c:pt>
                <c:pt idx="140">
                  <c:v>30903.08</c:v>
                </c:pt>
                <c:pt idx="141">
                  <c:v>30407.78</c:v>
                </c:pt>
                <c:pt idx="142">
                  <c:v>31081.47</c:v>
                </c:pt>
                <c:pt idx="143">
                  <c:v>30469.8</c:v>
                </c:pt>
                <c:pt idx="144">
                  <c:v>30712.3</c:v>
                </c:pt>
                <c:pt idx="145">
                  <c:v>31767.99</c:v>
                </c:pt>
                <c:pt idx="146">
                  <c:v>31688.49</c:v>
                </c:pt>
                <c:pt idx="147">
                  <c:v>30522.35</c:v>
                </c:pt>
                <c:pt idx="148">
                  <c:v>31490.93</c:v>
                </c:pt>
                <c:pt idx="149">
                  <c:v>31708.07</c:v>
                </c:pt>
                <c:pt idx="150">
                  <c:v>30493.32</c:v>
                </c:pt>
                <c:pt idx="151">
                  <c:v>29797.42</c:v>
                </c:pt>
                <c:pt idx="152">
                  <c:v>30419.29</c:v>
                </c:pt>
                <c:pt idx="153">
                  <c:v>31168.31</c:v>
                </c:pt>
                <c:pt idx="154">
                  <c:v>31182.37</c:v>
                </c:pt>
                <c:pt idx="155">
                  <c:v>30005.42</c:v>
                </c:pt>
                <c:pt idx="156">
                  <c:v>30302.86</c:v>
                </c:pt>
                <c:pt idx="157">
                  <c:v>30335.599999999999</c:v>
                </c:pt>
                <c:pt idx="158">
                  <c:v>31074.19</c:v>
                </c:pt>
                <c:pt idx="159">
                  <c:v>29835.58</c:v>
                </c:pt>
                <c:pt idx="160">
                  <c:v>30279.67</c:v>
                </c:pt>
                <c:pt idx="161">
                  <c:v>30036.76</c:v>
                </c:pt>
                <c:pt idx="162">
                  <c:v>34442.1</c:v>
                </c:pt>
                <c:pt idx="163">
                  <c:v>33699.86</c:v>
                </c:pt>
                <c:pt idx="164">
                  <c:v>34018</c:v>
                </c:pt>
                <c:pt idx="165">
                  <c:v>33813.51</c:v>
                </c:pt>
                <c:pt idx="166">
                  <c:v>33475.53</c:v>
                </c:pt>
                <c:pt idx="167">
                  <c:v>31648.91</c:v>
                </c:pt>
                <c:pt idx="168">
                  <c:v>31321</c:v>
                </c:pt>
                <c:pt idx="169">
                  <c:v>31662.36</c:v>
                </c:pt>
                <c:pt idx="170">
                  <c:v>32253.11</c:v>
                </c:pt>
                <c:pt idx="171">
                  <c:v>32799.870000000003</c:v>
                </c:pt>
                <c:pt idx="172">
                  <c:v>32507.71</c:v>
                </c:pt>
                <c:pt idx="173">
                  <c:v>32055.26</c:v>
                </c:pt>
                <c:pt idx="174">
                  <c:v>33061.54</c:v>
                </c:pt>
                <c:pt idx="175">
                  <c:v>33063.11</c:v>
                </c:pt>
                <c:pt idx="176">
                  <c:v>32039.63</c:v>
                </c:pt>
                <c:pt idx="177">
                  <c:v>31760.38</c:v>
                </c:pt>
                <c:pt idx="178">
                  <c:v>31796.46</c:v>
                </c:pt>
                <c:pt idx="179">
                  <c:v>31621.26</c:v>
                </c:pt>
                <c:pt idx="180">
                  <c:v>32205.9</c:v>
                </c:pt>
                <c:pt idx="181">
                  <c:v>31667.67</c:v>
                </c:pt>
                <c:pt idx="182">
                  <c:v>32173.98</c:v>
                </c:pt>
                <c:pt idx="183">
                  <c:v>32285.82</c:v>
                </c:pt>
                <c:pt idx="184">
                  <c:v>32289.53</c:v>
                </c:pt>
                <c:pt idx="185">
                  <c:v>31773.8</c:v>
                </c:pt>
                <c:pt idx="186">
                  <c:v>31965.43</c:v>
                </c:pt>
                <c:pt idx="187">
                  <c:v>32904.75</c:v>
                </c:pt>
                <c:pt idx="188">
                  <c:v>33105.31</c:v>
                </c:pt>
                <c:pt idx="189">
                  <c:v>31444.12</c:v>
                </c:pt>
                <c:pt idx="190">
                  <c:v>31685.02</c:v>
                </c:pt>
                <c:pt idx="191">
                  <c:v>32407.07</c:v>
                </c:pt>
                <c:pt idx="192">
                  <c:v>33156.5</c:v>
                </c:pt>
                <c:pt idx="193">
                  <c:v>32502.3</c:v>
                </c:pt>
                <c:pt idx="194">
                  <c:v>32639.71</c:v>
                </c:pt>
                <c:pt idx="195">
                  <c:v>33146.300000000003</c:v>
                </c:pt>
                <c:pt idx="196">
                  <c:v>33604.28</c:v>
                </c:pt>
                <c:pt idx="197">
                  <c:v>34833.25</c:v>
                </c:pt>
                <c:pt idx="198">
                  <c:v>34550.629999999997</c:v>
                </c:pt>
                <c:pt idx="199">
                  <c:v>33953.96</c:v>
                </c:pt>
                <c:pt idx="200">
                  <c:v>34967.54</c:v>
                </c:pt>
                <c:pt idx="201">
                  <c:v>35677.72</c:v>
                </c:pt>
                <c:pt idx="202">
                  <c:v>34772.879999999997</c:v>
                </c:pt>
                <c:pt idx="203">
                  <c:v>34342.14</c:v>
                </c:pt>
                <c:pt idx="204">
                  <c:v>34594.089999999997</c:v>
                </c:pt>
                <c:pt idx="205">
                  <c:v>35373.83</c:v>
                </c:pt>
                <c:pt idx="206">
                  <c:v>35923.269999999997</c:v>
                </c:pt>
                <c:pt idx="207">
                  <c:v>34897.11</c:v>
                </c:pt>
                <c:pt idx="208">
                  <c:v>34117.17</c:v>
                </c:pt>
                <c:pt idx="209">
                  <c:v>35557.379999999997</c:v>
                </c:pt>
                <c:pt idx="210">
                  <c:v>35374.69</c:v>
                </c:pt>
                <c:pt idx="211">
                  <c:v>35230.949999999997</c:v>
                </c:pt>
                <c:pt idx="212">
                  <c:v>35409.82</c:v>
                </c:pt>
                <c:pt idx="213">
                  <c:v>36206.89</c:v>
                </c:pt>
                <c:pt idx="214">
                  <c:v>35731.53</c:v>
                </c:pt>
                <c:pt idx="215">
                  <c:v>34895.769999999997</c:v>
                </c:pt>
                <c:pt idx="216">
                  <c:v>34724.03</c:v>
                </c:pt>
                <c:pt idx="217">
                  <c:v>35411.67</c:v>
                </c:pt>
                <c:pt idx="218">
                  <c:v>36156.910000000003</c:v>
                </c:pt>
                <c:pt idx="219">
                  <c:v>33295.32</c:v>
                </c:pt>
                <c:pt idx="220">
                  <c:v>32717.06</c:v>
                </c:pt>
                <c:pt idx="221">
                  <c:v>33170.35</c:v>
                </c:pt>
                <c:pt idx="222">
                  <c:v>33306.870000000003</c:v>
                </c:pt>
                <c:pt idx="223">
                  <c:v>34163.86</c:v>
                </c:pt>
                <c:pt idx="224">
                  <c:v>33750.14</c:v>
                </c:pt>
                <c:pt idx="225">
                  <c:v>33910.769999999997</c:v>
                </c:pt>
                <c:pt idx="226">
                  <c:v>34577.379999999997</c:v>
                </c:pt>
                <c:pt idx="227">
                  <c:v>34340.32</c:v>
                </c:pt>
                <c:pt idx="228">
                  <c:v>33661.67</c:v>
                </c:pt>
                <c:pt idx="229">
                  <c:v>32688.959999999999</c:v>
                </c:pt>
                <c:pt idx="230">
                  <c:v>33221.65</c:v>
                </c:pt>
                <c:pt idx="231">
                  <c:v>33410.47</c:v>
                </c:pt>
                <c:pt idx="232">
                  <c:v>33224.46</c:v>
                </c:pt>
                <c:pt idx="233">
                  <c:v>32758.85</c:v>
                </c:pt>
                <c:pt idx="234">
                  <c:v>31787</c:v>
                </c:pt>
                <c:pt idx="235">
                  <c:v>33729.19</c:v>
                </c:pt>
                <c:pt idx="236">
                  <c:v>33389.160000000003</c:v>
                </c:pt>
                <c:pt idx="237">
                  <c:v>33590.78</c:v>
                </c:pt>
                <c:pt idx="238">
                  <c:v>32449.59</c:v>
                </c:pt>
                <c:pt idx="239">
                  <c:v>32646.05</c:v>
                </c:pt>
                <c:pt idx="240">
                  <c:v>33597.410000000003</c:v>
                </c:pt>
                <c:pt idx="241">
                  <c:v>32168.22</c:v>
                </c:pt>
                <c:pt idx="242">
                  <c:v>31415.65</c:v>
                </c:pt>
                <c:pt idx="243">
                  <c:v>30972.1</c:v>
                </c:pt>
                <c:pt idx="244">
                  <c:v>31970.45</c:v>
                </c:pt>
                <c:pt idx="245">
                  <c:v>32288.38</c:v>
                </c:pt>
                <c:pt idx="246">
                  <c:v>32284.62</c:v>
                </c:pt>
                <c:pt idx="247">
                  <c:v>32157.94</c:v>
                </c:pt>
                <c:pt idx="248">
                  <c:v>32555.32</c:v>
                </c:pt>
                <c:pt idx="249">
                  <c:v>31920.48</c:v>
                </c:pt>
                <c:pt idx="250">
                  <c:v>32673.29</c:v>
                </c:pt>
                <c:pt idx="251">
                  <c:v>32340.35</c:v>
                </c:pt>
                <c:pt idx="252">
                  <c:v>32161.49</c:v>
                </c:pt>
                <c:pt idx="253">
                  <c:v>32738.06</c:v>
                </c:pt>
                <c:pt idx="254">
                  <c:v>32374.59</c:v>
                </c:pt>
                <c:pt idx="255">
                  <c:v>32184.76</c:v>
                </c:pt>
                <c:pt idx="256">
                  <c:v>28923.63</c:v>
                </c:pt>
                <c:pt idx="257">
                  <c:v>33324.36</c:v>
                </c:pt>
                <c:pt idx="258">
                  <c:v>33590.410000000003</c:v>
                </c:pt>
                <c:pt idx="259">
                  <c:v>33311.96</c:v>
                </c:pt>
                <c:pt idx="260">
                  <c:v>32006.560000000001</c:v>
                </c:pt>
                <c:pt idx="261">
                  <c:v>32333.279999999999</c:v>
                </c:pt>
                <c:pt idx="262">
                  <c:v>32554.07</c:v>
                </c:pt>
                <c:pt idx="263">
                  <c:v>32761.41</c:v>
                </c:pt>
                <c:pt idx="264">
                  <c:v>33807.61</c:v>
                </c:pt>
                <c:pt idx="265">
                  <c:v>33811.74</c:v>
                </c:pt>
                <c:pt idx="266">
                  <c:v>34596.870000000003</c:v>
                </c:pt>
                <c:pt idx="267">
                  <c:v>34257.129999999997</c:v>
                </c:pt>
                <c:pt idx="268">
                  <c:v>34505.5</c:v>
                </c:pt>
                <c:pt idx="269">
                  <c:v>34270.49</c:v>
                </c:pt>
                <c:pt idx="270">
                  <c:v>34843.449999999997</c:v>
                </c:pt>
                <c:pt idx="271">
                  <c:v>32808.449999999997</c:v>
                </c:pt>
                <c:pt idx="272">
                  <c:v>32089.15</c:v>
                </c:pt>
                <c:pt idx="273">
                  <c:v>30002.77</c:v>
                </c:pt>
                <c:pt idx="274">
                  <c:v>32006.19</c:v>
                </c:pt>
                <c:pt idx="275">
                  <c:v>32357.15</c:v>
                </c:pt>
                <c:pt idx="276">
                  <c:v>32837.65</c:v>
                </c:pt>
                <c:pt idx="277">
                  <c:v>32940.14</c:v>
                </c:pt>
                <c:pt idx="278">
                  <c:v>33619.379999999997</c:v>
                </c:pt>
                <c:pt idx="279">
                  <c:v>34296.75</c:v>
                </c:pt>
                <c:pt idx="280">
                  <c:v>33229.910000000003</c:v>
                </c:pt>
                <c:pt idx="281">
                  <c:v>33472.74</c:v>
                </c:pt>
                <c:pt idx="282">
                  <c:v>32565.02</c:v>
                </c:pt>
                <c:pt idx="283">
                  <c:v>33419.99</c:v>
                </c:pt>
                <c:pt idx="284">
                  <c:v>33750.36</c:v>
                </c:pt>
                <c:pt idx="285">
                  <c:v>33583.83</c:v>
                </c:pt>
                <c:pt idx="286">
                  <c:v>32996.959999999999</c:v>
                </c:pt>
                <c:pt idx="287">
                  <c:v>33303.72</c:v>
                </c:pt>
                <c:pt idx="288">
                  <c:v>33283.46</c:v>
                </c:pt>
                <c:pt idx="289">
                  <c:v>32976.35</c:v>
                </c:pt>
                <c:pt idx="290">
                  <c:v>32168.51</c:v>
                </c:pt>
                <c:pt idx="291">
                  <c:v>31679.05</c:v>
                </c:pt>
                <c:pt idx="292">
                  <c:v>31509.13</c:v>
                </c:pt>
                <c:pt idx="293">
                  <c:v>30203.63</c:v>
                </c:pt>
                <c:pt idx="294">
                  <c:v>29996.92</c:v>
                </c:pt>
                <c:pt idx="295">
                  <c:v>29795.94</c:v>
                </c:pt>
                <c:pt idx="296">
                  <c:v>30338.55</c:v>
                </c:pt>
                <c:pt idx="297">
                  <c:v>29882.02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C-45EF-8C11-591EE83B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存款准备金（单位：亿美元）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负债端：美国财政部一般账户</a:t>
            </a:r>
            <a:r>
              <a:rPr lang="en-US" altLang="zh-CN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(TGA)</a:t>
            </a:r>
            <a:endParaRPr lang="zh-CN" altLang="en-US"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70254629629627"/>
          <c:y val="0.16845138888888889"/>
          <c:w val="0.80195949074074069"/>
          <c:h val="0.55713194444444447"/>
        </c:manualLayout>
      </c:layout>
      <c:lineChart>
        <c:grouping val="standard"/>
        <c:varyColors val="0"/>
        <c:ser>
          <c:idx val="0"/>
          <c:order val="0"/>
          <c:tx>
            <c:strRef>
              <c:f>资产负债表!$S$3</c:f>
              <c:strCache>
                <c:ptCount val="1"/>
                <c:pt idx="0">
                  <c:v>美国财政部一般账户(TGA)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资产负债表!$I$4:$I$301</c:f>
              <c:numCache>
                <c:formatCode>yyyy\-mm\-dd</c:formatCode>
                <c:ptCount val="298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43999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  <c:pt idx="53">
                  <c:v>44202</c:v>
                </c:pt>
                <c:pt idx="54">
                  <c:v>44209</c:v>
                </c:pt>
                <c:pt idx="55">
                  <c:v>44216</c:v>
                </c:pt>
                <c:pt idx="56">
                  <c:v>44223</c:v>
                </c:pt>
                <c:pt idx="57">
                  <c:v>44230</c:v>
                </c:pt>
                <c:pt idx="58">
                  <c:v>44237</c:v>
                </c:pt>
                <c:pt idx="59">
                  <c:v>44244</c:v>
                </c:pt>
                <c:pt idx="60">
                  <c:v>44251</c:v>
                </c:pt>
                <c:pt idx="61">
                  <c:v>44258</c:v>
                </c:pt>
                <c:pt idx="62">
                  <c:v>44265</c:v>
                </c:pt>
                <c:pt idx="63">
                  <c:v>44272</c:v>
                </c:pt>
                <c:pt idx="64">
                  <c:v>44279</c:v>
                </c:pt>
                <c:pt idx="65">
                  <c:v>44286</c:v>
                </c:pt>
                <c:pt idx="66">
                  <c:v>44293</c:v>
                </c:pt>
                <c:pt idx="67">
                  <c:v>44300</c:v>
                </c:pt>
                <c:pt idx="68">
                  <c:v>44307</c:v>
                </c:pt>
                <c:pt idx="69">
                  <c:v>44314</c:v>
                </c:pt>
                <c:pt idx="70">
                  <c:v>44321</c:v>
                </c:pt>
                <c:pt idx="71">
                  <c:v>44328</c:v>
                </c:pt>
                <c:pt idx="72">
                  <c:v>44335</c:v>
                </c:pt>
                <c:pt idx="73">
                  <c:v>44342</c:v>
                </c:pt>
                <c:pt idx="74">
                  <c:v>44349</c:v>
                </c:pt>
                <c:pt idx="75">
                  <c:v>44356</c:v>
                </c:pt>
                <c:pt idx="76">
                  <c:v>44363</c:v>
                </c:pt>
                <c:pt idx="77">
                  <c:v>44370</c:v>
                </c:pt>
                <c:pt idx="78">
                  <c:v>44377</c:v>
                </c:pt>
                <c:pt idx="79">
                  <c:v>44384</c:v>
                </c:pt>
                <c:pt idx="80">
                  <c:v>44391</c:v>
                </c:pt>
                <c:pt idx="81">
                  <c:v>44398</c:v>
                </c:pt>
                <c:pt idx="82">
                  <c:v>44405</c:v>
                </c:pt>
                <c:pt idx="83">
                  <c:v>44412</c:v>
                </c:pt>
                <c:pt idx="84">
                  <c:v>44419</c:v>
                </c:pt>
                <c:pt idx="85">
                  <c:v>44426</c:v>
                </c:pt>
                <c:pt idx="86">
                  <c:v>44433</c:v>
                </c:pt>
                <c:pt idx="87">
                  <c:v>44440</c:v>
                </c:pt>
                <c:pt idx="88">
                  <c:v>44447</c:v>
                </c:pt>
                <c:pt idx="89">
                  <c:v>44454</c:v>
                </c:pt>
                <c:pt idx="90">
                  <c:v>44461</c:v>
                </c:pt>
                <c:pt idx="91">
                  <c:v>44468</c:v>
                </c:pt>
                <c:pt idx="92">
                  <c:v>44475</c:v>
                </c:pt>
                <c:pt idx="93">
                  <c:v>44482</c:v>
                </c:pt>
                <c:pt idx="94">
                  <c:v>44489</c:v>
                </c:pt>
                <c:pt idx="95">
                  <c:v>44496</c:v>
                </c:pt>
                <c:pt idx="96">
                  <c:v>44503</c:v>
                </c:pt>
                <c:pt idx="97">
                  <c:v>44510</c:v>
                </c:pt>
                <c:pt idx="98">
                  <c:v>44517</c:v>
                </c:pt>
                <c:pt idx="99">
                  <c:v>44524</c:v>
                </c:pt>
                <c:pt idx="100">
                  <c:v>44531</c:v>
                </c:pt>
                <c:pt idx="101">
                  <c:v>44538</c:v>
                </c:pt>
                <c:pt idx="102">
                  <c:v>44545</c:v>
                </c:pt>
                <c:pt idx="103">
                  <c:v>44552</c:v>
                </c:pt>
                <c:pt idx="104">
                  <c:v>44559</c:v>
                </c:pt>
                <c:pt idx="105">
                  <c:v>44566</c:v>
                </c:pt>
                <c:pt idx="106">
                  <c:v>44573</c:v>
                </c:pt>
                <c:pt idx="107">
                  <c:v>44580</c:v>
                </c:pt>
                <c:pt idx="108">
                  <c:v>44587</c:v>
                </c:pt>
                <c:pt idx="109">
                  <c:v>44594</c:v>
                </c:pt>
                <c:pt idx="110">
                  <c:v>44601</c:v>
                </c:pt>
                <c:pt idx="111">
                  <c:v>44608</c:v>
                </c:pt>
                <c:pt idx="112">
                  <c:v>44615</c:v>
                </c:pt>
                <c:pt idx="113">
                  <c:v>44622</c:v>
                </c:pt>
                <c:pt idx="114">
                  <c:v>44629</c:v>
                </c:pt>
                <c:pt idx="115">
                  <c:v>44636</c:v>
                </c:pt>
                <c:pt idx="116">
                  <c:v>44643</c:v>
                </c:pt>
                <c:pt idx="117">
                  <c:v>44650</c:v>
                </c:pt>
                <c:pt idx="118">
                  <c:v>44657</c:v>
                </c:pt>
                <c:pt idx="119">
                  <c:v>44664</c:v>
                </c:pt>
                <c:pt idx="120">
                  <c:v>44671</c:v>
                </c:pt>
                <c:pt idx="121">
                  <c:v>44678</c:v>
                </c:pt>
                <c:pt idx="122">
                  <c:v>44685</c:v>
                </c:pt>
                <c:pt idx="123">
                  <c:v>44692</c:v>
                </c:pt>
                <c:pt idx="124">
                  <c:v>44699</c:v>
                </c:pt>
                <c:pt idx="125">
                  <c:v>44706</c:v>
                </c:pt>
                <c:pt idx="126">
                  <c:v>44713</c:v>
                </c:pt>
                <c:pt idx="127">
                  <c:v>44720</c:v>
                </c:pt>
                <c:pt idx="128">
                  <c:v>44727</c:v>
                </c:pt>
                <c:pt idx="129">
                  <c:v>44734</c:v>
                </c:pt>
                <c:pt idx="130">
                  <c:v>44741</c:v>
                </c:pt>
                <c:pt idx="131">
                  <c:v>44748</c:v>
                </c:pt>
                <c:pt idx="132">
                  <c:v>44755</c:v>
                </c:pt>
                <c:pt idx="133">
                  <c:v>44762</c:v>
                </c:pt>
                <c:pt idx="134">
                  <c:v>44769</c:v>
                </c:pt>
                <c:pt idx="135">
                  <c:v>44776</c:v>
                </c:pt>
                <c:pt idx="136">
                  <c:v>44783</c:v>
                </c:pt>
                <c:pt idx="137">
                  <c:v>44790</c:v>
                </c:pt>
                <c:pt idx="138">
                  <c:v>44797</c:v>
                </c:pt>
                <c:pt idx="139">
                  <c:v>44804</c:v>
                </c:pt>
                <c:pt idx="140">
                  <c:v>44811</c:v>
                </c:pt>
                <c:pt idx="141">
                  <c:v>44818</c:v>
                </c:pt>
                <c:pt idx="142">
                  <c:v>44825</c:v>
                </c:pt>
                <c:pt idx="143">
                  <c:v>44832</c:v>
                </c:pt>
                <c:pt idx="144">
                  <c:v>44839</c:v>
                </c:pt>
                <c:pt idx="145">
                  <c:v>44846</c:v>
                </c:pt>
                <c:pt idx="146">
                  <c:v>44853</c:v>
                </c:pt>
                <c:pt idx="147">
                  <c:v>44860</c:v>
                </c:pt>
                <c:pt idx="148">
                  <c:v>44867</c:v>
                </c:pt>
                <c:pt idx="149">
                  <c:v>44874</c:v>
                </c:pt>
                <c:pt idx="150">
                  <c:v>44881</c:v>
                </c:pt>
                <c:pt idx="151">
                  <c:v>44888</c:v>
                </c:pt>
                <c:pt idx="152">
                  <c:v>44895</c:v>
                </c:pt>
                <c:pt idx="153">
                  <c:v>44902</c:v>
                </c:pt>
                <c:pt idx="154">
                  <c:v>44909</c:v>
                </c:pt>
                <c:pt idx="155">
                  <c:v>44916</c:v>
                </c:pt>
                <c:pt idx="156">
                  <c:v>44923</c:v>
                </c:pt>
                <c:pt idx="157">
                  <c:v>44930</c:v>
                </c:pt>
                <c:pt idx="158">
                  <c:v>44937</c:v>
                </c:pt>
                <c:pt idx="159">
                  <c:v>44944</c:v>
                </c:pt>
                <c:pt idx="160">
                  <c:v>44951</c:v>
                </c:pt>
                <c:pt idx="161">
                  <c:v>44958</c:v>
                </c:pt>
                <c:pt idx="162">
                  <c:v>44965</c:v>
                </c:pt>
                <c:pt idx="163">
                  <c:v>44972</c:v>
                </c:pt>
                <c:pt idx="164">
                  <c:v>44979</c:v>
                </c:pt>
                <c:pt idx="165">
                  <c:v>44986</c:v>
                </c:pt>
                <c:pt idx="166">
                  <c:v>44993</c:v>
                </c:pt>
                <c:pt idx="167">
                  <c:v>45000</c:v>
                </c:pt>
                <c:pt idx="168">
                  <c:v>45007</c:v>
                </c:pt>
                <c:pt idx="169">
                  <c:v>45014</c:v>
                </c:pt>
                <c:pt idx="170">
                  <c:v>45021</c:v>
                </c:pt>
                <c:pt idx="171">
                  <c:v>45028</c:v>
                </c:pt>
                <c:pt idx="172">
                  <c:v>45035</c:v>
                </c:pt>
                <c:pt idx="173">
                  <c:v>45042</c:v>
                </c:pt>
                <c:pt idx="174">
                  <c:v>45049</c:v>
                </c:pt>
                <c:pt idx="175">
                  <c:v>45056</c:v>
                </c:pt>
                <c:pt idx="176">
                  <c:v>45063</c:v>
                </c:pt>
                <c:pt idx="177">
                  <c:v>45070</c:v>
                </c:pt>
                <c:pt idx="178">
                  <c:v>45077</c:v>
                </c:pt>
                <c:pt idx="179">
                  <c:v>45084</c:v>
                </c:pt>
                <c:pt idx="180">
                  <c:v>45091</c:v>
                </c:pt>
                <c:pt idx="181">
                  <c:v>45098</c:v>
                </c:pt>
                <c:pt idx="182">
                  <c:v>45105</c:v>
                </c:pt>
                <c:pt idx="183">
                  <c:v>45112</c:v>
                </c:pt>
                <c:pt idx="184">
                  <c:v>45119</c:v>
                </c:pt>
                <c:pt idx="185">
                  <c:v>45126</c:v>
                </c:pt>
                <c:pt idx="186">
                  <c:v>45133</c:v>
                </c:pt>
                <c:pt idx="187">
                  <c:v>45140</c:v>
                </c:pt>
                <c:pt idx="188">
                  <c:v>45147</c:v>
                </c:pt>
                <c:pt idx="189">
                  <c:v>45154</c:v>
                </c:pt>
                <c:pt idx="190">
                  <c:v>45161</c:v>
                </c:pt>
                <c:pt idx="191">
                  <c:v>45168</c:v>
                </c:pt>
                <c:pt idx="192">
                  <c:v>45175</c:v>
                </c:pt>
                <c:pt idx="193">
                  <c:v>45182</c:v>
                </c:pt>
                <c:pt idx="194">
                  <c:v>45189</c:v>
                </c:pt>
                <c:pt idx="195">
                  <c:v>45196</c:v>
                </c:pt>
                <c:pt idx="196">
                  <c:v>45203</c:v>
                </c:pt>
                <c:pt idx="197">
                  <c:v>45210</c:v>
                </c:pt>
                <c:pt idx="198">
                  <c:v>45217</c:v>
                </c:pt>
                <c:pt idx="199">
                  <c:v>45224</c:v>
                </c:pt>
                <c:pt idx="200">
                  <c:v>45231</c:v>
                </c:pt>
                <c:pt idx="201">
                  <c:v>45238</c:v>
                </c:pt>
                <c:pt idx="202">
                  <c:v>45245</c:v>
                </c:pt>
                <c:pt idx="203">
                  <c:v>45252</c:v>
                </c:pt>
                <c:pt idx="204">
                  <c:v>45259</c:v>
                </c:pt>
                <c:pt idx="205">
                  <c:v>45266</c:v>
                </c:pt>
                <c:pt idx="206">
                  <c:v>45273</c:v>
                </c:pt>
                <c:pt idx="207">
                  <c:v>45280</c:v>
                </c:pt>
                <c:pt idx="208">
                  <c:v>45287</c:v>
                </c:pt>
                <c:pt idx="209">
                  <c:v>45294</c:v>
                </c:pt>
                <c:pt idx="210">
                  <c:v>45301</c:v>
                </c:pt>
                <c:pt idx="211">
                  <c:v>45308</c:v>
                </c:pt>
                <c:pt idx="212">
                  <c:v>45315</c:v>
                </c:pt>
                <c:pt idx="213">
                  <c:v>45322</c:v>
                </c:pt>
                <c:pt idx="214">
                  <c:v>45329</c:v>
                </c:pt>
                <c:pt idx="215">
                  <c:v>45336</c:v>
                </c:pt>
                <c:pt idx="216">
                  <c:v>45343</c:v>
                </c:pt>
                <c:pt idx="217">
                  <c:v>45350</c:v>
                </c:pt>
                <c:pt idx="218">
                  <c:v>45357</c:v>
                </c:pt>
                <c:pt idx="219">
                  <c:v>45364</c:v>
                </c:pt>
                <c:pt idx="220">
                  <c:v>45371</c:v>
                </c:pt>
                <c:pt idx="221">
                  <c:v>45378</c:v>
                </c:pt>
                <c:pt idx="222">
                  <c:v>45385</c:v>
                </c:pt>
                <c:pt idx="223">
                  <c:v>45392</c:v>
                </c:pt>
                <c:pt idx="224">
                  <c:v>45399</c:v>
                </c:pt>
                <c:pt idx="225">
                  <c:v>45406</c:v>
                </c:pt>
                <c:pt idx="226">
                  <c:v>45413</c:v>
                </c:pt>
                <c:pt idx="227">
                  <c:v>45420</c:v>
                </c:pt>
                <c:pt idx="228">
                  <c:v>45427</c:v>
                </c:pt>
                <c:pt idx="229">
                  <c:v>45434</c:v>
                </c:pt>
                <c:pt idx="230">
                  <c:v>45441</c:v>
                </c:pt>
                <c:pt idx="231">
                  <c:v>45448</c:v>
                </c:pt>
                <c:pt idx="232">
                  <c:v>45455</c:v>
                </c:pt>
                <c:pt idx="233">
                  <c:v>45462</c:v>
                </c:pt>
                <c:pt idx="234">
                  <c:v>45469</c:v>
                </c:pt>
                <c:pt idx="235">
                  <c:v>45476</c:v>
                </c:pt>
                <c:pt idx="236">
                  <c:v>45483</c:v>
                </c:pt>
                <c:pt idx="237">
                  <c:v>45490</c:v>
                </c:pt>
                <c:pt idx="238">
                  <c:v>45497</c:v>
                </c:pt>
                <c:pt idx="239">
                  <c:v>45504</c:v>
                </c:pt>
                <c:pt idx="240">
                  <c:v>45511</c:v>
                </c:pt>
                <c:pt idx="241">
                  <c:v>45518</c:v>
                </c:pt>
                <c:pt idx="242">
                  <c:v>45525</c:v>
                </c:pt>
                <c:pt idx="243">
                  <c:v>45532</c:v>
                </c:pt>
                <c:pt idx="244">
                  <c:v>45539</c:v>
                </c:pt>
                <c:pt idx="245">
                  <c:v>45546</c:v>
                </c:pt>
                <c:pt idx="246">
                  <c:v>45553</c:v>
                </c:pt>
                <c:pt idx="247">
                  <c:v>45560</c:v>
                </c:pt>
                <c:pt idx="248">
                  <c:v>45567</c:v>
                </c:pt>
                <c:pt idx="249">
                  <c:v>45574</c:v>
                </c:pt>
                <c:pt idx="250">
                  <c:v>45581</c:v>
                </c:pt>
                <c:pt idx="251">
                  <c:v>45588</c:v>
                </c:pt>
                <c:pt idx="252">
                  <c:v>45595</c:v>
                </c:pt>
                <c:pt idx="253">
                  <c:v>45602</c:v>
                </c:pt>
                <c:pt idx="254">
                  <c:v>45609</c:v>
                </c:pt>
                <c:pt idx="255">
                  <c:v>45616</c:v>
                </c:pt>
                <c:pt idx="256">
                  <c:v>45623</c:v>
                </c:pt>
                <c:pt idx="257">
                  <c:v>45630</c:v>
                </c:pt>
                <c:pt idx="258">
                  <c:v>45637</c:v>
                </c:pt>
                <c:pt idx="259">
                  <c:v>45644</c:v>
                </c:pt>
                <c:pt idx="260">
                  <c:v>45651</c:v>
                </c:pt>
                <c:pt idx="261">
                  <c:v>45658</c:v>
                </c:pt>
                <c:pt idx="262">
                  <c:v>45665</c:v>
                </c:pt>
                <c:pt idx="263">
                  <c:v>45672</c:v>
                </c:pt>
                <c:pt idx="264">
                  <c:v>45679</c:v>
                </c:pt>
                <c:pt idx="265">
                  <c:v>45686</c:v>
                </c:pt>
                <c:pt idx="266">
                  <c:v>45693</c:v>
                </c:pt>
                <c:pt idx="267">
                  <c:v>45700</c:v>
                </c:pt>
                <c:pt idx="268">
                  <c:v>45707</c:v>
                </c:pt>
                <c:pt idx="269">
                  <c:v>45714</c:v>
                </c:pt>
                <c:pt idx="270">
                  <c:v>45721</c:v>
                </c:pt>
                <c:pt idx="271">
                  <c:v>45728</c:v>
                </c:pt>
                <c:pt idx="272">
                  <c:v>45735</c:v>
                </c:pt>
                <c:pt idx="273">
                  <c:v>45742</c:v>
                </c:pt>
                <c:pt idx="274">
                  <c:v>45749</c:v>
                </c:pt>
                <c:pt idx="275">
                  <c:v>45756</c:v>
                </c:pt>
                <c:pt idx="276">
                  <c:v>45763</c:v>
                </c:pt>
                <c:pt idx="277">
                  <c:v>45770</c:v>
                </c:pt>
                <c:pt idx="278">
                  <c:v>45777</c:v>
                </c:pt>
                <c:pt idx="279">
                  <c:v>45784</c:v>
                </c:pt>
                <c:pt idx="280">
                  <c:v>45791</c:v>
                </c:pt>
                <c:pt idx="281">
                  <c:v>45798</c:v>
                </c:pt>
                <c:pt idx="282">
                  <c:v>45805</c:v>
                </c:pt>
                <c:pt idx="283">
                  <c:v>45812</c:v>
                </c:pt>
                <c:pt idx="284">
                  <c:v>45819</c:v>
                </c:pt>
                <c:pt idx="285">
                  <c:v>45826</c:v>
                </c:pt>
                <c:pt idx="286">
                  <c:v>45833</c:v>
                </c:pt>
                <c:pt idx="287">
                  <c:v>45840</c:v>
                </c:pt>
                <c:pt idx="288">
                  <c:v>45847</c:v>
                </c:pt>
                <c:pt idx="289">
                  <c:v>45854</c:v>
                </c:pt>
                <c:pt idx="290">
                  <c:v>45861</c:v>
                </c:pt>
                <c:pt idx="291">
                  <c:v>45868</c:v>
                </c:pt>
                <c:pt idx="292">
                  <c:v>45875</c:v>
                </c:pt>
                <c:pt idx="293">
                  <c:v>45882</c:v>
                </c:pt>
                <c:pt idx="294">
                  <c:v>45889</c:v>
                </c:pt>
                <c:pt idx="295">
                  <c:v>45896</c:v>
                </c:pt>
                <c:pt idx="296">
                  <c:v>45903</c:v>
                </c:pt>
                <c:pt idx="297">
                  <c:v>45910</c:v>
                </c:pt>
              </c:numCache>
            </c:numRef>
          </c:cat>
          <c:val>
            <c:numRef>
              <c:f>资产负债表!$S$4:$S$301</c:f>
              <c:numCache>
                <c:formatCode>General</c:formatCode>
                <c:ptCount val="298"/>
                <c:pt idx="0">
                  <c:v>4038.53</c:v>
                </c:pt>
                <c:pt idx="1">
                  <c:v>3508.4</c:v>
                </c:pt>
                <c:pt idx="2">
                  <c:v>3808.02</c:v>
                </c:pt>
                <c:pt idx="3">
                  <c:v>4117.08</c:v>
                </c:pt>
                <c:pt idx="4">
                  <c:v>4505.37</c:v>
                </c:pt>
                <c:pt idx="5">
                  <c:v>4165.8500000000004</c:v>
                </c:pt>
                <c:pt idx="6">
                  <c:v>4043.41</c:v>
                </c:pt>
                <c:pt idx="7">
                  <c:v>4210.51</c:v>
                </c:pt>
                <c:pt idx="8">
                  <c:v>3876.15</c:v>
                </c:pt>
                <c:pt idx="9">
                  <c:v>3813.02</c:v>
                </c:pt>
                <c:pt idx="10">
                  <c:v>3723.37</c:v>
                </c:pt>
                <c:pt idx="11">
                  <c:v>4013.54</c:v>
                </c:pt>
                <c:pt idx="12">
                  <c:v>3848.9</c:v>
                </c:pt>
                <c:pt idx="13">
                  <c:v>5069.33</c:v>
                </c:pt>
                <c:pt idx="14">
                  <c:v>8271.7800000000007</c:v>
                </c:pt>
                <c:pt idx="15">
                  <c:v>8561.5499999999993</c:v>
                </c:pt>
                <c:pt idx="16">
                  <c:v>9499.99</c:v>
                </c:pt>
                <c:pt idx="17">
                  <c:v>10762.32</c:v>
                </c:pt>
                <c:pt idx="18">
                  <c:v>11432.68</c:v>
                </c:pt>
                <c:pt idx="19">
                  <c:v>11381.72</c:v>
                </c:pt>
                <c:pt idx="20">
                  <c:v>11932.97</c:v>
                </c:pt>
                <c:pt idx="21">
                  <c:v>13268.97</c:v>
                </c:pt>
                <c:pt idx="22">
                  <c:v>14314.62</c:v>
                </c:pt>
                <c:pt idx="23">
                  <c:v>15045.69</c:v>
                </c:pt>
                <c:pt idx="24">
                  <c:v>15653.06</c:v>
                </c:pt>
                <c:pt idx="25">
                  <c:v>15865.73</c:v>
                </c:pt>
                <c:pt idx="26">
                  <c:v>16567.47</c:v>
                </c:pt>
                <c:pt idx="27">
                  <c:v>16244.04</c:v>
                </c:pt>
                <c:pt idx="28">
                  <c:v>17404.55</c:v>
                </c:pt>
                <c:pt idx="29">
                  <c:v>17771.8</c:v>
                </c:pt>
                <c:pt idx="30">
                  <c:v>17924.34</c:v>
                </c:pt>
                <c:pt idx="31">
                  <c:v>17066.37</c:v>
                </c:pt>
                <c:pt idx="32">
                  <c:v>16351.43</c:v>
                </c:pt>
                <c:pt idx="33">
                  <c:v>16363.93</c:v>
                </c:pt>
                <c:pt idx="34">
                  <c:v>16074.49</c:v>
                </c:pt>
                <c:pt idx="35">
                  <c:v>16518.23</c:v>
                </c:pt>
                <c:pt idx="36">
                  <c:v>15705.33</c:v>
                </c:pt>
                <c:pt idx="37">
                  <c:v>16928.09</c:v>
                </c:pt>
                <c:pt idx="38">
                  <c:v>16617.32</c:v>
                </c:pt>
                <c:pt idx="39">
                  <c:v>17816.79</c:v>
                </c:pt>
                <c:pt idx="40">
                  <c:v>16874.34</c:v>
                </c:pt>
                <c:pt idx="41">
                  <c:v>16479.37</c:v>
                </c:pt>
                <c:pt idx="42">
                  <c:v>16994.97</c:v>
                </c:pt>
                <c:pt idx="43">
                  <c:v>16530.39</c:v>
                </c:pt>
                <c:pt idx="44">
                  <c:v>16185.68</c:v>
                </c:pt>
                <c:pt idx="45">
                  <c:v>15707.68</c:v>
                </c:pt>
                <c:pt idx="46">
                  <c:v>15469.24</c:v>
                </c:pt>
                <c:pt idx="47">
                  <c:v>14840.36</c:v>
                </c:pt>
                <c:pt idx="48">
                  <c:v>15572.39</c:v>
                </c:pt>
                <c:pt idx="49">
                  <c:v>15023.61</c:v>
                </c:pt>
                <c:pt idx="50">
                  <c:v>16158.73</c:v>
                </c:pt>
                <c:pt idx="51">
                  <c:v>15833.08</c:v>
                </c:pt>
                <c:pt idx="52">
                  <c:v>16135.14</c:v>
                </c:pt>
                <c:pt idx="53">
                  <c:v>16073.96</c:v>
                </c:pt>
                <c:pt idx="54">
                  <c:v>15758.75</c:v>
                </c:pt>
                <c:pt idx="55">
                  <c:v>16383.31</c:v>
                </c:pt>
                <c:pt idx="56">
                  <c:v>16133.77</c:v>
                </c:pt>
                <c:pt idx="57">
                  <c:v>16297.29</c:v>
                </c:pt>
                <c:pt idx="58">
                  <c:v>15767.44</c:v>
                </c:pt>
                <c:pt idx="59">
                  <c:v>15688.93</c:v>
                </c:pt>
                <c:pt idx="60">
                  <c:v>14396.46</c:v>
                </c:pt>
                <c:pt idx="61">
                  <c:v>14202.38</c:v>
                </c:pt>
                <c:pt idx="62">
                  <c:v>13102.73</c:v>
                </c:pt>
                <c:pt idx="63">
                  <c:v>10895.01</c:v>
                </c:pt>
                <c:pt idx="64">
                  <c:v>10319.08</c:v>
                </c:pt>
                <c:pt idx="65">
                  <c:v>11219.51</c:v>
                </c:pt>
                <c:pt idx="66">
                  <c:v>9549.68</c:v>
                </c:pt>
                <c:pt idx="67">
                  <c:v>9216.85</c:v>
                </c:pt>
                <c:pt idx="68">
                  <c:v>10034.43</c:v>
                </c:pt>
                <c:pt idx="69">
                  <c:v>9322.8700000000008</c:v>
                </c:pt>
                <c:pt idx="70">
                  <c:v>9461.34</c:v>
                </c:pt>
                <c:pt idx="71">
                  <c:v>8642.5300000000007</c:v>
                </c:pt>
                <c:pt idx="72">
                  <c:v>8608.33</c:v>
                </c:pt>
                <c:pt idx="73">
                  <c:v>7789.12</c:v>
                </c:pt>
                <c:pt idx="74">
                  <c:v>8120.87</c:v>
                </c:pt>
                <c:pt idx="75">
                  <c:v>6735.55</c:v>
                </c:pt>
                <c:pt idx="76">
                  <c:v>7651.14</c:v>
                </c:pt>
                <c:pt idx="77">
                  <c:v>7338.77</c:v>
                </c:pt>
                <c:pt idx="78">
                  <c:v>8519.2900000000009</c:v>
                </c:pt>
                <c:pt idx="79">
                  <c:v>7248.98</c:v>
                </c:pt>
                <c:pt idx="80">
                  <c:v>6575.42</c:v>
                </c:pt>
                <c:pt idx="81">
                  <c:v>6162.94</c:v>
                </c:pt>
                <c:pt idx="82">
                  <c:v>5369.66</c:v>
                </c:pt>
                <c:pt idx="83">
                  <c:v>5058.71</c:v>
                </c:pt>
                <c:pt idx="84">
                  <c:v>3897.47</c:v>
                </c:pt>
                <c:pt idx="85">
                  <c:v>3136.51</c:v>
                </c:pt>
                <c:pt idx="86">
                  <c:v>2582</c:v>
                </c:pt>
                <c:pt idx="87">
                  <c:v>2969.34</c:v>
                </c:pt>
                <c:pt idx="88">
                  <c:v>2007.02</c:v>
                </c:pt>
                <c:pt idx="89">
                  <c:v>3446.68</c:v>
                </c:pt>
                <c:pt idx="90">
                  <c:v>2726.79</c:v>
                </c:pt>
                <c:pt idx="91">
                  <c:v>1737.45</c:v>
                </c:pt>
                <c:pt idx="92">
                  <c:v>958.54</c:v>
                </c:pt>
                <c:pt idx="93">
                  <c:v>724.6</c:v>
                </c:pt>
                <c:pt idx="94">
                  <c:v>1173.6400000000001</c:v>
                </c:pt>
                <c:pt idx="95">
                  <c:v>2364.9499999999998</c:v>
                </c:pt>
                <c:pt idx="96">
                  <c:v>2869.59</c:v>
                </c:pt>
                <c:pt idx="97">
                  <c:v>2314.21</c:v>
                </c:pt>
                <c:pt idx="98">
                  <c:v>1789.72</c:v>
                </c:pt>
                <c:pt idx="99">
                  <c:v>1410.42</c:v>
                </c:pt>
                <c:pt idx="100">
                  <c:v>1591.48</c:v>
                </c:pt>
                <c:pt idx="101">
                  <c:v>1251.44</c:v>
                </c:pt>
                <c:pt idx="102">
                  <c:v>582.94000000000005</c:v>
                </c:pt>
                <c:pt idx="103">
                  <c:v>1975.16</c:v>
                </c:pt>
                <c:pt idx="104">
                  <c:v>2839.95</c:v>
                </c:pt>
                <c:pt idx="105">
                  <c:v>4347.57</c:v>
                </c:pt>
                <c:pt idx="106">
                  <c:v>4896.79</c:v>
                </c:pt>
                <c:pt idx="107">
                  <c:v>5801.71</c:v>
                </c:pt>
                <c:pt idx="108">
                  <c:v>6396.2</c:v>
                </c:pt>
                <c:pt idx="109">
                  <c:v>7102.67</c:v>
                </c:pt>
                <c:pt idx="110">
                  <c:v>6790.19</c:v>
                </c:pt>
                <c:pt idx="111">
                  <c:v>7092.61</c:v>
                </c:pt>
                <c:pt idx="112">
                  <c:v>6747.97</c:v>
                </c:pt>
                <c:pt idx="113">
                  <c:v>6854.91</c:v>
                </c:pt>
                <c:pt idx="114">
                  <c:v>6093.69</c:v>
                </c:pt>
                <c:pt idx="115">
                  <c:v>6215.27</c:v>
                </c:pt>
                <c:pt idx="116">
                  <c:v>5764.42</c:v>
                </c:pt>
                <c:pt idx="117">
                  <c:v>5567.91</c:v>
                </c:pt>
                <c:pt idx="118">
                  <c:v>5455.84</c:v>
                </c:pt>
                <c:pt idx="119">
                  <c:v>5435.36</c:v>
                </c:pt>
                <c:pt idx="120">
                  <c:v>9075.26</c:v>
                </c:pt>
                <c:pt idx="121">
                  <c:v>9574.19</c:v>
                </c:pt>
                <c:pt idx="122">
                  <c:v>9644.1200000000008</c:v>
                </c:pt>
                <c:pt idx="123">
                  <c:v>9193.31</c:v>
                </c:pt>
                <c:pt idx="124">
                  <c:v>8667.26</c:v>
                </c:pt>
                <c:pt idx="125">
                  <c:v>8017.14</c:v>
                </c:pt>
                <c:pt idx="126">
                  <c:v>7805.75</c:v>
                </c:pt>
                <c:pt idx="127">
                  <c:v>6838.92</c:v>
                </c:pt>
                <c:pt idx="128">
                  <c:v>7699.37</c:v>
                </c:pt>
                <c:pt idx="129">
                  <c:v>7450.52</c:v>
                </c:pt>
                <c:pt idx="130">
                  <c:v>7598.45</c:v>
                </c:pt>
                <c:pt idx="131">
                  <c:v>6879.43</c:v>
                </c:pt>
                <c:pt idx="132">
                  <c:v>6187.4</c:v>
                </c:pt>
                <c:pt idx="133">
                  <c:v>6163.48</c:v>
                </c:pt>
                <c:pt idx="134">
                  <c:v>6155.15</c:v>
                </c:pt>
                <c:pt idx="135">
                  <c:v>5665.77</c:v>
                </c:pt>
                <c:pt idx="136">
                  <c:v>5611.4</c:v>
                </c:pt>
                <c:pt idx="137">
                  <c:v>5392.78</c:v>
                </c:pt>
                <c:pt idx="138">
                  <c:v>5301.96</c:v>
                </c:pt>
                <c:pt idx="139">
                  <c:v>6699.11</c:v>
                </c:pt>
                <c:pt idx="140">
                  <c:v>5829.21</c:v>
                </c:pt>
                <c:pt idx="141">
                  <c:v>6179.97</c:v>
                </c:pt>
                <c:pt idx="142">
                  <c:v>6902.86</c:v>
                </c:pt>
                <c:pt idx="143">
                  <c:v>6619.2</c:v>
                </c:pt>
                <c:pt idx="144">
                  <c:v>6221.31</c:v>
                </c:pt>
                <c:pt idx="145">
                  <c:v>5835.13</c:v>
                </c:pt>
                <c:pt idx="146">
                  <c:v>6406.13</c:v>
                </c:pt>
                <c:pt idx="147">
                  <c:v>6363.27</c:v>
                </c:pt>
                <c:pt idx="148">
                  <c:v>5520.89</c:v>
                </c:pt>
                <c:pt idx="149">
                  <c:v>5173.3999999999996</c:v>
                </c:pt>
                <c:pt idx="150">
                  <c:v>4721.8500000000004</c:v>
                </c:pt>
                <c:pt idx="151">
                  <c:v>4927.54</c:v>
                </c:pt>
                <c:pt idx="152">
                  <c:v>5327.91</c:v>
                </c:pt>
                <c:pt idx="153">
                  <c:v>4108.53</c:v>
                </c:pt>
                <c:pt idx="154">
                  <c:v>3421.04</c:v>
                </c:pt>
                <c:pt idx="155">
                  <c:v>4349.22</c:v>
                </c:pt>
                <c:pt idx="156">
                  <c:v>4098.09</c:v>
                </c:pt>
                <c:pt idx="157">
                  <c:v>3796.2</c:v>
                </c:pt>
                <c:pt idx="158">
                  <c:v>3464.26</c:v>
                </c:pt>
                <c:pt idx="159">
                  <c:v>3775</c:v>
                </c:pt>
                <c:pt idx="160">
                  <c:v>5726.22</c:v>
                </c:pt>
                <c:pt idx="161">
                  <c:v>5008.5200000000004</c:v>
                </c:pt>
                <c:pt idx="162">
                  <c:v>4958.38</c:v>
                </c:pt>
                <c:pt idx="163">
                  <c:v>4397.03</c:v>
                </c:pt>
                <c:pt idx="164">
                  <c:v>4513.07</c:v>
                </c:pt>
                <c:pt idx="165">
                  <c:v>3510.15</c:v>
                </c:pt>
                <c:pt idx="166">
                  <c:v>3117.31</c:v>
                </c:pt>
                <c:pt idx="167">
                  <c:v>2776.43</c:v>
                </c:pt>
                <c:pt idx="168">
                  <c:v>1998.56</c:v>
                </c:pt>
                <c:pt idx="169">
                  <c:v>1627.58</c:v>
                </c:pt>
                <c:pt idx="170">
                  <c:v>1406.88</c:v>
                </c:pt>
                <c:pt idx="171">
                  <c:v>865.54</c:v>
                </c:pt>
                <c:pt idx="172">
                  <c:v>2650.95</c:v>
                </c:pt>
                <c:pt idx="173">
                  <c:v>2962.09</c:v>
                </c:pt>
                <c:pt idx="174">
                  <c:v>1883.09</c:v>
                </c:pt>
                <c:pt idx="175">
                  <c:v>1548.08</c:v>
                </c:pt>
                <c:pt idx="176">
                  <c:v>683.32</c:v>
                </c:pt>
                <c:pt idx="177">
                  <c:v>494.73</c:v>
                </c:pt>
                <c:pt idx="178">
                  <c:v>485.12</c:v>
                </c:pt>
                <c:pt idx="179">
                  <c:v>775</c:v>
                </c:pt>
                <c:pt idx="180">
                  <c:v>1348.57</c:v>
                </c:pt>
                <c:pt idx="181">
                  <c:v>2921.06</c:v>
                </c:pt>
                <c:pt idx="182">
                  <c:v>4085.61</c:v>
                </c:pt>
                <c:pt idx="183">
                  <c:v>4468.6400000000003</c:v>
                </c:pt>
                <c:pt idx="184">
                  <c:v>5174.18</c:v>
                </c:pt>
                <c:pt idx="185">
                  <c:v>5374.41</c:v>
                </c:pt>
                <c:pt idx="186">
                  <c:v>5498.97</c:v>
                </c:pt>
                <c:pt idx="187">
                  <c:v>4609.26</c:v>
                </c:pt>
                <c:pt idx="188">
                  <c:v>4322.62</c:v>
                </c:pt>
                <c:pt idx="189">
                  <c:v>3848.14</c:v>
                </c:pt>
                <c:pt idx="190">
                  <c:v>4160.3100000000004</c:v>
                </c:pt>
                <c:pt idx="191">
                  <c:v>5007.0200000000004</c:v>
                </c:pt>
                <c:pt idx="192">
                  <c:v>4815.5200000000004</c:v>
                </c:pt>
                <c:pt idx="193">
                  <c:v>5373.64</c:v>
                </c:pt>
                <c:pt idx="194">
                  <c:v>6617.17</c:v>
                </c:pt>
                <c:pt idx="195">
                  <c:v>6721.42</c:v>
                </c:pt>
                <c:pt idx="196">
                  <c:v>6789.59</c:v>
                </c:pt>
                <c:pt idx="197">
                  <c:v>7130</c:v>
                </c:pt>
                <c:pt idx="198">
                  <c:v>8411.0300000000007</c:v>
                </c:pt>
                <c:pt idx="199">
                  <c:v>8477.17</c:v>
                </c:pt>
                <c:pt idx="200">
                  <c:v>7530.08</c:v>
                </c:pt>
                <c:pt idx="201">
                  <c:v>7634.59</c:v>
                </c:pt>
                <c:pt idx="202">
                  <c:v>6699.76</c:v>
                </c:pt>
                <c:pt idx="203">
                  <c:v>6930.07</c:v>
                </c:pt>
                <c:pt idx="204">
                  <c:v>7535.7</c:v>
                </c:pt>
                <c:pt idx="205">
                  <c:v>6676.78</c:v>
                </c:pt>
                <c:pt idx="206">
                  <c:v>6306.18</c:v>
                </c:pt>
                <c:pt idx="207">
                  <c:v>7327.21</c:v>
                </c:pt>
                <c:pt idx="208">
                  <c:v>7130.64</c:v>
                </c:pt>
                <c:pt idx="209">
                  <c:v>7434.64</c:v>
                </c:pt>
                <c:pt idx="210">
                  <c:v>7278.56</c:v>
                </c:pt>
                <c:pt idx="211">
                  <c:v>7735.44</c:v>
                </c:pt>
                <c:pt idx="212">
                  <c:v>8151.59</c:v>
                </c:pt>
                <c:pt idx="213">
                  <c:v>8654.81</c:v>
                </c:pt>
                <c:pt idx="214">
                  <c:v>8215.75</c:v>
                </c:pt>
                <c:pt idx="215">
                  <c:v>8318.7999999999993</c:v>
                </c:pt>
                <c:pt idx="216">
                  <c:v>7887.59</c:v>
                </c:pt>
                <c:pt idx="217">
                  <c:v>7676.72</c:v>
                </c:pt>
                <c:pt idx="218">
                  <c:v>7605.5</c:v>
                </c:pt>
                <c:pt idx="219">
                  <c:v>7483.88</c:v>
                </c:pt>
                <c:pt idx="220">
                  <c:v>8126.05</c:v>
                </c:pt>
                <c:pt idx="221">
                  <c:v>7722.6</c:v>
                </c:pt>
                <c:pt idx="222">
                  <c:v>7328.28</c:v>
                </c:pt>
                <c:pt idx="223">
                  <c:v>6725.37</c:v>
                </c:pt>
                <c:pt idx="224">
                  <c:v>9299.32</c:v>
                </c:pt>
                <c:pt idx="225">
                  <c:v>9293.7900000000009</c:v>
                </c:pt>
                <c:pt idx="226">
                  <c:v>8904.42</c:v>
                </c:pt>
                <c:pt idx="227">
                  <c:v>8168.09</c:v>
                </c:pt>
                <c:pt idx="228">
                  <c:v>7061.08</c:v>
                </c:pt>
                <c:pt idx="229">
                  <c:v>7108.82</c:v>
                </c:pt>
                <c:pt idx="230">
                  <c:v>7160.2</c:v>
                </c:pt>
                <c:pt idx="231">
                  <c:v>7033.14</c:v>
                </c:pt>
                <c:pt idx="232">
                  <c:v>6502.12</c:v>
                </c:pt>
                <c:pt idx="233">
                  <c:v>7821.58</c:v>
                </c:pt>
                <c:pt idx="234">
                  <c:v>7442.06</c:v>
                </c:pt>
                <c:pt idx="235">
                  <c:v>7456.08</c:v>
                </c:pt>
                <c:pt idx="236">
                  <c:v>7223.28</c:v>
                </c:pt>
                <c:pt idx="237">
                  <c:v>7667.79</c:v>
                </c:pt>
                <c:pt idx="238">
                  <c:v>7674.19</c:v>
                </c:pt>
                <c:pt idx="239">
                  <c:v>8540.01</c:v>
                </c:pt>
                <c:pt idx="240">
                  <c:v>7852.33</c:v>
                </c:pt>
                <c:pt idx="241">
                  <c:v>7888.23</c:v>
                </c:pt>
                <c:pt idx="242">
                  <c:v>7347.27</c:v>
                </c:pt>
                <c:pt idx="243">
                  <c:v>7570.77</c:v>
                </c:pt>
                <c:pt idx="244">
                  <c:v>7710.47</c:v>
                </c:pt>
                <c:pt idx="245">
                  <c:v>7255.77</c:v>
                </c:pt>
                <c:pt idx="246">
                  <c:v>8393.98</c:v>
                </c:pt>
                <c:pt idx="247">
                  <c:v>7789.1</c:v>
                </c:pt>
                <c:pt idx="248">
                  <c:v>8234.1200000000008</c:v>
                </c:pt>
                <c:pt idx="249">
                  <c:v>7873.95</c:v>
                </c:pt>
                <c:pt idx="250">
                  <c:v>8147.51</c:v>
                </c:pt>
                <c:pt idx="251">
                  <c:v>8174.1</c:v>
                </c:pt>
                <c:pt idx="252">
                  <c:v>8471.3700000000008</c:v>
                </c:pt>
                <c:pt idx="253">
                  <c:v>8402.27</c:v>
                </c:pt>
                <c:pt idx="254">
                  <c:v>8088.57</c:v>
                </c:pt>
                <c:pt idx="255">
                  <c:v>7378.34</c:v>
                </c:pt>
                <c:pt idx="256">
                  <c:v>7827.04</c:v>
                </c:pt>
                <c:pt idx="257">
                  <c:v>8150.11</c:v>
                </c:pt>
                <c:pt idx="258">
                  <c:v>7113.54</c:v>
                </c:pt>
                <c:pt idx="259">
                  <c:v>8039.75</c:v>
                </c:pt>
                <c:pt idx="260">
                  <c:v>7350.39</c:v>
                </c:pt>
                <c:pt idx="261">
                  <c:v>7218.92</c:v>
                </c:pt>
                <c:pt idx="262">
                  <c:v>6205.31</c:v>
                </c:pt>
                <c:pt idx="263">
                  <c:v>6511.87</c:v>
                </c:pt>
                <c:pt idx="264">
                  <c:v>6654.85</c:v>
                </c:pt>
                <c:pt idx="265">
                  <c:v>8115.49</c:v>
                </c:pt>
                <c:pt idx="266">
                  <c:v>8179.53</c:v>
                </c:pt>
                <c:pt idx="267">
                  <c:v>8091.54</c:v>
                </c:pt>
                <c:pt idx="268">
                  <c:v>7389.38</c:v>
                </c:pt>
                <c:pt idx="269">
                  <c:v>5685.5</c:v>
                </c:pt>
                <c:pt idx="270">
                  <c:v>5228.18</c:v>
                </c:pt>
                <c:pt idx="271">
                  <c:v>4507.13</c:v>
                </c:pt>
                <c:pt idx="272">
                  <c:v>4157.99</c:v>
                </c:pt>
                <c:pt idx="273">
                  <c:v>3159.7</c:v>
                </c:pt>
                <c:pt idx="274">
                  <c:v>3016.24</c:v>
                </c:pt>
                <c:pt idx="275">
                  <c:v>3151.89</c:v>
                </c:pt>
                <c:pt idx="276">
                  <c:v>6387.83</c:v>
                </c:pt>
                <c:pt idx="277">
                  <c:v>5761.59</c:v>
                </c:pt>
                <c:pt idx="278">
                  <c:v>6776.57</c:v>
                </c:pt>
                <c:pt idx="279">
                  <c:v>5958.6</c:v>
                </c:pt>
                <c:pt idx="280">
                  <c:v>5624.33</c:v>
                </c:pt>
                <c:pt idx="281">
                  <c:v>4758.8599999999997</c:v>
                </c:pt>
                <c:pt idx="282">
                  <c:v>4366.2700000000004</c:v>
                </c:pt>
                <c:pt idx="283">
                  <c:v>3761.6</c:v>
                </c:pt>
                <c:pt idx="284">
                  <c:v>2770.25</c:v>
                </c:pt>
                <c:pt idx="285">
                  <c:v>3838.51</c:v>
                </c:pt>
                <c:pt idx="286">
                  <c:v>3345.79</c:v>
                </c:pt>
                <c:pt idx="287">
                  <c:v>3722.32</c:v>
                </c:pt>
                <c:pt idx="288">
                  <c:v>3110.48</c:v>
                </c:pt>
                <c:pt idx="289">
                  <c:v>3120.85</c:v>
                </c:pt>
                <c:pt idx="290">
                  <c:v>3335.38</c:v>
                </c:pt>
                <c:pt idx="291">
                  <c:v>4194.46</c:v>
                </c:pt>
                <c:pt idx="292">
                  <c:v>4643.1499999999996</c:v>
                </c:pt>
                <c:pt idx="293">
                  <c:v>5154.6899999999996</c:v>
                </c:pt>
                <c:pt idx="294">
                  <c:v>5260.63</c:v>
                </c:pt>
                <c:pt idx="295">
                  <c:v>5957.98</c:v>
                </c:pt>
                <c:pt idx="296">
                  <c:v>6619.39</c:v>
                </c:pt>
                <c:pt idx="297">
                  <c:v>6675.85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0-4682-A4EF-01329ABE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/>
                  <a:t>TGA</a:t>
                </a:r>
                <a:r>
                  <a:rPr lang="zh-CN" altLang="en-US"/>
                  <a:t>账户（单位：亿美元）</a:t>
                </a:r>
              </a:p>
            </c:rich>
          </c:tx>
          <c:layout>
            <c:manualLayout>
              <c:xMode val="edge"/>
              <c:yMode val="edge"/>
              <c:x val="2.0578703703703703E-2"/>
              <c:y val="0.17727083333333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美联储负债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040162037037036"/>
          <c:y val="0.20328819444444443"/>
          <c:w val="0.63919675925925923"/>
          <c:h val="0.5222951388888889"/>
        </c:manualLayout>
      </c:layout>
      <c:lineChart>
        <c:grouping val="standard"/>
        <c:varyColors val="0"/>
        <c:ser>
          <c:idx val="0"/>
          <c:order val="0"/>
          <c:tx>
            <c:strRef>
              <c:f>资产负债表!$R$3</c:f>
              <c:strCache>
                <c:ptCount val="1"/>
                <c:pt idx="0">
                  <c:v>存款准备金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资产负债表!$I$8:$I$305</c:f>
              <c:numCache>
                <c:formatCode>yyyy\-mm\-dd</c:formatCode>
                <c:ptCount val="298"/>
                <c:pt idx="0">
                  <c:v>43859</c:v>
                </c:pt>
                <c:pt idx="1">
                  <c:v>43866</c:v>
                </c:pt>
                <c:pt idx="2">
                  <c:v>43873</c:v>
                </c:pt>
                <c:pt idx="3">
                  <c:v>43880</c:v>
                </c:pt>
                <c:pt idx="4">
                  <c:v>43887</c:v>
                </c:pt>
                <c:pt idx="5">
                  <c:v>43894</c:v>
                </c:pt>
                <c:pt idx="6">
                  <c:v>43901</c:v>
                </c:pt>
                <c:pt idx="7">
                  <c:v>43908</c:v>
                </c:pt>
                <c:pt idx="8">
                  <c:v>43915</c:v>
                </c:pt>
                <c:pt idx="9">
                  <c:v>43922</c:v>
                </c:pt>
                <c:pt idx="10">
                  <c:v>43929</c:v>
                </c:pt>
                <c:pt idx="11">
                  <c:v>43936</c:v>
                </c:pt>
                <c:pt idx="12">
                  <c:v>43943</c:v>
                </c:pt>
                <c:pt idx="13">
                  <c:v>43950</c:v>
                </c:pt>
                <c:pt idx="14">
                  <c:v>43957</c:v>
                </c:pt>
                <c:pt idx="15">
                  <c:v>43964</c:v>
                </c:pt>
                <c:pt idx="16">
                  <c:v>43971</c:v>
                </c:pt>
                <c:pt idx="17">
                  <c:v>43978</c:v>
                </c:pt>
                <c:pt idx="18">
                  <c:v>43985</c:v>
                </c:pt>
                <c:pt idx="19">
                  <c:v>43992</c:v>
                </c:pt>
                <c:pt idx="20">
                  <c:v>43999</c:v>
                </c:pt>
                <c:pt idx="21">
                  <c:v>44006</c:v>
                </c:pt>
                <c:pt idx="22">
                  <c:v>44013</c:v>
                </c:pt>
                <c:pt idx="23">
                  <c:v>44020</c:v>
                </c:pt>
                <c:pt idx="24">
                  <c:v>44027</c:v>
                </c:pt>
                <c:pt idx="25">
                  <c:v>44034</c:v>
                </c:pt>
                <c:pt idx="26">
                  <c:v>44041</c:v>
                </c:pt>
                <c:pt idx="27">
                  <c:v>44048</c:v>
                </c:pt>
                <c:pt idx="28">
                  <c:v>44055</c:v>
                </c:pt>
                <c:pt idx="29">
                  <c:v>44062</c:v>
                </c:pt>
                <c:pt idx="30">
                  <c:v>44069</c:v>
                </c:pt>
                <c:pt idx="31">
                  <c:v>44076</c:v>
                </c:pt>
                <c:pt idx="32">
                  <c:v>44083</c:v>
                </c:pt>
                <c:pt idx="33">
                  <c:v>44090</c:v>
                </c:pt>
                <c:pt idx="34">
                  <c:v>44097</c:v>
                </c:pt>
                <c:pt idx="35">
                  <c:v>44104</c:v>
                </c:pt>
                <c:pt idx="36">
                  <c:v>44111</c:v>
                </c:pt>
                <c:pt idx="37">
                  <c:v>44118</c:v>
                </c:pt>
                <c:pt idx="38">
                  <c:v>44125</c:v>
                </c:pt>
                <c:pt idx="39">
                  <c:v>44132</c:v>
                </c:pt>
                <c:pt idx="40">
                  <c:v>44139</c:v>
                </c:pt>
                <c:pt idx="41">
                  <c:v>44146</c:v>
                </c:pt>
                <c:pt idx="42">
                  <c:v>44153</c:v>
                </c:pt>
                <c:pt idx="43">
                  <c:v>44160</c:v>
                </c:pt>
                <c:pt idx="44">
                  <c:v>44167</c:v>
                </c:pt>
                <c:pt idx="45">
                  <c:v>44174</c:v>
                </c:pt>
                <c:pt idx="46">
                  <c:v>44181</c:v>
                </c:pt>
                <c:pt idx="47">
                  <c:v>44188</c:v>
                </c:pt>
                <c:pt idx="48">
                  <c:v>44195</c:v>
                </c:pt>
                <c:pt idx="49">
                  <c:v>44202</c:v>
                </c:pt>
                <c:pt idx="50">
                  <c:v>44209</c:v>
                </c:pt>
                <c:pt idx="51">
                  <c:v>44216</c:v>
                </c:pt>
                <c:pt idx="52">
                  <c:v>44223</c:v>
                </c:pt>
                <c:pt idx="53">
                  <c:v>44230</c:v>
                </c:pt>
                <c:pt idx="54">
                  <c:v>44237</c:v>
                </c:pt>
                <c:pt idx="55">
                  <c:v>44244</c:v>
                </c:pt>
                <c:pt idx="56">
                  <c:v>44251</c:v>
                </c:pt>
                <c:pt idx="57">
                  <c:v>44258</c:v>
                </c:pt>
                <c:pt idx="58">
                  <c:v>44265</c:v>
                </c:pt>
                <c:pt idx="59">
                  <c:v>44272</c:v>
                </c:pt>
                <c:pt idx="60">
                  <c:v>44279</c:v>
                </c:pt>
                <c:pt idx="61">
                  <c:v>44286</c:v>
                </c:pt>
                <c:pt idx="62">
                  <c:v>44293</c:v>
                </c:pt>
                <c:pt idx="63">
                  <c:v>44300</c:v>
                </c:pt>
                <c:pt idx="64">
                  <c:v>44307</c:v>
                </c:pt>
                <c:pt idx="65">
                  <c:v>44314</c:v>
                </c:pt>
                <c:pt idx="66">
                  <c:v>44321</c:v>
                </c:pt>
                <c:pt idx="67">
                  <c:v>44328</c:v>
                </c:pt>
                <c:pt idx="68">
                  <c:v>44335</c:v>
                </c:pt>
                <c:pt idx="69">
                  <c:v>44342</c:v>
                </c:pt>
                <c:pt idx="70">
                  <c:v>44349</c:v>
                </c:pt>
                <c:pt idx="71">
                  <c:v>44356</c:v>
                </c:pt>
                <c:pt idx="72">
                  <c:v>44363</c:v>
                </c:pt>
                <c:pt idx="73">
                  <c:v>44370</c:v>
                </c:pt>
                <c:pt idx="74">
                  <c:v>44377</c:v>
                </c:pt>
                <c:pt idx="75">
                  <c:v>44384</c:v>
                </c:pt>
                <c:pt idx="76">
                  <c:v>44391</c:v>
                </c:pt>
                <c:pt idx="77">
                  <c:v>44398</c:v>
                </c:pt>
                <c:pt idx="78">
                  <c:v>44405</c:v>
                </c:pt>
                <c:pt idx="79">
                  <c:v>44412</c:v>
                </c:pt>
                <c:pt idx="80">
                  <c:v>44419</c:v>
                </c:pt>
                <c:pt idx="81">
                  <c:v>44426</c:v>
                </c:pt>
                <c:pt idx="82">
                  <c:v>44433</c:v>
                </c:pt>
                <c:pt idx="83">
                  <c:v>44440</c:v>
                </c:pt>
                <c:pt idx="84">
                  <c:v>44447</c:v>
                </c:pt>
                <c:pt idx="85">
                  <c:v>44454</c:v>
                </c:pt>
                <c:pt idx="86">
                  <c:v>44461</c:v>
                </c:pt>
                <c:pt idx="87">
                  <c:v>44468</c:v>
                </c:pt>
                <c:pt idx="88">
                  <c:v>44475</c:v>
                </c:pt>
                <c:pt idx="89">
                  <c:v>44482</c:v>
                </c:pt>
                <c:pt idx="90">
                  <c:v>44489</c:v>
                </c:pt>
                <c:pt idx="91">
                  <c:v>44496</c:v>
                </c:pt>
                <c:pt idx="92">
                  <c:v>44503</c:v>
                </c:pt>
                <c:pt idx="93">
                  <c:v>44510</c:v>
                </c:pt>
                <c:pt idx="94">
                  <c:v>44517</c:v>
                </c:pt>
                <c:pt idx="95">
                  <c:v>44524</c:v>
                </c:pt>
                <c:pt idx="96">
                  <c:v>44531</c:v>
                </c:pt>
                <c:pt idx="97">
                  <c:v>44538</c:v>
                </c:pt>
                <c:pt idx="98">
                  <c:v>44545</c:v>
                </c:pt>
                <c:pt idx="99">
                  <c:v>44552</c:v>
                </c:pt>
                <c:pt idx="100">
                  <c:v>44559</c:v>
                </c:pt>
                <c:pt idx="101">
                  <c:v>44566</c:v>
                </c:pt>
                <c:pt idx="102">
                  <c:v>44573</c:v>
                </c:pt>
                <c:pt idx="103">
                  <c:v>44580</c:v>
                </c:pt>
                <c:pt idx="104">
                  <c:v>44587</c:v>
                </c:pt>
                <c:pt idx="105">
                  <c:v>44594</c:v>
                </c:pt>
                <c:pt idx="106">
                  <c:v>44601</c:v>
                </c:pt>
                <c:pt idx="107">
                  <c:v>44608</c:v>
                </c:pt>
                <c:pt idx="108">
                  <c:v>44615</c:v>
                </c:pt>
                <c:pt idx="109">
                  <c:v>44622</c:v>
                </c:pt>
                <c:pt idx="110">
                  <c:v>44629</c:v>
                </c:pt>
                <c:pt idx="111">
                  <c:v>44636</c:v>
                </c:pt>
                <c:pt idx="112">
                  <c:v>44643</c:v>
                </c:pt>
                <c:pt idx="113">
                  <c:v>44650</c:v>
                </c:pt>
                <c:pt idx="114">
                  <c:v>44657</c:v>
                </c:pt>
                <c:pt idx="115">
                  <c:v>44664</c:v>
                </c:pt>
                <c:pt idx="116">
                  <c:v>44671</c:v>
                </c:pt>
                <c:pt idx="117">
                  <c:v>44678</c:v>
                </c:pt>
                <c:pt idx="118">
                  <c:v>44685</c:v>
                </c:pt>
                <c:pt idx="119">
                  <c:v>44692</c:v>
                </c:pt>
                <c:pt idx="120">
                  <c:v>44699</c:v>
                </c:pt>
                <c:pt idx="121">
                  <c:v>44706</c:v>
                </c:pt>
                <c:pt idx="122">
                  <c:v>44713</c:v>
                </c:pt>
                <c:pt idx="123">
                  <c:v>44720</c:v>
                </c:pt>
                <c:pt idx="124">
                  <c:v>44727</c:v>
                </c:pt>
                <c:pt idx="125">
                  <c:v>44734</c:v>
                </c:pt>
                <c:pt idx="126">
                  <c:v>44741</c:v>
                </c:pt>
                <c:pt idx="127">
                  <c:v>44748</c:v>
                </c:pt>
                <c:pt idx="128">
                  <c:v>44755</c:v>
                </c:pt>
                <c:pt idx="129">
                  <c:v>44762</c:v>
                </c:pt>
                <c:pt idx="130">
                  <c:v>44769</c:v>
                </c:pt>
                <c:pt idx="131">
                  <c:v>44776</c:v>
                </c:pt>
                <c:pt idx="132">
                  <c:v>44783</c:v>
                </c:pt>
                <c:pt idx="133">
                  <c:v>44790</c:v>
                </c:pt>
                <c:pt idx="134">
                  <c:v>44797</c:v>
                </c:pt>
                <c:pt idx="135">
                  <c:v>44804</c:v>
                </c:pt>
                <c:pt idx="136">
                  <c:v>44811</c:v>
                </c:pt>
                <c:pt idx="137">
                  <c:v>44818</c:v>
                </c:pt>
                <c:pt idx="138">
                  <c:v>44825</c:v>
                </c:pt>
                <c:pt idx="139">
                  <c:v>44832</c:v>
                </c:pt>
                <c:pt idx="140">
                  <c:v>44839</c:v>
                </c:pt>
                <c:pt idx="141">
                  <c:v>44846</c:v>
                </c:pt>
                <c:pt idx="142">
                  <c:v>44853</c:v>
                </c:pt>
                <c:pt idx="143">
                  <c:v>44860</c:v>
                </c:pt>
                <c:pt idx="144">
                  <c:v>44867</c:v>
                </c:pt>
                <c:pt idx="145">
                  <c:v>44874</c:v>
                </c:pt>
                <c:pt idx="146">
                  <c:v>44881</c:v>
                </c:pt>
                <c:pt idx="147">
                  <c:v>44888</c:v>
                </c:pt>
                <c:pt idx="148">
                  <c:v>44895</c:v>
                </c:pt>
                <c:pt idx="149">
                  <c:v>44902</c:v>
                </c:pt>
                <c:pt idx="150">
                  <c:v>44909</c:v>
                </c:pt>
                <c:pt idx="151">
                  <c:v>44916</c:v>
                </c:pt>
                <c:pt idx="152">
                  <c:v>44923</c:v>
                </c:pt>
                <c:pt idx="153">
                  <c:v>44930</c:v>
                </c:pt>
                <c:pt idx="154">
                  <c:v>44937</c:v>
                </c:pt>
                <c:pt idx="155">
                  <c:v>44944</c:v>
                </c:pt>
                <c:pt idx="156">
                  <c:v>44951</c:v>
                </c:pt>
                <c:pt idx="157">
                  <c:v>44958</c:v>
                </c:pt>
                <c:pt idx="158">
                  <c:v>44965</c:v>
                </c:pt>
                <c:pt idx="159">
                  <c:v>44972</c:v>
                </c:pt>
                <c:pt idx="160">
                  <c:v>44979</c:v>
                </c:pt>
                <c:pt idx="161">
                  <c:v>44986</c:v>
                </c:pt>
                <c:pt idx="162">
                  <c:v>44993</c:v>
                </c:pt>
                <c:pt idx="163">
                  <c:v>45000</c:v>
                </c:pt>
                <c:pt idx="164">
                  <c:v>45007</c:v>
                </c:pt>
                <c:pt idx="165">
                  <c:v>45014</c:v>
                </c:pt>
                <c:pt idx="166">
                  <c:v>45021</c:v>
                </c:pt>
                <c:pt idx="167">
                  <c:v>45028</c:v>
                </c:pt>
                <c:pt idx="168">
                  <c:v>45035</c:v>
                </c:pt>
                <c:pt idx="169">
                  <c:v>45042</c:v>
                </c:pt>
                <c:pt idx="170">
                  <c:v>45049</c:v>
                </c:pt>
                <c:pt idx="171">
                  <c:v>45056</c:v>
                </c:pt>
                <c:pt idx="172">
                  <c:v>45063</c:v>
                </c:pt>
                <c:pt idx="173">
                  <c:v>45070</c:v>
                </c:pt>
                <c:pt idx="174">
                  <c:v>45077</c:v>
                </c:pt>
                <c:pt idx="175">
                  <c:v>45084</c:v>
                </c:pt>
                <c:pt idx="176">
                  <c:v>45091</c:v>
                </c:pt>
                <c:pt idx="177">
                  <c:v>45098</c:v>
                </c:pt>
                <c:pt idx="178">
                  <c:v>45105</c:v>
                </c:pt>
                <c:pt idx="179">
                  <c:v>45112</c:v>
                </c:pt>
                <c:pt idx="180">
                  <c:v>45119</c:v>
                </c:pt>
                <c:pt idx="181">
                  <c:v>45126</c:v>
                </c:pt>
                <c:pt idx="182">
                  <c:v>45133</c:v>
                </c:pt>
                <c:pt idx="183">
                  <c:v>45140</c:v>
                </c:pt>
                <c:pt idx="184">
                  <c:v>45147</c:v>
                </c:pt>
                <c:pt idx="185">
                  <c:v>45154</c:v>
                </c:pt>
                <c:pt idx="186">
                  <c:v>45161</c:v>
                </c:pt>
                <c:pt idx="187">
                  <c:v>45168</c:v>
                </c:pt>
                <c:pt idx="188">
                  <c:v>45175</c:v>
                </c:pt>
                <c:pt idx="189">
                  <c:v>45182</c:v>
                </c:pt>
                <c:pt idx="190">
                  <c:v>45189</c:v>
                </c:pt>
                <c:pt idx="191">
                  <c:v>45196</c:v>
                </c:pt>
                <c:pt idx="192">
                  <c:v>45203</c:v>
                </c:pt>
                <c:pt idx="193">
                  <c:v>45210</c:v>
                </c:pt>
                <c:pt idx="194">
                  <c:v>45217</c:v>
                </c:pt>
                <c:pt idx="195">
                  <c:v>45224</c:v>
                </c:pt>
                <c:pt idx="196">
                  <c:v>45231</c:v>
                </c:pt>
                <c:pt idx="197">
                  <c:v>45238</c:v>
                </c:pt>
                <c:pt idx="198">
                  <c:v>45245</c:v>
                </c:pt>
                <c:pt idx="199">
                  <c:v>45252</c:v>
                </c:pt>
                <c:pt idx="200">
                  <c:v>45259</c:v>
                </c:pt>
                <c:pt idx="201">
                  <c:v>45266</c:v>
                </c:pt>
                <c:pt idx="202">
                  <c:v>45273</c:v>
                </c:pt>
                <c:pt idx="203">
                  <c:v>45280</c:v>
                </c:pt>
                <c:pt idx="204">
                  <c:v>45287</c:v>
                </c:pt>
                <c:pt idx="205">
                  <c:v>45294</c:v>
                </c:pt>
                <c:pt idx="206">
                  <c:v>45301</c:v>
                </c:pt>
                <c:pt idx="207">
                  <c:v>45308</c:v>
                </c:pt>
                <c:pt idx="208">
                  <c:v>45315</c:v>
                </c:pt>
                <c:pt idx="209">
                  <c:v>45322</c:v>
                </c:pt>
                <c:pt idx="210">
                  <c:v>45329</c:v>
                </c:pt>
                <c:pt idx="211">
                  <c:v>45336</c:v>
                </c:pt>
                <c:pt idx="212">
                  <c:v>45343</c:v>
                </c:pt>
                <c:pt idx="213">
                  <c:v>45350</c:v>
                </c:pt>
                <c:pt idx="214">
                  <c:v>45357</c:v>
                </c:pt>
                <c:pt idx="215">
                  <c:v>45364</c:v>
                </c:pt>
                <c:pt idx="216">
                  <c:v>45371</c:v>
                </c:pt>
                <c:pt idx="217">
                  <c:v>45378</c:v>
                </c:pt>
                <c:pt idx="218">
                  <c:v>45385</c:v>
                </c:pt>
                <c:pt idx="219">
                  <c:v>45392</c:v>
                </c:pt>
                <c:pt idx="220">
                  <c:v>45399</c:v>
                </c:pt>
                <c:pt idx="221">
                  <c:v>45406</c:v>
                </c:pt>
                <c:pt idx="222">
                  <c:v>45413</c:v>
                </c:pt>
                <c:pt idx="223">
                  <c:v>45420</c:v>
                </c:pt>
                <c:pt idx="224">
                  <c:v>45427</c:v>
                </c:pt>
                <c:pt idx="225">
                  <c:v>45434</c:v>
                </c:pt>
                <c:pt idx="226">
                  <c:v>45441</c:v>
                </c:pt>
                <c:pt idx="227">
                  <c:v>45448</c:v>
                </c:pt>
                <c:pt idx="228">
                  <c:v>45455</c:v>
                </c:pt>
                <c:pt idx="229">
                  <c:v>45462</c:v>
                </c:pt>
                <c:pt idx="230">
                  <c:v>45469</c:v>
                </c:pt>
                <c:pt idx="231">
                  <c:v>45476</c:v>
                </c:pt>
                <c:pt idx="232">
                  <c:v>45483</c:v>
                </c:pt>
                <c:pt idx="233">
                  <c:v>45490</c:v>
                </c:pt>
                <c:pt idx="234">
                  <c:v>45497</c:v>
                </c:pt>
                <c:pt idx="235">
                  <c:v>45504</c:v>
                </c:pt>
                <c:pt idx="236">
                  <c:v>45511</c:v>
                </c:pt>
                <c:pt idx="237">
                  <c:v>45518</c:v>
                </c:pt>
                <c:pt idx="238">
                  <c:v>45525</c:v>
                </c:pt>
                <c:pt idx="239">
                  <c:v>45532</c:v>
                </c:pt>
                <c:pt idx="240">
                  <c:v>45539</c:v>
                </c:pt>
                <c:pt idx="241">
                  <c:v>45546</c:v>
                </c:pt>
                <c:pt idx="242">
                  <c:v>45553</c:v>
                </c:pt>
                <c:pt idx="243">
                  <c:v>45560</c:v>
                </c:pt>
                <c:pt idx="244">
                  <c:v>45567</c:v>
                </c:pt>
                <c:pt idx="245">
                  <c:v>45574</c:v>
                </c:pt>
                <c:pt idx="246">
                  <c:v>45581</c:v>
                </c:pt>
                <c:pt idx="247">
                  <c:v>45588</c:v>
                </c:pt>
                <c:pt idx="248">
                  <c:v>45595</c:v>
                </c:pt>
                <c:pt idx="249">
                  <c:v>45602</c:v>
                </c:pt>
                <c:pt idx="250">
                  <c:v>45609</c:v>
                </c:pt>
                <c:pt idx="251">
                  <c:v>45616</c:v>
                </c:pt>
                <c:pt idx="252">
                  <c:v>45623</c:v>
                </c:pt>
                <c:pt idx="253">
                  <c:v>45630</c:v>
                </c:pt>
                <c:pt idx="254">
                  <c:v>45637</c:v>
                </c:pt>
                <c:pt idx="255">
                  <c:v>45644</c:v>
                </c:pt>
                <c:pt idx="256">
                  <c:v>45651</c:v>
                </c:pt>
                <c:pt idx="257">
                  <c:v>45658</c:v>
                </c:pt>
                <c:pt idx="258">
                  <c:v>45665</c:v>
                </c:pt>
                <c:pt idx="259">
                  <c:v>45672</c:v>
                </c:pt>
                <c:pt idx="260">
                  <c:v>45679</c:v>
                </c:pt>
                <c:pt idx="261">
                  <c:v>45686</c:v>
                </c:pt>
                <c:pt idx="262">
                  <c:v>45693</c:v>
                </c:pt>
                <c:pt idx="263">
                  <c:v>45700</c:v>
                </c:pt>
                <c:pt idx="264">
                  <c:v>45707</c:v>
                </c:pt>
                <c:pt idx="265">
                  <c:v>45714</c:v>
                </c:pt>
                <c:pt idx="266">
                  <c:v>45721</c:v>
                </c:pt>
                <c:pt idx="267">
                  <c:v>45728</c:v>
                </c:pt>
                <c:pt idx="268">
                  <c:v>45735</c:v>
                </c:pt>
                <c:pt idx="269">
                  <c:v>45742</c:v>
                </c:pt>
                <c:pt idx="270">
                  <c:v>45749</c:v>
                </c:pt>
                <c:pt idx="271">
                  <c:v>45756</c:v>
                </c:pt>
                <c:pt idx="272">
                  <c:v>45763</c:v>
                </c:pt>
                <c:pt idx="273">
                  <c:v>45770</c:v>
                </c:pt>
                <c:pt idx="274">
                  <c:v>45777</c:v>
                </c:pt>
                <c:pt idx="275">
                  <c:v>45784</c:v>
                </c:pt>
                <c:pt idx="276">
                  <c:v>45791</c:v>
                </c:pt>
                <c:pt idx="277">
                  <c:v>45798</c:v>
                </c:pt>
                <c:pt idx="278">
                  <c:v>45805</c:v>
                </c:pt>
                <c:pt idx="279">
                  <c:v>45812</c:v>
                </c:pt>
                <c:pt idx="280">
                  <c:v>45819</c:v>
                </c:pt>
                <c:pt idx="281">
                  <c:v>45826</c:v>
                </c:pt>
                <c:pt idx="282">
                  <c:v>45833</c:v>
                </c:pt>
                <c:pt idx="283">
                  <c:v>45840</c:v>
                </c:pt>
                <c:pt idx="284">
                  <c:v>45847</c:v>
                </c:pt>
                <c:pt idx="285">
                  <c:v>45854</c:v>
                </c:pt>
                <c:pt idx="286">
                  <c:v>45861</c:v>
                </c:pt>
                <c:pt idx="287">
                  <c:v>45868</c:v>
                </c:pt>
                <c:pt idx="288">
                  <c:v>45875</c:v>
                </c:pt>
                <c:pt idx="289">
                  <c:v>45882</c:v>
                </c:pt>
                <c:pt idx="290">
                  <c:v>45889</c:v>
                </c:pt>
                <c:pt idx="291">
                  <c:v>45896</c:v>
                </c:pt>
                <c:pt idx="292">
                  <c:v>45903</c:v>
                </c:pt>
                <c:pt idx="293">
                  <c:v>45910</c:v>
                </c:pt>
                <c:pt idx="294">
                  <c:v>45917</c:v>
                </c:pt>
                <c:pt idx="295">
                  <c:v>45924</c:v>
                </c:pt>
                <c:pt idx="296">
                  <c:v>45931</c:v>
                </c:pt>
                <c:pt idx="297">
                  <c:v>45938</c:v>
                </c:pt>
              </c:numCache>
            </c:numRef>
          </c:cat>
          <c:val>
            <c:numRef>
              <c:f>资产负债表!$R$8:$R$305</c:f>
              <c:numCache>
                <c:formatCode>General</c:formatCode>
                <c:ptCount val="298"/>
                <c:pt idx="0">
                  <c:v>16122.23</c:v>
                </c:pt>
                <c:pt idx="1">
                  <c:v>16528.73</c:v>
                </c:pt>
                <c:pt idx="2">
                  <c:v>16950.82</c:v>
                </c:pt>
                <c:pt idx="3">
                  <c:v>16590.21</c:v>
                </c:pt>
                <c:pt idx="4">
                  <c:v>16800.7</c:v>
                </c:pt>
                <c:pt idx="5">
                  <c:v>17350.060000000001</c:v>
                </c:pt>
                <c:pt idx="6">
                  <c:v>17799.900000000001</c:v>
                </c:pt>
                <c:pt idx="7">
                  <c:v>19453.939999999999</c:v>
                </c:pt>
                <c:pt idx="8">
                  <c:v>23477.47</c:v>
                </c:pt>
                <c:pt idx="9">
                  <c:v>26843.98</c:v>
                </c:pt>
                <c:pt idx="10">
                  <c:v>27745.06</c:v>
                </c:pt>
                <c:pt idx="11">
                  <c:v>30698.74</c:v>
                </c:pt>
                <c:pt idx="12">
                  <c:v>30999.8</c:v>
                </c:pt>
                <c:pt idx="13">
                  <c:v>31635.13</c:v>
                </c:pt>
                <c:pt idx="14">
                  <c:v>31656.06</c:v>
                </c:pt>
                <c:pt idx="15">
                  <c:v>32634.31</c:v>
                </c:pt>
                <c:pt idx="16">
                  <c:v>33042.21</c:v>
                </c:pt>
                <c:pt idx="17">
                  <c:v>33176.879999999997</c:v>
                </c:pt>
                <c:pt idx="18">
                  <c:v>32574.35</c:v>
                </c:pt>
                <c:pt idx="19">
                  <c:v>31906.54</c:v>
                </c:pt>
                <c:pt idx="20">
                  <c:v>30694.39</c:v>
                </c:pt>
                <c:pt idx="21">
                  <c:v>29376.57</c:v>
                </c:pt>
                <c:pt idx="22">
                  <c:v>28631.96</c:v>
                </c:pt>
                <c:pt idx="23">
                  <c:v>28132.959999999999</c:v>
                </c:pt>
                <c:pt idx="24">
                  <c:v>27326.49</c:v>
                </c:pt>
                <c:pt idx="25">
                  <c:v>26596.58</c:v>
                </c:pt>
                <c:pt idx="26">
                  <c:v>26853.759999999998</c:v>
                </c:pt>
                <c:pt idx="27">
                  <c:v>27535.31</c:v>
                </c:pt>
                <c:pt idx="28">
                  <c:v>28281.7</c:v>
                </c:pt>
                <c:pt idx="29">
                  <c:v>28218.53</c:v>
                </c:pt>
                <c:pt idx="30">
                  <c:v>28754</c:v>
                </c:pt>
                <c:pt idx="31">
                  <c:v>28506</c:v>
                </c:pt>
                <c:pt idx="32">
                  <c:v>29068.54</c:v>
                </c:pt>
                <c:pt idx="33">
                  <c:v>28693.11</c:v>
                </c:pt>
                <c:pt idx="34">
                  <c:v>28480.85</c:v>
                </c:pt>
                <c:pt idx="35">
                  <c:v>27432.46</c:v>
                </c:pt>
                <c:pt idx="36">
                  <c:v>28633.57</c:v>
                </c:pt>
                <c:pt idx="37">
                  <c:v>29077.34</c:v>
                </c:pt>
                <c:pt idx="38">
                  <c:v>28901.3</c:v>
                </c:pt>
                <c:pt idx="39">
                  <c:v>29472.560000000001</c:v>
                </c:pt>
                <c:pt idx="40">
                  <c:v>29795.37</c:v>
                </c:pt>
                <c:pt idx="41">
                  <c:v>29920.99</c:v>
                </c:pt>
                <c:pt idx="42">
                  <c:v>30332.29</c:v>
                </c:pt>
                <c:pt idx="43">
                  <c:v>31438.63</c:v>
                </c:pt>
                <c:pt idx="44">
                  <c:v>31012.35</c:v>
                </c:pt>
                <c:pt idx="45">
                  <c:v>31476.560000000001</c:v>
                </c:pt>
                <c:pt idx="46">
                  <c:v>31688.26</c:v>
                </c:pt>
                <c:pt idx="47">
                  <c:v>31773.1</c:v>
                </c:pt>
                <c:pt idx="48">
                  <c:v>31429.77</c:v>
                </c:pt>
                <c:pt idx="49">
                  <c:v>31637.79</c:v>
                </c:pt>
                <c:pt idx="50">
                  <c:v>32008.69</c:v>
                </c:pt>
                <c:pt idx="51">
                  <c:v>31498.07</c:v>
                </c:pt>
                <c:pt idx="52">
                  <c:v>32287.51</c:v>
                </c:pt>
                <c:pt idx="53">
                  <c:v>32027.22</c:v>
                </c:pt>
                <c:pt idx="54">
                  <c:v>32986.39</c:v>
                </c:pt>
                <c:pt idx="55">
                  <c:v>34078.71</c:v>
                </c:pt>
                <c:pt idx="56">
                  <c:v>33842.620000000003</c:v>
                </c:pt>
                <c:pt idx="57">
                  <c:v>35648.5</c:v>
                </c:pt>
                <c:pt idx="58">
                  <c:v>36467.32</c:v>
                </c:pt>
                <c:pt idx="59">
                  <c:v>38733.230000000003</c:v>
                </c:pt>
                <c:pt idx="60">
                  <c:v>38091.39</c:v>
                </c:pt>
                <c:pt idx="61">
                  <c:v>36727.019999999997</c:v>
                </c:pt>
                <c:pt idx="62">
                  <c:v>39440.550000000003</c:v>
                </c:pt>
                <c:pt idx="63">
                  <c:v>39364.54</c:v>
                </c:pt>
                <c:pt idx="64">
                  <c:v>37674.54</c:v>
                </c:pt>
                <c:pt idx="65">
                  <c:v>38890.18</c:v>
                </c:pt>
                <c:pt idx="66">
                  <c:v>39008.03</c:v>
                </c:pt>
                <c:pt idx="67">
                  <c:v>39558.639999999999</c:v>
                </c:pt>
                <c:pt idx="68">
                  <c:v>38239.81</c:v>
                </c:pt>
                <c:pt idx="69">
                  <c:v>38516.230000000003</c:v>
                </c:pt>
                <c:pt idx="70">
                  <c:v>38482.620000000003</c:v>
                </c:pt>
                <c:pt idx="71">
                  <c:v>39167.25</c:v>
                </c:pt>
                <c:pt idx="72">
                  <c:v>39057.360000000001</c:v>
                </c:pt>
                <c:pt idx="73">
                  <c:v>37657.14</c:v>
                </c:pt>
                <c:pt idx="74">
                  <c:v>35116.300000000003</c:v>
                </c:pt>
                <c:pt idx="75">
                  <c:v>38562.03</c:v>
                </c:pt>
                <c:pt idx="76">
                  <c:v>39447</c:v>
                </c:pt>
                <c:pt idx="77">
                  <c:v>39745.47</c:v>
                </c:pt>
                <c:pt idx="78">
                  <c:v>40010.61</c:v>
                </c:pt>
                <c:pt idx="79">
                  <c:v>40458.93</c:v>
                </c:pt>
                <c:pt idx="80">
                  <c:v>41272.9</c:v>
                </c:pt>
                <c:pt idx="81">
                  <c:v>41621.65</c:v>
                </c:pt>
                <c:pt idx="82">
                  <c:v>42034.78</c:v>
                </c:pt>
                <c:pt idx="83">
                  <c:v>42064.49</c:v>
                </c:pt>
                <c:pt idx="84">
                  <c:v>42596.03</c:v>
                </c:pt>
                <c:pt idx="85">
                  <c:v>42446.77</c:v>
                </c:pt>
                <c:pt idx="86">
                  <c:v>41379.19</c:v>
                </c:pt>
                <c:pt idx="87">
                  <c:v>40948.1</c:v>
                </c:pt>
                <c:pt idx="88">
                  <c:v>41675.440000000002</c:v>
                </c:pt>
                <c:pt idx="89">
                  <c:v>42045.1</c:v>
                </c:pt>
                <c:pt idx="90">
                  <c:v>40503.43</c:v>
                </c:pt>
                <c:pt idx="91">
                  <c:v>41231.54</c:v>
                </c:pt>
                <c:pt idx="92">
                  <c:v>41498.300000000003</c:v>
                </c:pt>
                <c:pt idx="93">
                  <c:v>41785.86</c:v>
                </c:pt>
                <c:pt idx="94">
                  <c:v>41888.370000000003</c:v>
                </c:pt>
                <c:pt idx="95">
                  <c:v>41728.07</c:v>
                </c:pt>
                <c:pt idx="96">
                  <c:v>42660.22</c:v>
                </c:pt>
                <c:pt idx="97">
                  <c:v>42556</c:v>
                </c:pt>
                <c:pt idx="98">
                  <c:v>42736.34</c:v>
                </c:pt>
                <c:pt idx="99">
                  <c:v>41049.26</c:v>
                </c:pt>
                <c:pt idx="100">
                  <c:v>40398.6</c:v>
                </c:pt>
                <c:pt idx="101">
                  <c:v>40284.6</c:v>
                </c:pt>
                <c:pt idx="102">
                  <c:v>39289.33</c:v>
                </c:pt>
                <c:pt idx="103">
                  <c:v>38217.43</c:v>
                </c:pt>
                <c:pt idx="104">
                  <c:v>38250.76</c:v>
                </c:pt>
                <c:pt idx="105">
                  <c:v>37566.17</c:v>
                </c:pt>
                <c:pt idx="106">
                  <c:v>37949.769999999997</c:v>
                </c:pt>
                <c:pt idx="107">
                  <c:v>37967.199999999997</c:v>
                </c:pt>
                <c:pt idx="108">
                  <c:v>37459.760000000002</c:v>
                </c:pt>
                <c:pt idx="109">
                  <c:v>39194.839999999997</c:v>
                </c:pt>
                <c:pt idx="110">
                  <c:v>39536.51</c:v>
                </c:pt>
                <c:pt idx="111">
                  <c:v>38934.120000000003</c:v>
                </c:pt>
                <c:pt idx="112">
                  <c:v>37690.46</c:v>
                </c:pt>
                <c:pt idx="113">
                  <c:v>37734.660000000003</c:v>
                </c:pt>
                <c:pt idx="114">
                  <c:v>38498.720000000001</c:v>
                </c:pt>
                <c:pt idx="115">
                  <c:v>37933.19</c:v>
                </c:pt>
                <c:pt idx="116">
                  <c:v>33268.57</c:v>
                </c:pt>
                <c:pt idx="117">
                  <c:v>33275.51</c:v>
                </c:pt>
                <c:pt idx="118">
                  <c:v>33139.949999999997</c:v>
                </c:pt>
                <c:pt idx="119">
                  <c:v>32956.81</c:v>
                </c:pt>
                <c:pt idx="120">
                  <c:v>32971.42</c:v>
                </c:pt>
                <c:pt idx="121">
                  <c:v>33150.18</c:v>
                </c:pt>
                <c:pt idx="122">
                  <c:v>33573.949999999997</c:v>
                </c:pt>
                <c:pt idx="123">
                  <c:v>32926.019999999997</c:v>
                </c:pt>
                <c:pt idx="124">
                  <c:v>31896.05</c:v>
                </c:pt>
                <c:pt idx="125">
                  <c:v>31155.94</c:v>
                </c:pt>
                <c:pt idx="126">
                  <c:v>31186.14</c:v>
                </c:pt>
                <c:pt idx="127">
                  <c:v>32229.31</c:v>
                </c:pt>
                <c:pt idx="128">
                  <c:v>33065.21</c:v>
                </c:pt>
                <c:pt idx="129">
                  <c:v>32351.72</c:v>
                </c:pt>
                <c:pt idx="130">
                  <c:v>32756.09</c:v>
                </c:pt>
                <c:pt idx="131">
                  <c:v>33425.19</c:v>
                </c:pt>
                <c:pt idx="132">
                  <c:v>33574.94</c:v>
                </c:pt>
                <c:pt idx="133">
                  <c:v>33337</c:v>
                </c:pt>
                <c:pt idx="134">
                  <c:v>32709.13</c:v>
                </c:pt>
                <c:pt idx="135">
                  <c:v>31158.49</c:v>
                </c:pt>
                <c:pt idx="136">
                  <c:v>32713.360000000001</c:v>
                </c:pt>
                <c:pt idx="137">
                  <c:v>31586.97</c:v>
                </c:pt>
                <c:pt idx="138">
                  <c:v>30037.41</c:v>
                </c:pt>
                <c:pt idx="139">
                  <c:v>29832.080000000002</c:v>
                </c:pt>
                <c:pt idx="140">
                  <c:v>30764.5</c:v>
                </c:pt>
                <c:pt idx="141">
                  <c:v>30903.08</c:v>
                </c:pt>
                <c:pt idx="142">
                  <c:v>30407.78</c:v>
                </c:pt>
                <c:pt idx="143">
                  <c:v>31081.47</c:v>
                </c:pt>
                <c:pt idx="144">
                  <c:v>30469.8</c:v>
                </c:pt>
                <c:pt idx="145">
                  <c:v>30712.3</c:v>
                </c:pt>
                <c:pt idx="146">
                  <c:v>31767.99</c:v>
                </c:pt>
                <c:pt idx="147">
                  <c:v>31688.49</c:v>
                </c:pt>
                <c:pt idx="148">
                  <c:v>30522.35</c:v>
                </c:pt>
                <c:pt idx="149">
                  <c:v>31490.93</c:v>
                </c:pt>
                <c:pt idx="150">
                  <c:v>31708.07</c:v>
                </c:pt>
                <c:pt idx="151">
                  <c:v>30493.32</c:v>
                </c:pt>
                <c:pt idx="152">
                  <c:v>29797.42</c:v>
                </c:pt>
                <c:pt idx="153">
                  <c:v>30419.29</c:v>
                </c:pt>
                <c:pt idx="154">
                  <c:v>31168.31</c:v>
                </c:pt>
                <c:pt idx="155">
                  <c:v>31182.37</c:v>
                </c:pt>
                <c:pt idx="156">
                  <c:v>30005.42</c:v>
                </c:pt>
                <c:pt idx="157">
                  <c:v>30302.86</c:v>
                </c:pt>
                <c:pt idx="158">
                  <c:v>30335.599999999999</c:v>
                </c:pt>
                <c:pt idx="159">
                  <c:v>31074.19</c:v>
                </c:pt>
                <c:pt idx="160">
                  <c:v>29835.58</c:v>
                </c:pt>
                <c:pt idx="161">
                  <c:v>30279.67</c:v>
                </c:pt>
                <c:pt idx="162">
                  <c:v>30036.76</c:v>
                </c:pt>
                <c:pt idx="163">
                  <c:v>34442.1</c:v>
                </c:pt>
                <c:pt idx="164">
                  <c:v>33699.86</c:v>
                </c:pt>
                <c:pt idx="165">
                  <c:v>34018</c:v>
                </c:pt>
                <c:pt idx="166">
                  <c:v>33813.51</c:v>
                </c:pt>
                <c:pt idx="167">
                  <c:v>33475.53</c:v>
                </c:pt>
                <c:pt idx="168">
                  <c:v>31648.91</c:v>
                </c:pt>
                <c:pt idx="169">
                  <c:v>31321</c:v>
                </c:pt>
                <c:pt idx="170">
                  <c:v>31662.36</c:v>
                </c:pt>
                <c:pt idx="171">
                  <c:v>32253.11</c:v>
                </c:pt>
                <c:pt idx="172">
                  <c:v>32799.870000000003</c:v>
                </c:pt>
                <c:pt idx="173">
                  <c:v>32507.71</c:v>
                </c:pt>
                <c:pt idx="174">
                  <c:v>32055.26</c:v>
                </c:pt>
                <c:pt idx="175">
                  <c:v>33061.54</c:v>
                </c:pt>
                <c:pt idx="176">
                  <c:v>33063.11</c:v>
                </c:pt>
                <c:pt idx="177">
                  <c:v>32039.63</c:v>
                </c:pt>
                <c:pt idx="178">
                  <c:v>31760.38</c:v>
                </c:pt>
                <c:pt idx="179">
                  <c:v>31796.46</c:v>
                </c:pt>
                <c:pt idx="180">
                  <c:v>31621.26</c:v>
                </c:pt>
                <c:pt idx="181">
                  <c:v>32205.9</c:v>
                </c:pt>
                <c:pt idx="182">
                  <c:v>31667.67</c:v>
                </c:pt>
                <c:pt idx="183">
                  <c:v>32173.98</c:v>
                </c:pt>
                <c:pt idx="184">
                  <c:v>32285.82</c:v>
                </c:pt>
                <c:pt idx="185">
                  <c:v>32289.53</c:v>
                </c:pt>
                <c:pt idx="186">
                  <c:v>31773.8</c:v>
                </c:pt>
                <c:pt idx="187">
                  <c:v>31965.43</c:v>
                </c:pt>
                <c:pt idx="188">
                  <c:v>32904.75</c:v>
                </c:pt>
                <c:pt idx="189">
                  <c:v>33105.31</c:v>
                </c:pt>
                <c:pt idx="190">
                  <c:v>31444.12</c:v>
                </c:pt>
                <c:pt idx="191">
                  <c:v>31685.02</c:v>
                </c:pt>
                <c:pt idx="192">
                  <c:v>32407.07</c:v>
                </c:pt>
                <c:pt idx="193">
                  <c:v>33156.5</c:v>
                </c:pt>
                <c:pt idx="194">
                  <c:v>32502.3</c:v>
                </c:pt>
                <c:pt idx="195">
                  <c:v>32639.71</c:v>
                </c:pt>
                <c:pt idx="196">
                  <c:v>33146.300000000003</c:v>
                </c:pt>
                <c:pt idx="197">
                  <c:v>33604.28</c:v>
                </c:pt>
                <c:pt idx="198">
                  <c:v>34833.25</c:v>
                </c:pt>
                <c:pt idx="199">
                  <c:v>34550.629999999997</c:v>
                </c:pt>
                <c:pt idx="200">
                  <c:v>33953.96</c:v>
                </c:pt>
                <c:pt idx="201">
                  <c:v>34967.54</c:v>
                </c:pt>
                <c:pt idx="202">
                  <c:v>35677.72</c:v>
                </c:pt>
                <c:pt idx="203">
                  <c:v>34772.879999999997</c:v>
                </c:pt>
                <c:pt idx="204">
                  <c:v>34342.14</c:v>
                </c:pt>
                <c:pt idx="205">
                  <c:v>34594.089999999997</c:v>
                </c:pt>
                <c:pt idx="206">
                  <c:v>35373.83</c:v>
                </c:pt>
                <c:pt idx="207">
                  <c:v>35923.269999999997</c:v>
                </c:pt>
                <c:pt idx="208">
                  <c:v>34897.11</c:v>
                </c:pt>
                <c:pt idx="209">
                  <c:v>34117.17</c:v>
                </c:pt>
                <c:pt idx="210">
                  <c:v>35557.379999999997</c:v>
                </c:pt>
                <c:pt idx="211">
                  <c:v>35374.69</c:v>
                </c:pt>
                <c:pt idx="212">
                  <c:v>35230.949999999997</c:v>
                </c:pt>
                <c:pt idx="213">
                  <c:v>35409.82</c:v>
                </c:pt>
                <c:pt idx="214">
                  <c:v>36206.89</c:v>
                </c:pt>
                <c:pt idx="215">
                  <c:v>35731.53</c:v>
                </c:pt>
                <c:pt idx="216">
                  <c:v>34895.769999999997</c:v>
                </c:pt>
                <c:pt idx="217">
                  <c:v>34724.03</c:v>
                </c:pt>
                <c:pt idx="218">
                  <c:v>35411.67</c:v>
                </c:pt>
                <c:pt idx="219">
                  <c:v>36156.910000000003</c:v>
                </c:pt>
                <c:pt idx="220">
                  <c:v>33295.32</c:v>
                </c:pt>
                <c:pt idx="221">
                  <c:v>32717.06</c:v>
                </c:pt>
                <c:pt idx="222">
                  <c:v>33170.35</c:v>
                </c:pt>
                <c:pt idx="223">
                  <c:v>33306.870000000003</c:v>
                </c:pt>
                <c:pt idx="224">
                  <c:v>34163.86</c:v>
                </c:pt>
                <c:pt idx="225">
                  <c:v>33750.14</c:v>
                </c:pt>
                <c:pt idx="226">
                  <c:v>33910.769999999997</c:v>
                </c:pt>
                <c:pt idx="227">
                  <c:v>34577.379999999997</c:v>
                </c:pt>
                <c:pt idx="228">
                  <c:v>34340.32</c:v>
                </c:pt>
                <c:pt idx="229">
                  <c:v>33661.67</c:v>
                </c:pt>
                <c:pt idx="230">
                  <c:v>32688.959999999999</c:v>
                </c:pt>
                <c:pt idx="231">
                  <c:v>33221.65</c:v>
                </c:pt>
                <c:pt idx="232">
                  <c:v>33410.47</c:v>
                </c:pt>
                <c:pt idx="233">
                  <c:v>33224.46</c:v>
                </c:pt>
                <c:pt idx="234">
                  <c:v>32758.85</c:v>
                </c:pt>
                <c:pt idx="235">
                  <c:v>31787</c:v>
                </c:pt>
                <c:pt idx="236">
                  <c:v>33729.19</c:v>
                </c:pt>
                <c:pt idx="237">
                  <c:v>33389.160000000003</c:v>
                </c:pt>
                <c:pt idx="238">
                  <c:v>33590.78</c:v>
                </c:pt>
                <c:pt idx="239">
                  <c:v>32449.59</c:v>
                </c:pt>
                <c:pt idx="240">
                  <c:v>32646.05</c:v>
                </c:pt>
                <c:pt idx="241">
                  <c:v>33597.410000000003</c:v>
                </c:pt>
                <c:pt idx="242">
                  <c:v>32168.22</c:v>
                </c:pt>
                <c:pt idx="243">
                  <c:v>31415.65</c:v>
                </c:pt>
                <c:pt idx="244">
                  <c:v>30972.1</c:v>
                </c:pt>
                <c:pt idx="245">
                  <c:v>31970.45</c:v>
                </c:pt>
                <c:pt idx="246">
                  <c:v>32288.38</c:v>
                </c:pt>
                <c:pt idx="247">
                  <c:v>32284.62</c:v>
                </c:pt>
                <c:pt idx="248">
                  <c:v>32157.94</c:v>
                </c:pt>
                <c:pt idx="249">
                  <c:v>32555.32</c:v>
                </c:pt>
                <c:pt idx="250">
                  <c:v>31920.48</c:v>
                </c:pt>
                <c:pt idx="251">
                  <c:v>32673.29</c:v>
                </c:pt>
                <c:pt idx="252">
                  <c:v>32340.35</c:v>
                </c:pt>
                <c:pt idx="253">
                  <c:v>32161.49</c:v>
                </c:pt>
                <c:pt idx="254">
                  <c:v>32738.06</c:v>
                </c:pt>
                <c:pt idx="255">
                  <c:v>32374.59</c:v>
                </c:pt>
                <c:pt idx="256">
                  <c:v>32184.76</c:v>
                </c:pt>
                <c:pt idx="257">
                  <c:v>28923.63</c:v>
                </c:pt>
                <c:pt idx="258">
                  <c:v>33324.36</c:v>
                </c:pt>
                <c:pt idx="259">
                  <c:v>33590.410000000003</c:v>
                </c:pt>
                <c:pt idx="260">
                  <c:v>33311.96</c:v>
                </c:pt>
                <c:pt idx="261">
                  <c:v>32006.560000000001</c:v>
                </c:pt>
                <c:pt idx="262">
                  <c:v>32333.279999999999</c:v>
                </c:pt>
                <c:pt idx="263">
                  <c:v>32554.07</c:v>
                </c:pt>
                <c:pt idx="264">
                  <c:v>32761.41</c:v>
                </c:pt>
                <c:pt idx="265">
                  <c:v>33807.61</c:v>
                </c:pt>
                <c:pt idx="266">
                  <c:v>33811.74</c:v>
                </c:pt>
                <c:pt idx="267">
                  <c:v>34596.870000000003</c:v>
                </c:pt>
                <c:pt idx="268">
                  <c:v>34257.129999999997</c:v>
                </c:pt>
                <c:pt idx="269">
                  <c:v>34505.5</c:v>
                </c:pt>
                <c:pt idx="270">
                  <c:v>34270.49</c:v>
                </c:pt>
                <c:pt idx="271">
                  <c:v>34843.449999999997</c:v>
                </c:pt>
                <c:pt idx="272">
                  <c:v>32808.449999999997</c:v>
                </c:pt>
                <c:pt idx="273">
                  <c:v>32089.15</c:v>
                </c:pt>
                <c:pt idx="274">
                  <c:v>30002.77</c:v>
                </c:pt>
                <c:pt idx="275">
                  <c:v>32006.19</c:v>
                </c:pt>
                <c:pt idx="276">
                  <c:v>32357.15</c:v>
                </c:pt>
                <c:pt idx="277">
                  <c:v>32837.65</c:v>
                </c:pt>
                <c:pt idx="278">
                  <c:v>32940.14</c:v>
                </c:pt>
                <c:pt idx="279">
                  <c:v>33619.379999999997</c:v>
                </c:pt>
                <c:pt idx="280">
                  <c:v>34296.75</c:v>
                </c:pt>
                <c:pt idx="281">
                  <c:v>33229.910000000003</c:v>
                </c:pt>
                <c:pt idx="282">
                  <c:v>33472.74</c:v>
                </c:pt>
                <c:pt idx="283">
                  <c:v>32565.02</c:v>
                </c:pt>
                <c:pt idx="284">
                  <c:v>33419.99</c:v>
                </c:pt>
                <c:pt idx="285">
                  <c:v>33750.36</c:v>
                </c:pt>
                <c:pt idx="286">
                  <c:v>33583.83</c:v>
                </c:pt>
                <c:pt idx="287">
                  <c:v>32996.959999999999</c:v>
                </c:pt>
                <c:pt idx="288">
                  <c:v>33303.72</c:v>
                </c:pt>
                <c:pt idx="289">
                  <c:v>33283.46</c:v>
                </c:pt>
                <c:pt idx="290">
                  <c:v>32976.35</c:v>
                </c:pt>
                <c:pt idx="291">
                  <c:v>32168.51</c:v>
                </c:pt>
                <c:pt idx="292">
                  <c:v>31679.05</c:v>
                </c:pt>
                <c:pt idx="293">
                  <c:v>31509.13</c:v>
                </c:pt>
                <c:pt idx="294">
                  <c:v>30203.63</c:v>
                </c:pt>
                <c:pt idx="295">
                  <c:v>29996.92</c:v>
                </c:pt>
                <c:pt idx="296">
                  <c:v>29795.94</c:v>
                </c:pt>
                <c:pt idx="297">
                  <c:v>30338.55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B-40F1-9097-DD3A5F5C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521647"/>
        <c:axId val="1768505327"/>
      </c:lineChart>
      <c:lineChart>
        <c:grouping val="standard"/>
        <c:varyColors val="0"/>
        <c:ser>
          <c:idx val="1"/>
          <c:order val="1"/>
          <c:tx>
            <c:strRef>
              <c:f>资产负债表!$S$3</c:f>
              <c:strCache>
                <c:ptCount val="1"/>
                <c:pt idx="0">
                  <c:v>美国财政部一般账户(TGA)</c:v>
                </c:pt>
              </c:strCache>
            </c:strRef>
          </c:tx>
          <c:spPr>
            <a:ln w="15875" cap="rnd">
              <a:solidFill>
                <a:srgbClr val="D80C18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资产负债表!$I$8:$I$305</c:f>
              <c:numCache>
                <c:formatCode>yyyy\-mm\-dd</c:formatCode>
                <c:ptCount val="298"/>
                <c:pt idx="0">
                  <c:v>43859</c:v>
                </c:pt>
                <c:pt idx="1">
                  <c:v>43866</c:v>
                </c:pt>
                <c:pt idx="2">
                  <c:v>43873</c:v>
                </c:pt>
                <c:pt idx="3">
                  <c:v>43880</c:v>
                </c:pt>
                <c:pt idx="4">
                  <c:v>43887</c:v>
                </c:pt>
                <c:pt idx="5">
                  <c:v>43894</c:v>
                </c:pt>
                <c:pt idx="6">
                  <c:v>43901</c:v>
                </c:pt>
                <c:pt idx="7">
                  <c:v>43908</c:v>
                </c:pt>
                <c:pt idx="8">
                  <c:v>43915</c:v>
                </c:pt>
                <c:pt idx="9">
                  <c:v>43922</c:v>
                </c:pt>
                <c:pt idx="10">
                  <c:v>43929</c:v>
                </c:pt>
                <c:pt idx="11">
                  <c:v>43936</c:v>
                </c:pt>
                <c:pt idx="12">
                  <c:v>43943</c:v>
                </c:pt>
                <c:pt idx="13">
                  <c:v>43950</c:v>
                </c:pt>
                <c:pt idx="14">
                  <c:v>43957</c:v>
                </c:pt>
                <c:pt idx="15">
                  <c:v>43964</c:v>
                </c:pt>
                <c:pt idx="16">
                  <c:v>43971</c:v>
                </c:pt>
                <c:pt idx="17">
                  <c:v>43978</c:v>
                </c:pt>
                <c:pt idx="18">
                  <c:v>43985</c:v>
                </c:pt>
                <c:pt idx="19">
                  <c:v>43992</c:v>
                </c:pt>
                <c:pt idx="20">
                  <c:v>43999</c:v>
                </c:pt>
                <c:pt idx="21">
                  <c:v>44006</c:v>
                </c:pt>
                <c:pt idx="22">
                  <c:v>44013</c:v>
                </c:pt>
                <c:pt idx="23">
                  <c:v>44020</c:v>
                </c:pt>
                <c:pt idx="24">
                  <c:v>44027</c:v>
                </c:pt>
                <c:pt idx="25">
                  <c:v>44034</c:v>
                </c:pt>
                <c:pt idx="26">
                  <c:v>44041</c:v>
                </c:pt>
                <c:pt idx="27">
                  <c:v>44048</c:v>
                </c:pt>
                <c:pt idx="28">
                  <c:v>44055</c:v>
                </c:pt>
                <c:pt idx="29">
                  <c:v>44062</c:v>
                </c:pt>
                <c:pt idx="30">
                  <c:v>44069</c:v>
                </c:pt>
                <c:pt idx="31">
                  <c:v>44076</c:v>
                </c:pt>
                <c:pt idx="32">
                  <c:v>44083</c:v>
                </c:pt>
                <c:pt idx="33">
                  <c:v>44090</c:v>
                </c:pt>
                <c:pt idx="34">
                  <c:v>44097</c:v>
                </c:pt>
                <c:pt idx="35">
                  <c:v>44104</c:v>
                </c:pt>
                <c:pt idx="36">
                  <c:v>44111</c:v>
                </c:pt>
                <c:pt idx="37">
                  <c:v>44118</c:v>
                </c:pt>
                <c:pt idx="38">
                  <c:v>44125</c:v>
                </c:pt>
                <c:pt idx="39">
                  <c:v>44132</c:v>
                </c:pt>
                <c:pt idx="40">
                  <c:v>44139</c:v>
                </c:pt>
                <c:pt idx="41">
                  <c:v>44146</c:v>
                </c:pt>
                <c:pt idx="42">
                  <c:v>44153</c:v>
                </c:pt>
                <c:pt idx="43">
                  <c:v>44160</c:v>
                </c:pt>
                <c:pt idx="44">
                  <c:v>44167</c:v>
                </c:pt>
                <c:pt idx="45">
                  <c:v>44174</c:v>
                </c:pt>
                <c:pt idx="46">
                  <c:v>44181</c:v>
                </c:pt>
                <c:pt idx="47">
                  <c:v>44188</c:v>
                </c:pt>
                <c:pt idx="48">
                  <c:v>44195</c:v>
                </c:pt>
                <c:pt idx="49">
                  <c:v>44202</c:v>
                </c:pt>
                <c:pt idx="50">
                  <c:v>44209</c:v>
                </c:pt>
                <c:pt idx="51">
                  <c:v>44216</c:v>
                </c:pt>
                <c:pt idx="52">
                  <c:v>44223</c:v>
                </c:pt>
                <c:pt idx="53">
                  <c:v>44230</c:v>
                </c:pt>
                <c:pt idx="54">
                  <c:v>44237</c:v>
                </c:pt>
                <c:pt idx="55">
                  <c:v>44244</c:v>
                </c:pt>
                <c:pt idx="56">
                  <c:v>44251</c:v>
                </c:pt>
                <c:pt idx="57">
                  <c:v>44258</c:v>
                </c:pt>
                <c:pt idx="58">
                  <c:v>44265</c:v>
                </c:pt>
                <c:pt idx="59">
                  <c:v>44272</c:v>
                </c:pt>
                <c:pt idx="60">
                  <c:v>44279</c:v>
                </c:pt>
                <c:pt idx="61">
                  <c:v>44286</c:v>
                </c:pt>
                <c:pt idx="62">
                  <c:v>44293</c:v>
                </c:pt>
                <c:pt idx="63">
                  <c:v>44300</c:v>
                </c:pt>
                <c:pt idx="64">
                  <c:v>44307</c:v>
                </c:pt>
                <c:pt idx="65">
                  <c:v>44314</c:v>
                </c:pt>
                <c:pt idx="66">
                  <c:v>44321</c:v>
                </c:pt>
                <c:pt idx="67">
                  <c:v>44328</c:v>
                </c:pt>
                <c:pt idx="68">
                  <c:v>44335</c:v>
                </c:pt>
                <c:pt idx="69">
                  <c:v>44342</c:v>
                </c:pt>
                <c:pt idx="70">
                  <c:v>44349</c:v>
                </c:pt>
                <c:pt idx="71">
                  <c:v>44356</c:v>
                </c:pt>
                <c:pt idx="72">
                  <c:v>44363</c:v>
                </c:pt>
                <c:pt idx="73">
                  <c:v>44370</c:v>
                </c:pt>
                <c:pt idx="74">
                  <c:v>44377</c:v>
                </c:pt>
                <c:pt idx="75">
                  <c:v>44384</c:v>
                </c:pt>
                <c:pt idx="76">
                  <c:v>44391</c:v>
                </c:pt>
                <c:pt idx="77">
                  <c:v>44398</c:v>
                </c:pt>
                <c:pt idx="78">
                  <c:v>44405</c:v>
                </c:pt>
                <c:pt idx="79">
                  <c:v>44412</c:v>
                </c:pt>
                <c:pt idx="80">
                  <c:v>44419</c:v>
                </c:pt>
                <c:pt idx="81">
                  <c:v>44426</c:v>
                </c:pt>
                <c:pt idx="82">
                  <c:v>44433</c:v>
                </c:pt>
                <c:pt idx="83">
                  <c:v>44440</c:v>
                </c:pt>
                <c:pt idx="84">
                  <c:v>44447</c:v>
                </c:pt>
                <c:pt idx="85">
                  <c:v>44454</c:v>
                </c:pt>
                <c:pt idx="86">
                  <c:v>44461</c:v>
                </c:pt>
                <c:pt idx="87">
                  <c:v>44468</c:v>
                </c:pt>
                <c:pt idx="88">
                  <c:v>44475</c:v>
                </c:pt>
                <c:pt idx="89">
                  <c:v>44482</c:v>
                </c:pt>
                <c:pt idx="90">
                  <c:v>44489</c:v>
                </c:pt>
                <c:pt idx="91">
                  <c:v>44496</c:v>
                </c:pt>
                <c:pt idx="92">
                  <c:v>44503</c:v>
                </c:pt>
                <c:pt idx="93">
                  <c:v>44510</c:v>
                </c:pt>
                <c:pt idx="94">
                  <c:v>44517</c:v>
                </c:pt>
                <c:pt idx="95">
                  <c:v>44524</c:v>
                </c:pt>
                <c:pt idx="96">
                  <c:v>44531</c:v>
                </c:pt>
                <c:pt idx="97">
                  <c:v>44538</c:v>
                </c:pt>
                <c:pt idx="98">
                  <c:v>44545</c:v>
                </c:pt>
                <c:pt idx="99">
                  <c:v>44552</c:v>
                </c:pt>
                <c:pt idx="100">
                  <c:v>44559</c:v>
                </c:pt>
                <c:pt idx="101">
                  <c:v>44566</c:v>
                </c:pt>
                <c:pt idx="102">
                  <c:v>44573</c:v>
                </c:pt>
                <c:pt idx="103">
                  <c:v>44580</c:v>
                </c:pt>
                <c:pt idx="104">
                  <c:v>44587</c:v>
                </c:pt>
                <c:pt idx="105">
                  <c:v>44594</c:v>
                </c:pt>
                <c:pt idx="106">
                  <c:v>44601</c:v>
                </c:pt>
                <c:pt idx="107">
                  <c:v>44608</c:v>
                </c:pt>
                <c:pt idx="108">
                  <c:v>44615</c:v>
                </c:pt>
                <c:pt idx="109">
                  <c:v>44622</c:v>
                </c:pt>
                <c:pt idx="110">
                  <c:v>44629</c:v>
                </c:pt>
                <c:pt idx="111">
                  <c:v>44636</c:v>
                </c:pt>
                <c:pt idx="112">
                  <c:v>44643</c:v>
                </c:pt>
                <c:pt idx="113">
                  <c:v>44650</c:v>
                </c:pt>
                <c:pt idx="114">
                  <c:v>44657</c:v>
                </c:pt>
                <c:pt idx="115">
                  <c:v>44664</c:v>
                </c:pt>
                <c:pt idx="116">
                  <c:v>44671</c:v>
                </c:pt>
                <c:pt idx="117">
                  <c:v>44678</c:v>
                </c:pt>
                <c:pt idx="118">
                  <c:v>44685</c:v>
                </c:pt>
                <c:pt idx="119">
                  <c:v>44692</c:v>
                </c:pt>
                <c:pt idx="120">
                  <c:v>44699</c:v>
                </c:pt>
                <c:pt idx="121">
                  <c:v>44706</c:v>
                </c:pt>
                <c:pt idx="122">
                  <c:v>44713</c:v>
                </c:pt>
                <c:pt idx="123">
                  <c:v>44720</c:v>
                </c:pt>
                <c:pt idx="124">
                  <c:v>44727</c:v>
                </c:pt>
                <c:pt idx="125">
                  <c:v>44734</c:v>
                </c:pt>
                <c:pt idx="126">
                  <c:v>44741</c:v>
                </c:pt>
                <c:pt idx="127">
                  <c:v>44748</c:v>
                </c:pt>
                <c:pt idx="128">
                  <c:v>44755</c:v>
                </c:pt>
                <c:pt idx="129">
                  <c:v>44762</c:v>
                </c:pt>
                <c:pt idx="130">
                  <c:v>44769</c:v>
                </c:pt>
                <c:pt idx="131">
                  <c:v>44776</c:v>
                </c:pt>
                <c:pt idx="132">
                  <c:v>44783</c:v>
                </c:pt>
                <c:pt idx="133">
                  <c:v>44790</c:v>
                </c:pt>
                <c:pt idx="134">
                  <c:v>44797</c:v>
                </c:pt>
                <c:pt idx="135">
                  <c:v>44804</c:v>
                </c:pt>
                <c:pt idx="136">
                  <c:v>44811</c:v>
                </c:pt>
                <c:pt idx="137">
                  <c:v>44818</c:v>
                </c:pt>
                <c:pt idx="138">
                  <c:v>44825</c:v>
                </c:pt>
                <c:pt idx="139">
                  <c:v>44832</c:v>
                </c:pt>
                <c:pt idx="140">
                  <c:v>44839</c:v>
                </c:pt>
                <c:pt idx="141">
                  <c:v>44846</c:v>
                </c:pt>
                <c:pt idx="142">
                  <c:v>44853</c:v>
                </c:pt>
                <c:pt idx="143">
                  <c:v>44860</c:v>
                </c:pt>
                <c:pt idx="144">
                  <c:v>44867</c:v>
                </c:pt>
                <c:pt idx="145">
                  <c:v>44874</c:v>
                </c:pt>
                <c:pt idx="146">
                  <c:v>44881</c:v>
                </c:pt>
                <c:pt idx="147">
                  <c:v>44888</c:v>
                </c:pt>
                <c:pt idx="148">
                  <c:v>44895</c:v>
                </c:pt>
                <c:pt idx="149">
                  <c:v>44902</c:v>
                </c:pt>
                <c:pt idx="150">
                  <c:v>44909</c:v>
                </c:pt>
                <c:pt idx="151">
                  <c:v>44916</c:v>
                </c:pt>
                <c:pt idx="152">
                  <c:v>44923</c:v>
                </c:pt>
                <c:pt idx="153">
                  <c:v>44930</c:v>
                </c:pt>
                <c:pt idx="154">
                  <c:v>44937</c:v>
                </c:pt>
                <c:pt idx="155">
                  <c:v>44944</c:v>
                </c:pt>
                <c:pt idx="156">
                  <c:v>44951</c:v>
                </c:pt>
                <c:pt idx="157">
                  <c:v>44958</c:v>
                </c:pt>
                <c:pt idx="158">
                  <c:v>44965</c:v>
                </c:pt>
                <c:pt idx="159">
                  <c:v>44972</c:v>
                </c:pt>
                <c:pt idx="160">
                  <c:v>44979</c:v>
                </c:pt>
                <c:pt idx="161">
                  <c:v>44986</c:v>
                </c:pt>
                <c:pt idx="162">
                  <c:v>44993</c:v>
                </c:pt>
                <c:pt idx="163">
                  <c:v>45000</c:v>
                </c:pt>
                <c:pt idx="164">
                  <c:v>45007</c:v>
                </c:pt>
                <c:pt idx="165">
                  <c:v>45014</c:v>
                </c:pt>
                <c:pt idx="166">
                  <c:v>45021</c:v>
                </c:pt>
                <c:pt idx="167">
                  <c:v>45028</c:v>
                </c:pt>
                <c:pt idx="168">
                  <c:v>45035</c:v>
                </c:pt>
                <c:pt idx="169">
                  <c:v>45042</c:v>
                </c:pt>
                <c:pt idx="170">
                  <c:v>45049</c:v>
                </c:pt>
                <c:pt idx="171">
                  <c:v>45056</c:v>
                </c:pt>
                <c:pt idx="172">
                  <c:v>45063</c:v>
                </c:pt>
                <c:pt idx="173">
                  <c:v>45070</c:v>
                </c:pt>
                <c:pt idx="174">
                  <c:v>45077</c:v>
                </c:pt>
                <c:pt idx="175">
                  <c:v>45084</c:v>
                </c:pt>
                <c:pt idx="176">
                  <c:v>45091</c:v>
                </c:pt>
                <c:pt idx="177">
                  <c:v>45098</c:v>
                </c:pt>
                <c:pt idx="178">
                  <c:v>45105</c:v>
                </c:pt>
                <c:pt idx="179">
                  <c:v>45112</c:v>
                </c:pt>
                <c:pt idx="180">
                  <c:v>45119</c:v>
                </c:pt>
                <c:pt idx="181">
                  <c:v>45126</c:v>
                </c:pt>
                <c:pt idx="182">
                  <c:v>45133</c:v>
                </c:pt>
                <c:pt idx="183">
                  <c:v>45140</c:v>
                </c:pt>
                <c:pt idx="184">
                  <c:v>45147</c:v>
                </c:pt>
                <c:pt idx="185">
                  <c:v>45154</c:v>
                </c:pt>
                <c:pt idx="186">
                  <c:v>45161</c:v>
                </c:pt>
                <c:pt idx="187">
                  <c:v>45168</c:v>
                </c:pt>
                <c:pt idx="188">
                  <c:v>45175</c:v>
                </c:pt>
                <c:pt idx="189">
                  <c:v>45182</c:v>
                </c:pt>
                <c:pt idx="190">
                  <c:v>45189</c:v>
                </c:pt>
                <c:pt idx="191">
                  <c:v>45196</c:v>
                </c:pt>
                <c:pt idx="192">
                  <c:v>45203</c:v>
                </c:pt>
                <c:pt idx="193">
                  <c:v>45210</c:v>
                </c:pt>
                <c:pt idx="194">
                  <c:v>45217</c:v>
                </c:pt>
                <c:pt idx="195">
                  <c:v>45224</c:v>
                </c:pt>
                <c:pt idx="196">
                  <c:v>45231</c:v>
                </c:pt>
                <c:pt idx="197">
                  <c:v>45238</c:v>
                </c:pt>
                <c:pt idx="198">
                  <c:v>45245</c:v>
                </c:pt>
                <c:pt idx="199">
                  <c:v>45252</c:v>
                </c:pt>
                <c:pt idx="200">
                  <c:v>45259</c:v>
                </c:pt>
                <c:pt idx="201">
                  <c:v>45266</c:v>
                </c:pt>
                <c:pt idx="202">
                  <c:v>45273</c:v>
                </c:pt>
                <c:pt idx="203">
                  <c:v>45280</c:v>
                </c:pt>
                <c:pt idx="204">
                  <c:v>45287</c:v>
                </c:pt>
                <c:pt idx="205">
                  <c:v>45294</c:v>
                </c:pt>
                <c:pt idx="206">
                  <c:v>45301</c:v>
                </c:pt>
                <c:pt idx="207">
                  <c:v>45308</c:v>
                </c:pt>
                <c:pt idx="208">
                  <c:v>45315</c:v>
                </c:pt>
                <c:pt idx="209">
                  <c:v>45322</c:v>
                </c:pt>
                <c:pt idx="210">
                  <c:v>45329</c:v>
                </c:pt>
                <c:pt idx="211">
                  <c:v>45336</c:v>
                </c:pt>
                <c:pt idx="212">
                  <c:v>45343</c:v>
                </c:pt>
                <c:pt idx="213">
                  <c:v>45350</c:v>
                </c:pt>
                <c:pt idx="214">
                  <c:v>45357</c:v>
                </c:pt>
                <c:pt idx="215">
                  <c:v>45364</c:v>
                </c:pt>
                <c:pt idx="216">
                  <c:v>45371</c:v>
                </c:pt>
                <c:pt idx="217">
                  <c:v>45378</c:v>
                </c:pt>
                <c:pt idx="218">
                  <c:v>45385</c:v>
                </c:pt>
                <c:pt idx="219">
                  <c:v>45392</c:v>
                </c:pt>
                <c:pt idx="220">
                  <c:v>45399</c:v>
                </c:pt>
                <c:pt idx="221">
                  <c:v>45406</c:v>
                </c:pt>
                <c:pt idx="222">
                  <c:v>45413</c:v>
                </c:pt>
                <c:pt idx="223">
                  <c:v>45420</c:v>
                </c:pt>
                <c:pt idx="224">
                  <c:v>45427</c:v>
                </c:pt>
                <c:pt idx="225">
                  <c:v>45434</c:v>
                </c:pt>
                <c:pt idx="226">
                  <c:v>45441</c:v>
                </c:pt>
                <c:pt idx="227">
                  <c:v>45448</c:v>
                </c:pt>
                <c:pt idx="228">
                  <c:v>45455</c:v>
                </c:pt>
                <c:pt idx="229">
                  <c:v>45462</c:v>
                </c:pt>
                <c:pt idx="230">
                  <c:v>45469</c:v>
                </c:pt>
                <c:pt idx="231">
                  <c:v>45476</c:v>
                </c:pt>
                <c:pt idx="232">
                  <c:v>45483</c:v>
                </c:pt>
                <c:pt idx="233">
                  <c:v>45490</c:v>
                </c:pt>
                <c:pt idx="234">
                  <c:v>45497</c:v>
                </c:pt>
                <c:pt idx="235">
                  <c:v>45504</c:v>
                </c:pt>
                <c:pt idx="236">
                  <c:v>45511</c:v>
                </c:pt>
                <c:pt idx="237">
                  <c:v>45518</c:v>
                </c:pt>
                <c:pt idx="238">
                  <c:v>45525</c:v>
                </c:pt>
                <c:pt idx="239">
                  <c:v>45532</c:v>
                </c:pt>
                <c:pt idx="240">
                  <c:v>45539</c:v>
                </c:pt>
                <c:pt idx="241">
                  <c:v>45546</c:v>
                </c:pt>
                <c:pt idx="242">
                  <c:v>45553</c:v>
                </c:pt>
                <c:pt idx="243">
                  <c:v>45560</c:v>
                </c:pt>
                <c:pt idx="244">
                  <c:v>45567</c:v>
                </c:pt>
                <c:pt idx="245">
                  <c:v>45574</c:v>
                </c:pt>
                <c:pt idx="246">
                  <c:v>45581</c:v>
                </c:pt>
                <c:pt idx="247">
                  <c:v>45588</c:v>
                </c:pt>
                <c:pt idx="248">
                  <c:v>45595</c:v>
                </c:pt>
                <c:pt idx="249">
                  <c:v>45602</c:v>
                </c:pt>
                <c:pt idx="250">
                  <c:v>45609</c:v>
                </c:pt>
                <c:pt idx="251">
                  <c:v>45616</c:v>
                </c:pt>
                <c:pt idx="252">
                  <c:v>45623</c:v>
                </c:pt>
                <c:pt idx="253">
                  <c:v>45630</c:v>
                </c:pt>
                <c:pt idx="254">
                  <c:v>45637</c:v>
                </c:pt>
                <c:pt idx="255">
                  <c:v>45644</c:v>
                </c:pt>
                <c:pt idx="256">
                  <c:v>45651</c:v>
                </c:pt>
                <c:pt idx="257">
                  <c:v>45658</c:v>
                </c:pt>
                <c:pt idx="258">
                  <c:v>45665</c:v>
                </c:pt>
                <c:pt idx="259">
                  <c:v>45672</c:v>
                </c:pt>
                <c:pt idx="260">
                  <c:v>45679</c:v>
                </c:pt>
                <c:pt idx="261">
                  <c:v>45686</c:v>
                </c:pt>
                <c:pt idx="262">
                  <c:v>45693</c:v>
                </c:pt>
                <c:pt idx="263">
                  <c:v>45700</c:v>
                </c:pt>
                <c:pt idx="264">
                  <c:v>45707</c:v>
                </c:pt>
                <c:pt idx="265">
                  <c:v>45714</c:v>
                </c:pt>
                <c:pt idx="266">
                  <c:v>45721</c:v>
                </c:pt>
                <c:pt idx="267">
                  <c:v>45728</c:v>
                </c:pt>
                <c:pt idx="268">
                  <c:v>45735</c:v>
                </c:pt>
                <c:pt idx="269">
                  <c:v>45742</c:v>
                </c:pt>
                <c:pt idx="270">
                  <c:v>45749</c:v>
                </c:pt>
                <c:pt idx="271">
                  <c:v>45756</c:v>
                </c:pt>
                <c:pt idx="272">
                  <c:v>45763</c:v>
                </c:pt>
                <c:pt idx="273">
                  <c:v>45770</c:v>
                </c:pt>
                <c:pt idx="274">
                  <c:v>45777</c:v>
                </c:pt>
                <c:pt idx="275">
                  <c:v>45784</c:v>
                </c:pt>
                <c:pt idx="276">
                  <c:v>45791</c:v>
                </c:pt>
                <c:pt idx="277">
                  <c:v>45798</c:v>
                </c:pt>
                <c:pt idx="278">
                  <c:v>45805</c:v>
                </c:pt>
                <c:pt idx="279">
                  <c:v>45812</c:v>
                </c:pt>
                <c:pt idx="280">
                  <c:v>45819</c:v>
                </c:pt>
                <c:pt idx="281">
                  <c:v>45826</c:v>
                </c:pt>
                <c:pt idx="282">
                  <c:v>45833</c:v>
                </c:pt>
                <c:pt idx="283">
                  <c:v>45840</c:v>
                </c:pt>
                <c:pt idx="284">
                  <c:v>45847</c:v>
                </c:pt>
                <c:pt idx="285">
                  <c:v>45854</c:v>
                </c:pt>
                <c:pt idx="286">
                  <c:v>45861</c:v>
                </c:pt>
                <c:pt idx="287">
                  <c:v>45868</c:v>
                </c:pt>
                <c:pt idx="288">
                  <c:v>45875</c:v>
                </c:pt>
                <c:pt idx="289">
                  <c:v>45882</c:v>
                </c:pt>
                <c:pt idx="290">
                  <c:v>45889</c:v>
                </c:pt>
                <c:pt idx="291">
                  <c:v>45896</c:v>
                </c:pt>
                <c:pt idx="292">
                  <c:v>45903</c:v>
                </c:pt>
                <c:pt idx="293">
                  <c:v>45910</c:v>
                </c:pt>
                <c:pt idx="294">
                  <c:v>45917</c:v>
                </c:pt>
                <c:pt idx="295">
                  <c:v>45924</c:v>
                </c:pt>
                <c:pt idx="296">
                  <c:v>45931</c:v>
                </c:pt>
                <c:pt idx="297">
                  <c:v>45938</c:v>
                </c:pt>
              </c:numCache>
            </c:numRef>
          </c:cat>
          <c:val>
            <c:numRef>
              <c:f>资产负债表!$S$8:$S$305</c:f>
              <c:numCache>
                <c:formatCode>General</c:formatCode>
                <c:ptCount val="298"/>
                <c:pt idx="0">
                  <c:v>4505.37</c:v>
                </c:pt>
                <c:pt idx="1">
                  <c:v>4165.8500000000004</c:v>
                </c:pt>
                <c:pt idx="2">
                  <c:v>4043.41</c:v>
                </c:pt>
                <c:pt idx="3">
                  <c:v>4210.51</c:v>
                </c:pt>
                <c:pt idx="4">
                  <c:v>3876.15</c:v>
                </c:pt>
                <c:pt idx="5">
                  <c:v>3813.02</c:v>
                </c:pt>
                <c:pt idx="6">
                  <c:v>3723.37</c:v>
                </c:pt>
                <c:pt idx="7">
                  <c:v>4013.54</c:v>
                </c:pt>
                <c:pt idx="8">
                  <c:v>3848.9</c:v>
                </c:pt>
                <c:pt idx="9">
                  <c:v>5069.33</c:v>
                </c:pt>
                <c:pt idx="10">
                  <c:v>8271.7800000000007</c:v>
                </c:pt>
                <c:pt idx="11">
                  <c:v>8561.5499999999993</c:v>
                </c:pt>
                <c:pt idx="12">
                  <c:v>9499.99</c:v>
                </c:pt>
                <c:pt idx="13">
                  <c:v>10762.32</c:v>
                </c:pt>
                <c:pt idx="14">
                  <c:v>11432.68</c:v>
                </c:pt>
                <c:pt idx="15">
                  <c:v>11381.72</c:v>
                </c:pt>
                <c:pt idx="16">
                  <c:v>11932.97</c:v>
                </c:pt>
                <c:pt idx="17">
                  <c:v>13268.97</c:v>
                </c:pt>
                <c:pt idx="18">
                  <c:v>14314.62</c:v>
                </c:pt>
                <c:pt idx="19">
                  <c:v>15045.69</c:v>
                </c:pt>
                <c:pt idx="20">
                  <c:v>15653.06</c:v>
                </c:pt>
                <c:pt idx="21">
                  <c:v>15865.73</c:v>
                </c:pt>
                <c:pt idx="22">
                  <c:v>16567.47</c:v>
                </c:pt>
                <c:pt idx="23">
                  <c:v>16244.04</c:v>
                </c:pt>
                <c:pt idx="24">
                  <c:v>17404.55</c:v>
                </c:pt>
                <c:pt idx="25">
                  <c:v>17771.8</c:v>
                </c:pt>
                <c:pt idx="26">
                  <c:v>17924.34</c:v>
                </c:pt>
                <c:pt idx="27">
                  <c:v>17066.37</c:v>
                </c:pt>
                <c:pt idx="28">
                  <c:v>16351.43</c:v>
                </c:pt>
                <c:pt idx="29">
                  <c:v>16363.93</c:v>
                </c:pt>
                <c:pt idx="30">
                  <c:v>16074.49</c:v>
                </c:pt>
                <c:pt idx="31">
                  <c:v>16518.23</c:v>
                </c:pt>
                <c:pt idx="32">
                  <c:v>15705.33</c:v>
                </c:pt>
                <c:pt idx="33">
                  <c:v>16928.09</c:v>
                </c:pt>
                <c:pt idx="34">
                  <c:v>16617.32</c:v>
                </c:pt>
                <c:pt idx="35">
                  <c:v>17816.79</c:v>
                </c:pt>
                <c:pt idx="36">
                  <c:v>16874.34</c:v>
                </c:pt>
                <c:pt idx="37">
                  <c:v>16479.37</c:v>
                </c:pt>
                <c:pt idx="38">
                  <c:v>16994.97</c:v>
                </c:pt>
                <c:pt idx="39">
                  <c:v>16530.39</c:v>
                </c:pt>
                <c:pt idx="40">
                  <c:v>16185.68</c:v>
                </c:pt>
                <c:pt idx="41">
                  <c:v>15707.68</c:v>
                </c:pt>
                <c:pt idx="42">
                  <c:v>15469.24</c:v>
                </c:pt>
                <c:pt idx="43">
                  <c:v>14840.36</c:v>
                </c:pt>
                <c:pt idx="44">
                  <c:v>15572.39</c:v>
                </c:pt>
                <c:pt idx="45">
                  <c:v>15023.61</c:v>
                </c:pt>
                <c:pt idx="46">
                  <c:v>16158.73</c:v>
                </c:pt>
                <c:pt idx="47">
                  <c:v>15833.08</c:v>
                </c:pt>
                <c:pt idx="48">
                  <c:v>16135.14</c:v>
                </c:pt>
                <c:pt idx="49">
                  <c:v>16073.96</c:v>
                </c:pt>
                <c:pt idx="50">
                  <c:v>15758.75</c:v>
                </c:pt>
                <c:pt idx="51">
                  <c:v>16383.31</c:v>
                </c:pt>
                <c:pt idx="52">
                  <c:v>16133.77</c:v>
                </c:pt>
                <c:pt idx="53">
                  <c:v>16297.29</c:v>
                </c:pt>
                <c:pt idx="54">
                  <c:v>15767.44</c:v>
                </c:pt>
                <c:pt idx="55">
                  <c:v>15688.93</c:v>
                </c:pt>
                <c:pt idx="56">
                  <c:v>14396.46</c:v>
                </c:pt>
                <c:pt idx="57">
                  <c:v>14202.38</c:v>
                </c:pt>
                <c:pt idx="58">
                  <c:v>13102.73</c:v>
                </c:pt>
                <c:pt idx="59">
                  <c:v>10895.01</c:v>
                </c:pt>
                <c:pt idx="60">
                  <c:v>10319.08</c:v>
                </c:pt>
                <c:pt idx="61">
                  <c:v>11219.51</c:v>
                </c:pt>
                <c:pt idx="62">
                  <c:v>9549.68</c:v>
                </c:pt>
                <c:pt idx="63">
                  <c:v>9216.85</c:v>
                </c:pt>
                <c:pt idx="64">
                  <c:v>10034.43</c:v>
                </c:pt>
                <c:pt idx="65">
                  <c:v>9322.8700000000008</c:v>
                </c:pt>
                <c:pt idx="66">
                  <c:v>9461.34</c:v>
                </c:pt>
                <c:pt idx="67">
                  <c:v>8642.5300000000007</c:v>
                </c:pt>
                <c:pt idx="68">
                  <c:v>8608.33</c:v>
                </c:pt>
                <c:pt idx="69">
                  <c:v>7789.12</c:v>
                </c:pt>
                <c:pt idx="70">
                  <c:v>8120.87</c:v>
                </c:pt>
                <c:pt idx="71">
                  <c:v>6735.55</c:v>
                </c:pt>
                <c:pt idx="72">
                  <c:v>7651.14</c:v>
                </c:pt>
                <c:pt idx="73">
                  <c:v>7338.77</c:v>
                </c:pt>
                <c:pt idx="74">
                  <c:v>8519.2900000000009</c:v>
                </c:pt>
                <c:pt idx="75">
                  <c:v>7248.98</c:v>
                </c:pt>
                <c:pt idx="76">
                  <c:v>6575.42</c:v>
                </c:pt>
                <c:pt idx="77">
                  <c:v>6162.94</c:v>
                </c:pt>
                <c:pt idx="78">
                  <c:v>5369.66</c:v>
                </c:pt>
                <c:pt idx="79">
                  <c:v>5058.71</c:v>
                </c:pt>
                <c:pt idx="80">
                  <c:v>3897.47</c:v>
                </c:pt>
                <c:pt idx="81">
                  <c:v>3136.51</c:v>
                </c:pt>
                <c:pt idx="82">
                  <c:v>2582</c:v>
                </c:pt>
                <c:pt idx="83">
                  <c:v>2969.34</c:v>
                </c:pt>
                <c:pt idx="84">
                  <c:v>2007.02</c:v>
                </c:pt>
                <c:pt idx="85">
                  <c:v>3446.68</c:v>
                </c:pt>
                <c:pt idx="86">
                  <c:v>2726.79</c:v>
                </c:pt>
                <c:pt idx="87">
                  <c:v>1737.45</c:v>
                </c:pt>
                <c:pt idx="88">
                  <c:v>958.54</c:v>
                </c:pt>
                <c:pt idx="89">
                  <c:v>724.6</c:v>
                </c:pt>
                <c:pt idx="90">
                  <c:v>1173.6400000000001</c:v>
                </c:pt>
                <c:pt idx="91">
                  <c:v>2364.9499999999998</c:v>
                </c:pt>
                <c:pt idx="92">
                  <c:v>2869.59</c:v>
                </c:pt>
                <c:pt idx="93">
                  <c:v>2314.21</c:v>
                </c:pt>
                <c:pt idx="94">
                  <c:v>1789.72</c:v>
                </c:pt>
                <c:pt idx="95">
                  <c:v>1410.42</c:v>
                </c:pt>
                <c:pt idx="96">
                  <c:v>1591.48</c:v>
                </c:pt>
                <c:pt idx="97">
                  <c:v>1251.44</c:v>
                </c:pt>
                <c:pt idx="98">
                  <c:v>582.94000000000005</c:v>
                </c:pt>
                <c:pt idx="99">
                  <c:v>1975.16</c:v>
                </c:pt>
                <c:pt idx="100">
                  <c:v>2839.95</c:v>
                </c:pt>
                <c:pt idx="101">
                  <c:v>4347.57</c:v>
                </c:pt>
                <c:pt idx="102">
                  <c:v>4896.79</c:v>
                </c:pt>
                <c:pt idx="103">
                  <c:v>5801.71</c:v>
                </c:pt>
                <c:pt idx="104">
                  <c:v>6396.2</c:v>
                </c:pt>
                <c:pt idx="105">
                  <c:v>7102.67</c:v>
                </c:pt>
                <c:pt idx="106">
                  <c:v>6790.19</c:v>
                </c:pt>
                <c:pt idx="107">
                  <c:v>7092.61</c:v>
                </c:pt>
                <c:pt idx="108">
                  <c:v>6747.97</c:v>
                </c:pt>
                <c:pt idx="109">
                  <c:v>6854.91</c:v>
                </c:pt>
                <c:pt idx="110">
                  <c:v>6093.69</c:v>
                </c:pt>
                <c:pt idx="111">
                  <c:v>6215.27</c:v>
                </c:pt>
                <c:pt idx="112">
                  <c:v>5764.42</c:v>
                </c:pt>
                <c:pt idx="113">
                  <c:v>5567.91</c:v>
                </c:pt>
                <c:pt idx="114">
                  <c:v>5455.84</c:v>
                </c:pt>
                <c:pt idx="115">
                  <c:v>5435.36</c:v>
                </c:pt>
                <c:pt idx="116">
                  <c:v>9075.26</c:v>
                </c:pt>
                <c:pt idx="117">
                  <c:v>9574.19</c:v>
                </c:pt>
                <c:pt idx="118">
                  <c:v>9644.1200000000008</c:v>
                </c:pt>
                <c:pt idx="119">
                  <c:v>9193.31</c:v>
                </c:pt>
                <c:pt idx="120">
                  <c:v>8667.26</c:v>
                </c:pt>
                <c:pt idx="121">
                  <c:v>8017.14</c:v>
                </c:pt>
                <c:pt idx="122">
                  <c:v>7805.75</c:v>
                </c:pt>
                <c:pt idx="123">
                  <c:v>6838.92</c:v>
                </c:pt>
                <c:pt idx="124">
                  <c:v>7699.37</c:v>
                </c:pt>
                <c:pt idx="125">
                  <c:v>7450.52</c:v>
                </c:pt>
                <c:pt idx="126">
                  <c:v>7598.45</c:v>
                </c:pt>
                <c:pt idx="127">
                  <c:v>6879.43</c:v>
                </c:pt>
                <c:pt idx="128">
                  <c:v>6187.4</c:v>
                </c:pt>
                <c:pt idx="129">
                  <c:v>6163.48</c:v>
                </c:pt>
                <c:pt idx="130">
                  <c:v>6155.15</c:v>
                </c:pt>
                <c:pt idx="131">
                  <c:v>5665.77</c:v>
                </c:pt>
                <c:pt idx="132">
                  <c:v>5611.4</c:v>
                </c:pt>
                <c:pt idx="133">
                  <c:v>5392.78</c:v>
                </c:pt>
                <c:pt idx="134">
                  <c:v>5301.96</c:v>
                </c:pt>
                <c:pt idx="135">
                  <c:v>6699.11</c:v>
                </c:pt>
                <c:pt idx="136">
                  <c:v>5829.21</c:v>
                </c:pt>
                <c:pt idx="137">
                  <c:v>6179.97</c:v>
                </c:pt>
                <c:pt idx="138">
                  <c:v>6902.86</c:v>
                </c:pt>
                <c:pt idx="139">
                  <c:v>6619.2</c:v>
                </c:pt>
                <c:pt idx="140">
                  <c:v>6221.31</c:v>
                </c:pt>
                <c:pt idx="141">
                  <c:v>5835.13</c:v>
                </c:pt>
                <c:pt idx="142">
                  <c:v>6406.13</c:v>
                </c:pt>
                <c:pt idx="143">
                  <c:v>6363.27</c:v>
                </c:pt>
                <c:pt idx="144">
                  <c:v>5520.89</c:v>
                </c:pt>
                <c:pt idx="145">
                  <c:v>5173.3999999999996</c:v>
                </c:pt>
                <c:pt idx="146">
                  <c:v>4721.8500000000004</c:v>
                </c:pt>
                <c:pt idx="147">
                  <c:v>4927.54</c:v>
                </c:pt>
                <c:pt idx="148">
                  <c:v>5327.91</c:v>
                </c:pt>
                <c:pt idx="149">
                  <c:v>4108.53</c:v>
                </c:pt>
                <c:pt idx="150">
                  <c:v>3421.04</c:v>
                </c:pt>
                <c:pt idx="151">
                  <c:v>4349.22</c:v>
                </c:pt>
                <c:pt idx="152">
                  <c:v>4098.09</c:v>
                </c:pt>
                <c:pt idx="153">
                  <c:v>3796.2</c:v>
                </c:pt>
                <c:pt idx="154">
                  <c:v>3464.26</c:v>
                </c:pt>
                <c:pt idx="155">
                  <c:v>3775</c:v>
                </c:pt>
                <c:pt idx="156">
                  <c:v>5726.22</c:v>
                </c:pt>
                <c:pt idx="157">
                  <c:v>5008.5200000000004</c:v>
                </c:pt>
                <c:pt idx="158">
                  <c:v>4958.38</c:v>
                </c:pt>
                <c:pt idx="159">
                  <c:v>4397.03</c:v>
                </c:pt>
                <c:pt idx="160">
                  <c:v>4513.07</c:v>
                </c:pt>
                <c:pt idx="161">
                  <c:v>3510.15</c:v>
                </c:pt>
                <c:pt idx="162">
                  <c:v>3117.31</c:v>
                </c:pt>
                <c:pt idx="163">
                  <c:v>2776.43</c:v>
                </c:pt>
                <c:pt idx="164">
                  <c:v>1998.56</c:v>
                </c:pt>
                <c:pt idx="165">
                  <c:v>1627.58</c:v>
                </c:pt>
                <c:pt idx="166">
                  <c:v>1406.88</c:v>
                </c:pt>
                <c:pt idx="167">
                  <c:v>865.54</c:v>
                </c:pt>
                <c:pt idx="168">
                  <c:v>2650.95</c:v>
                </c:pt>
                <c:pt idx="169">
                  <c:v>2962.09</c:v>
                </c:pt>
                <c:pt idx="170">
                  <c:v>1883.09</c:v>
                </c:pt>
                <c:pt idx="171">
                  <c:v>1548.08</c:v>
                </c:pt>
                <c:pt idx="172">
                  <c:v>683.32</c:v>
                </c:pt>
                <c:pt idx="173">
                  <c:v>494.73</c:v>
                </c:pt>
                <c:pt idx="174">
                  <c:v>485.12</c:v>
                </c:pt>
                <c:pt idx="175">
                  <c:v>775</c:v>
                </c:pt>
                <c:pt idx="176">
                  <c:v>1348.57</c:v>
                </c:pt>
                <c:pt idx="177">
                  <c:v>2921.06</c:v>
                </c:pt>
                <c:pt idx="178">
                  <c:v>4085.61</c:v>
                </c:pt>
                <c:pt idx="179">
                  <c:v>4468.6400000000003</c:v>
                </c:pt>
                <c:pt idx="180">
                  <c:v>5174.18</c:v>
                </c:pt>
                <c:pt idx="181">
                  <c:v>5374.41</c:v>
                </c:pt>
                <c:pt idx="182">
                  <c:v>5498.97</c:v>
                </c:pt>
                <c:pt idx="183">
                  <c:v>4609.26</c:v>
                </c:pt>
                <c:pt idx="184">
                  <c:v>4322.62</c:v>
                </c:pt>
                <c:pt idx="185">
                  <c:v>3848.14</c:v>
                </c:pt>
                <c:pt idx="186">
                  <c:v>4160.3100000000004</c:v>
                </c:pt>
                <c:pt idx="187">
                  <c:v>5007.0200000000004</c:v>
                </c:pt>
                <c:pt idx="188">
                  <c:v>4815.5200000000004</c:v>
                </c:pt>
                <c:pt idx="189">
                  <c:v>5373.64</c:v>
                </c:pt>
                <c:pt idx="190">
                  <c:v>6617.17</c:v>
                </c:pt>
                <c:pt idx="191">
                  <c:v>6721.42</c:v>
                </c:pt>
                <c:pt idx="192">
                  <c:v>6789.59</c:v>
                </c:pt>
                <c:pt idx="193">
                  <c:v>7130</c:v>
                </c:pt>
                <c:pt idx="194">
                  <c:v>8411.0300000000007</c:v>
                </c:pt>
                <c:pt idx="195">
                  <c:v>8477.17</c:v>
                </c:pt>
                <c:pt idx="196">
                  <c:v>7530.08</c:v>
                </c:pt>
                <c:pt idx="197">
                  <c:v>7634.59</c:v>
                </c:pt>
                <c:pt idx="198">
                  <c:v>6699.76</c:v>
                </c:pt>
                <c:pt idx="199">
                  <c:v>6930.07</c:v>
                </c:pt>
                <c:pt idx="200">
                  <c:v>7535.7</c:v>
                </c:pt>
                <c:pt idx="201">
                  <c:v>6676.78</c:v>
                </c:pt>
                <c:pt idx="202">
                  <c:v>6306.18</c:v>
                </c:pt>
                <c:pt idx="203">
                  <c:v>7327.21</c:v>
                </c:pt>
                <c:pt idx="204">
                  <c:v>7130.64</c:v>
                </c:pt>
                <c:pt idx="205">
                  <c:v>7434.64</c:v>
                </c:pt>
                <c:pt idx="206">
                  <c:v>7278.56</c:v>
                </c:pt>
                <c:pt idx="207">
                  <c:v>7735.44</c:v>
                </c:pt>
                <c:pt idx="208">
                  <c:v>8151.59</c:v>
                </c:pt>
                <c:pt idx="209">
                  <c:v>8654.81</c:v>
                </c:pt>
                <c:pt idx="210">
                  <c:v>8215.75</c:v>
                </c:pt>
                <c:pt idx="211">
                  <c:v>8318.7999999999993</c:v>
                </c:pt>
                <c:pt idx="212">
                  <c:v>7887.59</c:v>
                </c:pt>
                <c:pt idx="213">
                  <c:v>7676.72</c:v>
                </c:pt>
                <c:pt idx="214">
                  <c:v>7605.5</c:v>
                </c:pt>
                <c:pt idx="215">
                  <c:v>7483.88</c:v>
                </c:pt>
                <c:pt idx="216">
                  <c:v>8126.05</c:v>
                </c:pt>
                <c:pt idx="217">
                  <c:v>7722.6</c:v>
                </c:pt>
                <c:pt idx="218">
                  <c:v>7328.28</c:v>
                </c:pt>
                <c:pt idx="219">
                  <c:v>6725.37</c:v>
                </c:pt>
                <c:pt idx="220">
                  <c:v>9299.32</c:v>
                </c:pt>
                <c:pt idx="221">
                  <c:v>9293.7900000000009</c:v>
                </c:pt>
                <c:pt idx="222">
                  <c:v>8904.42</c:v>
                </c:pt>
                <c:pt idx="223">
                  <c:v>8168.09</c:v>
                </c:pt>
                <c:pt idx="224">
                  <c:v>7061.08</c:v>
                </c:pt>
                <c:pt idx="225">
                  <c:v>7108.82</c:v>
                </c:pt>
                <c:pt idx="226">
                  <c:v>7160.2</c:v>
                </c:pt>
                <c:pt idx="227">
                  <c:v>7033.14</c:v>
                </c:pt>
                <c:pt idx="228">
                  <c:v>6502.12</c:v>
                </c:pt>
                <c:pt idx="229">
                  <c:v>7821.58</c:v>
                </c:pt>
                <c:pt idx="230">
                  <c:v>7442.06</c:v>
                </c:pt>
                <c:pt idx="231">
                  <c:v>7456.08</c:v>
                </c:pt>
                <c:pt idx="232">
                  <c:v>7223.28</c:v>
                </c:pt>
                <c:pt idx="233">
                  <c:v>7667.79</c:v>
                </c:pt>
                <c:pt idx="234">
                  <c:v>7674.19</c:v>
                </c:pt>
                <c:pt idx="235">
                  <c:v>8540.01</c:v>
                </c:pt>
                <c:pt idx="236">
                  <c:v>7852.33</c:v>
                </c:pt>
                <c:pt idx="237">
                  <c:v>7888.23</c:v>
                </c:pt>
                <c:pt idx="238">
                  <c:v>7347.27</c:v>
                </c:pt>
                <c:pt idx="239">
                  <c:v>7570.77</c:v>
                </c:pt>
                <c:pt idx="240">
                  <c:v>7710.47</c:v>
                </c:pt>
                <c:pt idx="241">
                  <c:v>7255.77</c:v>
                </c:pt>
                <c:pt idx="242">
                  <c:v>8393.98</c:v>
                </c:pt>
                <c:pt idx="243">
                  <c:v>7789.1</c:v>
                </c:pt>
                <c:pt idx="244">
                  <c:v>8234.1200000000008</c:v>
                </c:pt>
                <c:pt idx="245">
                  <c:v>7873.95</c:v>
                </c:pt>
                <c:pt idx="246">
                  <c:v>8147.51</c:v>
                </c:pt>
                <c:pt idx="247">
                  <c:v>8174.1</c:v>
                </c:pt>
                <c:pt idx="248">
                  <c:v>8471.3700000000008</c:v>
                </c:pt>
                <c:pt idx="249">
                  <c:v>8402.27</c:v>
                </c:pt>
                <c:pt idx="250">
                  <c:v>8088.57</c:v>
                </c:pt>
                <c:pt idx="251">
                  <c:v>7378.34</c:v>
                </c:pt>
                <c:pt idx="252">
                  <c:v>7827.04</c:v>
                </c:pt>
                <c:pt idx="253">
                  <c:v>8150.11</c:v>
                </c:pt>
                <c:pt idx="254">
                  <c:v>7113.54</c:v>
                </c:pt>
                <c:pt idx="255">
                  <c:v>8039.75</c:v>
                </c:pt>
                <c:pt idx="256">
                  <c:v>7350.39</c:v>
                </c:pt>
                <c:pt idx="257">
                  <c:v>7218.92</c:v>
                </c:pt>
                <c:pt idx="258">
                  <c:v>6205.31</c:v>
                </c:pt>
                <c:pt idx="259">
                  <c:v>6511.87</c:v>
                </c:pt>
                <c:pt idx="260">
                  <c:v>6654.85</c:v>
                </c:pt>
                <c:pt idx="261">
                  <c:v>8115.49</c:v>
                </c:pt>
                <c:pt idx="262">
                  <c:v>8179.53</c:v>
                </c:pt>
                <c:pt idx="263">
                  <c:v>8091.54</c:v>
                </c:pt>
                <c:pt idx="264">
                  <c:v>7389.38</c:v>
                </c:pt>
                <c:pt idx="265">
                  <c:v>5685.5</c:v>
                </c:pt>
                <c:pt idx="266">
                  <c:v>5228.18</c:v>
                </c:pt>
                <c:pt idx="267">
                  <c:v>4507.13</c:v>
                </c:pt>
                <c:pt idx="268">
                  <c:v>4157.99</c:v>
                </c:pt>
                <c:pt idx="269">
                  <c:v>3159.7</c:v>
                </c:pt>
                <c:pt idx="270">
                  <c:v>3016.24</c:v>
                </c:pt>
                <c:pt idx="271">
                  <c:v>3151.89</c:v>
                </c:pt>
                <c:pt idx="272">
                  <c:v>6387.83</c:v>
                </c:pt>
                <c:pt idx="273">
                  <c:v>5761.59</c:v>
                </c:pt>
                <c:pt idx="274">
                  <c:v>6776.57</c:v>
                </c:pt>
                <c:pt idx="275">
                  <c:v>5958.6</c:v>
                </c:pt>
                <c:pt idx="276">
                  <c:v>5624.33</c:v>
                </c:pt>
                <c:pt idx="277">
                  <c:v>4758.8599999999997</c:v>
                </c:pt>
                <c:pt idx="278">
                  <c:v>4366.2700000000004</c:v>
                </c:pt>
                <c:pt idx="279">
                  <c:v>3761.6</c:v>
                </c:pt>
                <c:pt idx="280">
                  <c:v>2770.25</c:v>
                </c:pt>
                <c:pt idx="281">
                  <c:v>3838.51</c:v>
                </c:pt>
                <c:pt idx="282">
                  <c:v>3345.79</c:v>
                </c:pt>
                <c:pt idx="283">
                  <c:v>3722.32</c:v>
                </c:pt>
                <c:pt idx="284">
                  <c:v>3110.48</c:v>
                </c:pt>
                <c:pt idx="285">
                  <c:v>3120.85</c:v>
                </c:pt>
                <c:pt idx="286">
                  <c:v>3335.38</c:v>
                </c:pt>
                <c:pt idx="287">
                  <c:v>4194.46</c:v>
                </c:pt>
                <c:pt idx="288">
                  <c:v>4643.1499999999996</c:v>
                </c:pt>
                <c:pt idx="289">
                  <c:v>5154.6899999999996</c:v>
                </c:pt>
                <c:pt idx="290">
                  <c:v>5260.63</c:v>
                </c:pt>
                <c:pt idx="291">
                  <c:v>5957.98</c:v>
                </c:pt>
                <c:pt idx="292">
                  <c:v>6619.39</c:v>
                </c:pt>
                <c:pt idx="293">
                  <c:v>6675.85</c:v>
                </c:pt>
                <c:pt idx="294">
                  <c:v>8071.42</c:v>
                </c:pt>
                <c:pt idx="295">
                  <c:v>7579.7</c:v>
                </c:pt>
                <c:pt idx="296">
                  <c:v>8193.7800000000007</c:v>
                </c:pt>
                <c:pt idx="297">
                  <c:v>7940.54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B-40F1-9097-DD3A5F5C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503215"/>
        <c:axId val="1590503695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存款准备金（单位：亿美元）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valAx>
        <c:axId val="15905036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TGA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账户（单位：亿美元）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590503215"/>
        <c:crosses val="max"/>
        <c:crossBetween val="between"/>
      </c:valAx>
      <c:dateAx>
        <c:axId val="1590503215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59050369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429166666666666"/>
          <c:y val="0.12435416666666668"/>
          <c:w val="0.75141666666666662"/>
          <c:h val="7.0114583333333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/>
              <a:t>净流动性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438844400179216"/>
          <c:y val="0.16845138888888889"/>
          <c:w val="0.84625039475734498"/>
          <c:h val="0.55713194444444447"/>
        </c:manualLayout>
      </c:layout>
      <c:lineChart>
        <c:grouping val="standard"/>
        <c:varyColors val="0"/>
        <c:ser>
          <c:idx val="0"/>
          <c:order val="0"/>
          <c:tx>
            <c:strRef>
              <c:f>资产负债表!$Y$3</c:f>
              <c:strCache>
                <c:ptCount val="1"/>
                <c:pt idx="0">
                  <c:v>净流动性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资产负债表!$I$4:$I$301</c:f>
              <c:numCache>
                <c:formatCode>yyyy\-mm\-dd</c:formatCode>
                <c:ptCount val="298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43999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  <c:pt idx="53">
                  <c:v>44202</c:v>
                </c:pt>
                <c:pt idx="54">
                  <c:v>44209</c:v>
                </c:pt>
                <c:pt idx="55">
                  <c:v>44216</c:v>
                </c:pt>
                <c:pt idx="56">
                  <c:v>44223</c:v>
                </c:pt>
                <c:pt idx="57">
                  <c:v>44230</c:v>
                </c:pt>
                <c:pt idx="58">
                  <c:v>44237</c:v>
                </c:pt>
                <c:pt idx="59">
                  <c:v>44244</c:v>
                </c:pt>
                <c:pt idx="60">
                  <c:v>44251</c:v>
                </c:pt>
                <c:pt idx="61">
                  <c:v>44258</c:v>
                </c:pt>
                <c:pt idx="62">
                  <c:v>44265</c:v>
                </c:pt>
                <c:pt idx="63">
                  <c:v>44272</c:v>
                </c:pt>
                <c:pt idx="64">
                  <c:v>44279</c:v>
                </c:pt>
                <c:pt idx="65">
                  <c:v>44286</c:v>
                </c:pt>
                <c:pt idx="66">
                  <c:v>44293</c:v>
                </c:pt>
                <c:pt idx="67">
                  <c:v>44300</c:v>
                </c:pt>
                <c:pt idx="68">
                  <c:v>44307</c:v>
                </c:pt>
                <c:pt idx="69">
                  <c:v>44314</c:v>
                </c:pt>
                <c:pt idx="70">
                  <c:v>44321</c:v>
                </c:pt>
                <c:pt idx="71">
                  <c:v>44328</c:v>
                </c:pt>
                <c:pt idx="72">
                  <c:v>44335</c:v>
                </c:pt>
                <c:pt idx="73">
                  <c:v>44342</c:v>
                </c:pt>
                <c:pt idx="74">
                  <c:v>44349</c:v>
                </c:pt>
                <c:pt idx="75">
                  <c:v>44356</c:v>
                </c:pt>
                <c:pt idx="76">
                  <c:v>44363</c:v>
                </c:pt>
                <c:pt idx="77">
                  <c:v>44370</c:v>
                </c:pt>
                <c:pt idx="78">
                  <c:v>44377</c:v>
                </c:pt>
                <c:pt idx="79">
                  <c:v>44384</c:v>
                </c:pt>
                <c:pt idx="80">
                  <c:v>44391</c:v>
                </c:pt>
                <c:pt idx="81">
                  <c:v>44398</c:v>
                </c:pt>
                <c:pt idx="82">
                  <c:v>44405</c:v>
                </c:pt>
                <c:pt idx="83">
                  <c:v>44412</c:v>
                </c:pt>
                <c:pt idx="84">
                  <c:v>44419</c:v>
                </c:pt>
                <c:pt idx="85">
                  <c:v>44426</c:v>
                </c:pt>
                <c:pt idx="86">
                  <c:v>44433</c:v>
                </c:pt>
                <c:pt idx="87">
                  <c:v>44440</c:v>
                </c:pt>
                <c:pt idx="88">
                  <c:v>44447</c:v>
                </c:pt>
                <c:pt idx="89">
                  <c:v>44454</c:v>
                </c:pt>
                <c:pt idx="90">
                  <c:v>44461</c:v>
                </c:pt>
                <c:pt idx="91">
                  <c:v>44468</c:v>
                </c:pt>
                <c:pt idx="92">
                  <c:v>44475</c:v>
                </c:pt>
                <c:pt idx="93">
                  <c:v>44482</c:v>
                </c:pt>
                <c:pt idx="94">
                  <c:v>44489</c:v>
                </c:pt>
                <c:pt idx="95">
                  <c:v>44496</c:v>
                </c:pt>
                <c:pt idx="96">
                  <c:v>44503</c:v>
                </c:pt>
                <c:pt idx="97">
                  <c:v>44510</c:v>
                </c:pt>
                <c:pt idx="98">
                  <c:v>44517</c:v>
                </c:pt>
                <c:pt idx="99">
                  <c:v>44524</c:v>
                </c:pt>
                <c:pt idx="100">
                  <c:v>44531</c:v>
                </c:pt>
                <c:pt idx="101">
                  <c:v>44538</c:v>
                </c:pt>
                <c:pt idx="102">
                  <c:v>44545</c:v>
                </c:pt>
                <c:pt idx="103">
                  <c:v>44552</c:v>
                </c:pt>
                <c:pt idx="104">
                  <c:v>44559</c:v>
                </c:pt>
                <c:pt idx="105">
                  <c:v>44566</c:v>
                </c:pt>
                <c:pt idx="106">
                  <c:v>44573</c:v>
                </c:pt>
                <c:pt idx="107">
                  <c:v>44580</c:v>
                </c:pt>
                <c:pt idx="108">
                  <c:v>44587</c:v>
                </c:pt>
                <c:pt idx="109">
                  <c:v>44594</c:v>
                </c:pt>
                <c:pt idx="110">
                  <c:v>44601</c:v>
                </c:pt>
                <c:pt idx="111">
                  <c:v>44608</c:v>
                </c:pt>
                <c:pt idx="112">
                  <c:v>44615</c:v>
                </c:pt>
                <c:pt idx="113">
                  <c:v>44622</c:v>
                </c:pt>
                <c:pt idx="114">
                  <c:v>44629</c:v>
                </c:pt>
                <c:pt idx="115">
                  <c:v>44636</c:v>
                </c:pt>
                <c:pt idx="116">
                  <c:v>44643</c:v>
                </c:pt>
                <c:pt idx="117">
                  <c:v>44650</c:v>
                </c:pt>
                <c:pt idx="118">
                  <c:v>44657</c:v>
                </c:pt>
                <c:pt idx="119">
                  <c:v>44664</c:v>
                </c:pt>
                <c:pt idx="120">
                  <c:v>44671</c:v>
                </c:pt>
                <c:pt idx="121">
                  <c:v>44678</c:v>
                </c:pt>
                <c:pt idx="122">
                  <c:v>44685</c:v>
                </c:pt>
                <c:pt idx="123">
                  <c:v>44692</c:v>
                </c:pt>
                <c:pt idx="124">
                  <c:v>44699</c:v>
                </c:pt>
                <c:pt idx="125">
                  <c:v>44706</c:v>
                </c:pt>
                <c:pt idx="126">
                  <c:v>44713</c:v>
                </c:pt>
                <c:pt idx="127">
                  <c:v>44720</c:v>
                </c:pt>
                <c:pt idx="128">
                  <c:v>44727</c:v>
                </c:pt>
                <c:pt idx="129">
                  <c:v>44734</c:v>
                </c:pt>
                <c:pt idx="130">
                  <c:v>44741</c:v>
                </c:pt>
                <c:pt idx="131">
                  <c:v>44748</c:v>
                </c:pt>
                <c:pt idx="132">
                  <c:v>44755</c:v>
                </c:pt>
                <c:pt idx="133">
                  <c:v>44762</c:v>
                </c:pt>
                <c:pt idx="134">
                  <c:v>44769</c:v>
                </c:pt>
                <c:pt idx="135">
                  <c:v>44776</c:v>
                </c:pt>
                <c:pt idx="136">
                  <c:v>44783</c:v>
                </c:pt>
                <c:pt idx="137">
                  <c:v>44790</c:v>
                </c:pt>
                <c:pt idx="138">
                  <c:v>44797</c:v>
                </c:pt>
                <c:pt idx="139">
                  <c:v>44804</c:v>
                </c:pt>
                <c:pt idx="140">
                  <c:v>44811</c:v>
                </c:pt>
                <c:pt idx="141">
                  <c:v>44818</c:v>
                </c:pt>
                <c:pt idx="142">
                  <c:v>44825</c:v>
                </c:pt>
                <c:pt idx="143">
                  <c:v>44832</c:v>
                </c:pt>
                <c:pt idx="144">
                  <c:v>44839</c:v>
                </c:pt>
                <c:pt idx="145">
                  <c:v>44846</c:v>
                </c:pt>
                <c:pt idx="146">
                  <c:v>44853</c:v>
                </c:pt>
                <c:pt idx="147">
                  <c:v>44860</c:v>
                </c:pt>
                <c:pt idx="148">
                  <c:v>44867</c:v>
                </c:pt>
                <c:pt idx="149">
                  <c:v>44874</c:v>
                </c:pt>
                <c:pt idx="150">
                  <c:v>44881</c:v>
                </c:pt>
                <c:pt idx="151">
                  <c:v>44888</c:v>
                </c:pt>
                <c:pt idx="152">
                  <c:v>44895</c:v>
                </c:pt>
                <c:pt idx="153">
                  <c:v>44902</c:v>
                </c:pt>
                <c:pt idx="154">
                  <c:v>44909</c:v>
                </c:pt>
                <c:pt idx="155">
                  <c:v>44916</c:v>
                </c:pt>
                <c:pt idx="156">
                  <c:v>44923</c:v>
                </c:pt>
                <c:pt idx="157">
                  <c:v>44930</c:v>
                </c:pt>
                <c:pt idx="158">
                  <c:v>44937</c:v>
                </c:pt>
                <c:pt idx="159">
                  <c:v>44944</c:v>
                </c:pt>
                <c:pt idx="160">
                  <c:v>44951</c:v>
                </c:pt>
                <c:pt idx="161">
                  <c:v>44958</c:v>
                </c:pt>
                <c:pt idx="162">
                  <c:v>44965</c:v>
                </c:pt>
                <c:pt idx="163">
                  <c:v>44972</c:v>
                </c:pt>
                <c:pt idx="164">
                  <c:v>44979</c:v>
                </c:pt>
                <c:pt idx="165">
                  <c:v>44986</c:v>
                </c:pt>
                <c:pt idx="166">
                  <c:v>44993</c:v>
                </c:pt>
                <c:pt idx="167">
                  <c:v>45000</c:v>
                </c:pt>
                <c:pt idx="168">
                  <c:v>45007</c:v>
                </c:pt>
                <c:pt idx="169">
                  <c:v>45014</c:v>
                </c:pt>
                <c:pt idx="170">
                  <c:v>45021</c:v>
                </c:pt>
                <c:pt idx="171">
                  <c:v>45028</c:v>
                </c:pt>
                <c:pt idx="172">
                  <c:v>45035</c:v>
                </c:pt>
                <c:pt idx="173">
                  <c:v>45042</c:v>
                </c:pt>
                <c:pt idx="174">
                  <c:v>45049</c:v>
                </c:pt>
                <c:pt idx="175">
                  <c:v>45056</c:v>
                </c:pt>
                <c:pt idx="176">
                  <c:v>45063</c:v>
                </c:pt>
                <c:pt idx="177">
                  <c:v>45070</c:v>
                </c:pt>
                <c:pt idx="178">
                  <c:v>45077</c:v>
                </c:pt>
                <c:pt idx="179">
                  <c:v>45084</c:v>
                </c:pt>
                <c:pt idx="180">
                  <c:v>45091</c:v>
                </c:pt>
                <c:pt idx="181">
                  <c:v>45098</c:v>
                </c:pt>
                <c:pt idx="182">
                  <c:v>45105</c:v>
                </c:pt>
                <c:pt idx="183">
                  <c:v>45112</c:v>
                </c:pt>
                <c:pt idx="184">
                  <c:v>45119</c:v>
                </c:pt>
                <c:pt idx="185">
                  <c:v>45126</c:v>
                </c:pt>
                <c:pt idx="186">
                  <c:v>45133</c:v>
                </c:pt>
                <c:pt idx="187">
                  <c:v>45140</c:v>
                </c:pt>
                <c:pt idx="188">
                  <c:v>45147</c:v>
                </c:pt>
                <c:pt idx="189">
                  <c:v>45154</c:v>
                </c:pt>
                <c:pt idx="190">
                  <c:v>45161</c:v>
                </c:pt>
                <c:pt idx="191">
                  <c:v>45168</c:v>
                </c:pt>
                <c:pt idx="192">
                  <c:v>45175</c:v>
                </c:pt>
                <c:pt idx="193">
                  <c:v>45182</c:v>
                </c:pt>
                <c:pt idx="194">
                  <c:v>45189</c:v>
                </c:pt>
                <c:pt idx="195">
                  <c:v>45196</c:v>
                </c:pt>
                <c:pt idx="196">
                  <c:v>45203</c:v>
                </c:pt>
                <c:pt idx="197">
                  <c:v>45210</c:v>
                </c:pt>
                <c:pt idx="198">
                  <c:v>45217</c:v>
                </c:pt>
                <c:pt idx="199">
                  <c:v>45224</c:v>
                </c:pt>
                <c:pt idx="200">
                  <c:v>45231</c:v>
                </c:pt>
                <c:pt idx="201">
                  <c:v>45238</c:v>
                </c:pt>
                <c:pt idx="202">
                  <c:v>45245</c:v>
                </c:pt>
                <c:pt idx="203">
                  <c:v>45252</c:v>
                </c:pt>
                <c:pt idx="204">
                  <c:v>45259</c:v>
                </c:pt>
                <c:pt idx="205">
                  <c:v>45266</c:v>
                </c:pt>
                <c:pt idx="206">
                  <c:v>45273</c:v>
                </c:pt>
                <c:pt idx="207">
                  <c:v>45280</c:v>
                </c:pt>
                <c:pt idx="208">
                  <c:v>45287</c:v>
                </c:pt>
                <c:pt idx="209">
                  <c:v>45294</c:v>
                </c:pt>
                <c:pt idx="210">
                  <c:v>45301</c:v>
                </c:pt>
                <c:pt idx="211">
                  <c:v>45308</c:v>
                </c:pt>
                <c:pt idx="212">
                  <c:v>45315</c:v>
                </c:pt>
                <c:pt idx="213">
                  <c:v>45322</c:v>
                </c:pt>
                <c:pt idx="214">
                  <c:v>45329</c:v>
                </c:pt>
                <c:pt idx="215">
                  <c:v>45336</c:v>
                </c:pt>
                <c:pt idx="216">
                  <c:v>45343</c:v>
                </c:pt>
                <c:pt idx="217">
                  <c:v>45350</c:v>
                </c:pt>
                <c:pt idx="218">
                  <c:v>45357</c:v>
                </c:pt>
                <c:pt idx="219">
                  <c:v>45364</c:v>
                </c:pt>
                <c:pt idx="220">
                  <c:v>45371</c:v>
                </c:pt>
                <c:pt idx="221">
                  <c:v>45378</c:v>
                </c:pt>
                <c:pt idx="222">
                  <c:v>45385</c:v>
                </c:pt>
                <c:pt idx="223">
                  <c:v>45392</c:v>
                </c:pt>
                <c:pt idx="224">
                  <c:v>45399</c:v>
                </c:pt>
                <c:pt idx="225">
                  <c:v>45406</c:v>
                </c:pt>
                <c:pt idx="226">
                  <c:v>45413</c:v>
                </c:pt>
                <c:pt idx="227">
                  <c:v>45420</c:v>
                </c:pt>
                <c:pt idx="228">
                  <c:v>45427</c:v>
                </c:pt>
                <c:pt idx="229">
                  <c:v>45434</c:v>
                </c:pt>
                <c:pt idx="230">
                  <c:v>45441</c:v>
                </c:pt>
                <c:pt idx="231">
                  <c:v>45448</c:v>
                </c:pt>
                <c:pt idx="232">
                  <c:v>45455</c:v>
                </c:pt>
                <c:pt idx="233">
                  <c:v>45462</c:v>
                </c:pt>
                <c:pt idx="234">
                  <c:v>45469</c:v>
                </c:pt>
                <c:pt idx="235">
                  <c:v>45476</c:v>
                </c:pt>
                <c:pt idx="236">
                  <c:v>45483</c:v>
                </c:pt>
                <c:pt idx="237">
                  <c:v>45490</c:v>
                </c:pt>
                <c:pt idx="238">
                  <c:v>45497</c:v>
                </c:pt>
                <c:pt idx="239">
                  <c:v>45504</c:v>
                </c:pt>
                <c:pt idx="240">
                  <c:v>45511</c:v>
                </c:pt>
                <c:pt idx="241">
                  <c:v>45518</c:v>
                </c:pt>
                <c:pt idx="242">
                  <c:v>45525</c:v>
                </c:pt>
                <c:pt idx="243">
                  <c:v>45532</c:v>
                </c:pt>
                <c:pt idx="244">
                  <c:v>45539</c:v>
                </c:pt>
                <c:pt idx="245">
                  <c:v>45546</c:v>
                </c:pt>
                <c:pt idx="246">
                  <c:v>45553</c:v>
                </c:pt>
                <c:pt idx="247">
                  <c:v>45560</c:v>
                </c:pt>
                <c:pt idx="248">
                  <c:v>45567</c:v>
                </c:pt>
                <c:pt idx="249">
                  <c:v>45574</c:v>
                </c:pt>
                <c:pt idx="250">
                  <c:v>45581</c:v>
                </c:pt>
                <c:pt idx="251">
                  <c:v>45588</c:v>
                </c:pt>
                <c:pt idx="252">
                  <c:v>45595</c:v>
                </c:pt>
                <c:pt idx="253">
                  <c:v>45602</c:v>
                </c:pt>
                <c:pt idx="254">
                  <c:v>45609</c:v>
                </c:pt>
                <c:pt idx="255">
                  <c:v>45616</c:v>
                </c:pt>
                <c:pt idx="256">
                  <c:v>45623</c:v>
                </c:pt>
                <c:pt idx="257">
                  <c:v>45630</c:v>
                </c:pt>
                <c:pt idx="258">
                  <c:v>45637</c:v>
                </c:pt>
                <c:pt idx="259">
                  <c:v>45644</c:v>
                </c:pt>
                <c:pt idx="260">
                  <c:v>45651</c:v>
                </c:pt>
                <c:pt idx="261">
                  <c:v>45658</c:v>
                </c:pt>
                <c:pt idx="262">
                  <c:v>45665</c:v>
                </c:pt>
                <c:pt idx="263">
                  <c:v>45672</c:v>
                </c:pt>
                <c:pt idx="264">
                  <c:v>45679</c:v>
                </c:pt>
                <c:pt idx="265">
                  <c:v>45686</c:v>
                </c:pt>
                <c:pt idx="266">
                  <c:v>45693</c:v>
                </c:pt>
                <c:pt idx="267">
                  <c:v>45700</c:v>
                </c:pt>
                <c:pt idx="268">
                  <c:v>45707</c:v>
                </c:pt>
                <c:pt idx="269">
                  <c:v>45714</c:v>
                </c:pt>
                <c:pt idx="270">
                  <c:v>45721</c:v>
                </c:pt>
                <c:pt idx="271">
                  <c:v>45728</c:v>
                </c:pt>
                <c:pt idx="272">
                  <c:v>45735</c:v>
                </c:pt>
                <c:pt idx="273">
                  <c:v>45742</c:v>
                </c:pt>
                <c:pt idx="274">
                  <c:v>45749</c:v>
                </c:pt>
                <c:pt idx="275">
                  <c:v>45756</c:v>
                </c:pt>
                <c:pt idx="276">
                  <c:v>45763</c:v>
                </c:pt>
                <c:pt idx="277">
                  <c:v>45770</c:v>
                </c:pt>
                <c:pt idx="278">
                  <c:v>45777</c:v>
                </c:pt>
                <c:pt idx="279">
                  <c:v>45784</c:v>
                </c:pt>
                <c:pt idx="280">
                  <c:v>45791</c:v>
                </c:pt>
                <c:pt idx="281">
                  <c:v>45798</c:v>
                </c:pt>
                <c:pt idx="282">
                  <c:v>45805</c:v>
                </c:pt>
                <c:pt idx="283">
                  <c:v>45812</c:v>
                </c:pt>
                <c:pt idx="284">
                  <c:v>45819</c:v>
                </c:pt>
                <c:pt idx="285">
                  <c:v>45826</c:v>
                </c:pt>
                <c:pt idx="286">
                  <c:v>45833</c:v>
                </c:pt>
                <c:pt idx="287">
                  <c:v>45840</c:v>
                </c:pt>
                <c:pt idx="288">
                  <c:v>45847</c:v>
                </c:pt>
                <c:pt idx="289">
                  <c:v>45854</c:v>
                </c:pt>
                <c:pt idx="290">
                  <c:v>45861</c:v>
                </c:pt>
                <c:pt idx="291">
                  <c:v>45868</c:v>
                </c:pt>
                <c:pt idx="292">
                  <c:v>45875</c:v>
                </c:pt>
                <c:pt idx="293">
                  <c:v>45882</c:v>
                </c:pt>
                <c:pt idx="294">
                  <c:v>45889</c:v>
                </c:pt>
                <c:pt idx="295">
                  <c:v>45896</c:v>
                </c:pt>
                <c:pt idx="296">
                  <c:v>45903</c:v>
                </c:pt>
                <c:pt idx="297">
                  <c:v>45910</c:v>
                </c:pt>
              </c:numCache>
            </c:numRef>
          </c:cat>
          <c:val>
            <c:numRef>
              <c:f>资产负债表!$Y$4:$Y$301</c:f>
              <c:numCache>
                <c:formatCode>General</c:formatCode>
                <c:ptCount val="298"/>
                <c:pt idx="0">
                  <c:v>34331.240000000005</c:v>
                </c:pt>
                <c:pt idx="1">
                  <c:v>35237.81</c:v>
                </c:pt>
                <c:pt idx="2">
                  <c:v>35341.350000000006</c:v>
                </c:pt>
                <c:pt idx="3">
                  <c:v>34688.47</c:v>
                </c:pt>
                <c:pt idx="4">
                  <c:v>34676.89</c:v>
                </c:pt>
                <c:pt idx="5">
                  <c:v>35109.590000000004</c:v>
                </c:pt>
                <c:pt idx="6">
                  <c:v>35545.19</c:v>
                </c:pt>
                <c:pt idx="7">
                  <c:v>35235.549999999996</c:v>
                </c:pt>
                <c:pt idx="8">
                  <c:v>35510.54</c:v>
                </c:pt>
                <c:pt idx="9">
                  <c:v>36235.030000000006</c:v>
                </c:pt>
                <c:pt idx="10">
                  <c:v>37062.99</c:v>
                </c:pt>
                <c:pt idx="11">
                  <c:v>40329.120000000003</c:v>
                </c:pt>
                <c:pt idx="12">
                  <c:v>45102.74</c:v>
                </c:pt>
                <c:pt idx="13">
                  <c:v>48102.47</c:v>
                </c:pt>
                <c:pt idx="14">
                  <c:v>49214.750000000007</c:v>
                </c:pt>
                <c:pt idx="15">
                  <c:v>52321.479999999996</c:v>
                </c:pt>
                <c:pt idx="16">
                  <c:v>53338.450000000004</c:v>
                </c:pt>
                <c:pt idx="17">
                  <c:v>53105.909999999996</c:v>
                </c:pt>
                <c:pt idx="18">
                  <c:v>53129.46</c:v>
                </c:pt>
                <c:pt idx="19">
                  <c:v>55149.05</c:v>
                </c:pt>
                <c:pt idx="20">
                  <c:v>55773.119999999995</c:v>
                </c:pt>
                <c:pt idx="21">
                  <c:v>55264.430000000008</c:v>
                </c:pt>
                <c:pt idx="22">
                  <c:v>54877.01</c:v>
                </c:pt>
                <c:pt idx="23">
                  <c:v>54235.53</c:v>
                </c:pt>
                <c:pt idx="24">
                  <c:v>53039.22</c:v>
                </c:pt>
                <c:pt idx="25">
                  <c:v>52753.670000000013</c:v>
                </c:pt>
                <c:pt idx="26">
                  <c:v>51250.569999999992</c:v>
                </c:pt>
                <c:pt idx="27">
                  <c:v>50714.52</c:v>
                </c:pt>
                <c:pt idx="28">
                  <c:v>49939.199999999997</c:v>
                </c:pt>
                <c:pt idx="29">
                  <c:v>49729.100000000006</c:v>
                </c:pt>
                <c:pt idx="30">
                  <c:v>49395.450000000012</c:v>
                </c:pt>
                <c:pt idx="31">
                  <c:v>50261.520000000004</c:v>
                </c:pt>
                <c:pt idx="32">
                  <c:v>51037.88</c:v>
                </c:pt>
                <c:pt idx="33">
                  <c:v>51629.02</c:v>
                </c:pt>
                <c:pt idx="34">
                  <c:v>51698.939999999995</c:v>
                </c:pt>
                <c:pt idx="35">
                  <c:v>51530.05</c:v>
                </c:pt>
                <c:pt idx="36">
                  <c:v>52361.16</c:v>
                </c:pt>
                <c:pt idx="37">
                  <c:v>51731.839999999997</c:v>
                </c:pt>
                <c:pt idx="38">
                  <c:v>52270.77</c:v>
                </c:pt>
                <c:pt idx="39">
                  <c:v>50692.169999999991</c:v>
                </c:pt>
                <c:pt idx="40">
                  <c:v>51986.720000000016</c:v>
                </c:pt>
                <c:pt idx="41">
                  <c:v>53076.61</c:v>
                </c:pt>
                <c:pt idx="42">
                  <c:v>52903.329999999987</c:v>
                </c:pt>
                <c:pt idx="43">
                  <c:v>52913.740000000005</c:v>
                </c:pt>
                <c:pt idx="44">
                  <c:v>53458.74</c:v>
                </c:pt>
                <c:pt idx="45">
                  <c:v>54088.38</c:v>
                </c:pt>
                <c:pt idx="46">
                  <c:v>55059.19000000001</c:v>
                </c:pt>
                <c:pt idx="47">
                  <c:v>55345.400000000009</c:v>
                </c:pt>
                <c:pt idx="48">
                  <c:v>54796.380000000005</c:v>
                </c:pt>
                <c:pt idx="49">
                  <c:v>55480.399999999994</c:v>
                </c:pt>
                <c:pt idx="50">
                  <c:v>55558.59</c:v>
                </c:pt>
                <c:pt idx="51">
                  <c:v>56222.069999999992</c:v>
                </c:pt>
                <c:pt idx="52">
                  <c:v>55400.739999999991</c:v>
                </c:pt>
                <c:pt idx="53">
                  <c:v>55210.779999999992</c:v>
                </c:pt>
                <c:pt idx="54">
                  <c:v>55439.199999999997</c:v>
                </c:pt>
                <c:pt idx="55">
                  <c:v>55699.789999999994</c:v>
                </c:pt>
                <c:pt idx="56">
                  <c:v>55809.709999999992</c:v>
                </c:pt>
                <c:pt idx="57">
                  <c:v>55719.359999999993</c:v>
                </c:pt>
                <c:pt idx="58">
                  <c:v>56534.5</c:v>
                </c:pt>
                <c:pt idx="59">
                  <c:v>57867.9</c:v>
                </c:pt>
                <c:pt idx="60">
                  <c:v>59450.920000000006</c:v>
                </c:pt>
                <c:pt idx="61">
                  <c:v>59339.470000000008</c:v>
                </c:pt>
                <c:pt idx="62">
                  <c:v>60758.78</c:v>
                </c:pt>
                <c:pt idx="63">
                  <c:v>63984.889999999992</c:v>
                </c:pt>
                <c:pt idx="64">
                  <c:v>64532.7</c:v>
                </c:pt>
                <c:pt idx="65">
                  <c:v>62148.6</c:v>
                </c:pt>
                <c:pt idx="66">
                  <c:v>64818.410000000011</c:v>
                </c:pt>
                <c:pt idx="67">
                  <c:v>65895.659999999989</c:v>
                </c:pt>
                <c:pt idx="68">
                  <c:v>65147.15</c:v>
                </c:pt>
                <c:pt idx="69">
                  <c:v>64657.839999999989</c:v>
                </c:pt>
                <c:pt idx="70">
                  <c:v>64760.48000000001</c:v>
                </c:pt>
                <c:pt idx="71">
                  <c:v>65375.78</c:v>
                </c:pt>
                <c:pt idx="72">
                  <c:v>65398.94</c:v>
                </c:pt>
                <c:pt idx="73">
                  <c:v>64541.96</c:v>
                </c:pt>
                <c:pt idx="74">
                  <c:v>64507.1</c:v>
                </c:pt>
                <c:pt idx="75">
                  <c:v>65578.36</c:v>
                </c:pt>
                <c:pt idx="76">
                  <c:v>65553.83</c:v>
                </c:pt>
                <c:pt idx="77">
                  <c:v>63121.369999999995</c:v>
                </c:pt>
                <c:pt idx="78">
                  <c:v>59656.9</c:v>
                </c:pt>
                <c:pt idx="79">
                  <c:v>63235.430000000008</c:v>
                </c:pt>
                <c:pt idx="80">
                  <c:v>64331.42</c:v>
                </c:pt>
                <c:pt idx="81">
                  <c:v>64873.58</c:v>
                </c:pt>
                <c:pt idx="82">
                  <c:v>64643.739999999991</c:v>
                </c:pt>
                <c:pt idx="83">
                  <c:v>65128.450000000004</c:v>
                </c:pt>
                <c:pt idx="84">
                  <c:v>65994.14</c:v>
                </c:pt>
                <c:pt idx="85">
                  <c:v>66435.460000000006</c:v>
                </c:pt>
                <c:pt idx="86">
                  <c:v>66694.329999999987</c:v>
                </c:pt>
                <c:pt idx="87">
                  <c:v>66759.429999999993</c:v>
                </c:pt>
                <c:pt idx="88">
                  <c:v>67460.739999999991</c:v>
                </c:pt>
                <c:pt idx="89">
                  <c:v>67284.260000000009</c:v>
                </c:pt>
                <c:pt idx="90">
                  <c:v>66531.130000000019</c:v>
                </c:pt>
                <c:pt idx="91">
                  <c:v>65718.89</c:v>
                </c:pt>
                <c:pt idx="92">
                  <c:v>66303.880000000019</c:v>
                </c:pt>
                <c:pt idx="93">
                  <c:v>67508.599999999991</c:v>
                </c:pt>
                <c:pt idx="94">
                  <c:v>66612.11</c:v>
                </c:pt>
                <c:pt idx="95">
                  <c:v>65982.02</c:v>
                </c:pt>
                <c:pt idx="96">
                  <c:v>66308.460000000006</c:v>
                </c:pt>
                <c:pt idx="97">
                  <c:v>66787.189999999988</c:v>
                </c:pt>
                <c:pt idx="98">
                  <c:v>66817.06</c:v>
                </c:pt>
                <c:pt idx="99">
                  <c:v>67819.14</c:v>
                </c:pt>
                <c:pt idx="100">
                  <c:v>67619.77</c:v>
                </c:pt>
                <c:pt idx="101">
                  <c:v>67521.53</c:v>
                </c:pt>
                <c:pt idx="102">
                  <c:v>67704.929999999993</c:v>
                </c:pt>
                <c:pt idx="103">
                  <c:v>66100.639999999985</c:v>
                </c:pt>
                <c:pt idx="104">
                  <c:v>65526.760000000009</c:v>
                </c:pt>
                <c:pt idx="105">
                  <c:v>65353.46</c:v>
                </c:pt>
                <c:pt idx="106">
                  <c:v>64365.54</c:v>
                </c:pt>
                <c:pt idx="107">
                  <c:v>63238.639999999992</c:v>
                </c:pt>
                <c:pt idx="108">
                  <c:v>63296.750000000015</c:v>
                </c:pt>
                <c:pt idx="109">
                  <c:v>62563.729999999996</c:v>
                </c:pt>
                <c:pt idx="110">
                  <c:v>62910.989999999991</c:v>
                </c:pt>
                <c:pt idx="111">
                  <c:v>63003.100000000006</c:v>
                </c:pt>
                <c:pt idx="112">
                  <c:v>62602.209999999992</c:v>
                </c:pt>
                <c:pt idx="113">
                  <c:v>64433.119999999995</c:v>
                </c:pt>
                <c:pt idx="114">
                  <c:v>65151.329999999987</c:v>
                </c:pt>
                <c:pt idx="115">
                  <c:v>64681.42</c:v>
                </c:pt>
                <c:pt idx="116">
                  <c:v>63314.500000000015</c:v>
                </c:pt>
                <c:pt idx="117">
                  <c:v>63395.679999999993</c:v>
                </c:pt>
                <c:pt idx="118">
                  <c:v>64163.7</c:v>
                </c:pt>
                <c:pt idx="119">
                  <c:v>63516.189999999988</c:v>
                </c:pt>
                <c:pt idx="120">
                  <c:v>58840.479999999989</c:v>
                </c:pt>
                <c:pt idx="121">
                  <c:v>58902.17</c:v>
                </c:pt>
                <c:pt idx="122">
                  <c:v>58770.07</c:v>
                </c:pt>
                <c:pt idx="123">
                  <c:v>58479.14</c:v>
                </c:pt>
                <c:pt idx="124">
                  <c:v>58375.499999999993</c:v>
                </c:pt>
                <c:pt idx="125">
                  <c:v>58543.460000000006</c:v>
                </c:pt>
                <c:pt idx="126">
                  <c:v>59039.350000000006</c:v>
                </c:pt>
                <c:pt idx="127">
                  <c:v>58300.479999999996</c:v>
                </c:pt>
                <c:pt idx="128">
                  <c:v>57408.789999999994</c:v>
                </c:pt>
                <c:pt idx="129">
                  <c:v>56731.48000000001</c:v>
                </c:pt>
                <c:pt idx="130">
                  <c:v>56654.61</c:v>
                </c:pt>
                <c:pt idx="131">
                  <c:v>57632.579999999994</c:v>
                </c:pt>
                <c:pt idx="132">
                  <c:v>58342.869999999995</c:v>
                </c:pt>
                <c:pt idx="133">
                  <c:v>57483.900000000009</c:v>
                </c:pt>
                <c:pt idx="134">
                  <c:v>57902.359999999993</c:v>
                </c:pt>
                <c:pt idx="135">
                  <c:v>58602.03</c:v>
                </c:pt>
                <c:pt idx="136">
                  <c:v>58722.99</c:v>
                </c:pt>
                <c:pt idx="137">
                  <c:v>58426.36</c:v>
                </c:pt>
                <c:pt idx="138">
                  <c:v>58268.800000000003</c:v>
                </c:pt>
                <c:pt idx="139">
                  <c:v>56278.979999999996</c:v>
                </c:pt>
                <c:pt idx="140">
                  <c:v>57795.82</c:v>
                </c:pt>
                <c:pt idx="141">
                  <c:v>56880.729999999996</c:v>
                </c:pt>
                <c:pt idx="142">
                  <c:v>55151.48</c:v>
                </c:pt>
                <c:pt idx="143">
                  <c:v>54953.58</c:v>
                </c:pt>
                <c:pt idx="144">
                  <c:v>55920.770000000004</c:v>
                </c:pt>
                <c:pt idx="145">
                  <c:v>55951.090000000004</c:v>
                </c:pt>
                <c:pt idx="146">
                  <c:v>55316.500000000007</c:v>
                </c:pt>
                <c:pt idx="147">
                  <c:v>55973.989999999991</c:v>
                </c:pt>
                <c:pt idx="148">
                  <c:v>55441.81</c:v>
                </c:pt>
                <c:pt idx="149">
                  <c:v>55694.559999999998</c:v>
                </c:pt>
                <c:pt idx="150">
                  <c:v>56773.439999999995</c:v>
                </c:pt>
                <c:pt idx="151">
                  <c:v>56984.319999999992</c:v>
                </c:pt>
                <c:pt idx="152">
                  <c:v>55552.789999999994</c:v>
                </c:pt>
                <c:pt idx="153">
                  <c:v>56523.33</c:v>
                </c:pt>
                <c:pt idx="154">
                  <c:v>56898.69</c:v>
                </c:pt>
                <c:pt idx="155">
                  <c:v>55671.270000000004</c:v>
                </c:pt>
                <c:pt idx="156">
                  <c:v>55142.080000000002</c:v>
                </c:pt>
                <c:pt idx="157">
                  <c:v>55659.259999999995</c:v>
                </c:pt>
                <c:pt idx="158">
                  <c:v>56143.549999999996</c:v>
                </c:pt>
                <c:pt idx="159">
                  <c:v>56082.770000000004</c:v>
                </c:pt>
                <c:pt idx="160">
                  <c:v>54827.310000000005</c:v>
                </c:pt>
                <c:pt idx="161">
                  <c:v>55184.130000000005</c:v>
                </c:pt>
                <c:pt idx="162">
                  <c:v>55206.000000000007</c:v>
                </c:pt>
                <c:pt idx="163">
                  <c:v>55825.599999999999</c:v>
                </c:pt>
                <c:pt idx="164">
                  <c:v>54595.259999999995</c:v>
                </c:pt>
                <c:pt idx="165">
                  <c:v>54880.579999999994</c:v>
                </c:pt>
                <c:pt idx="166">
                  <c:v>54702.020000000004</c:v>
                </c:pt>
                <c:pt idx="167">
                  <c:v>59385.310000000005</c:v>
                </c:pt>
                <c:pt idx="168">
                  <c:v>58839.47</c:v>
                </c:pt>
                <c:pt idx="169">
                  <c:v>59106.42</c:v>
                </c:pt>
                <c:pt idx="170">
                  <c:v>58922.93</c:v>
                </c:pt>
                <c:pt idx="171">
                  <c:v>58515.159999999996</c:v>
                </c:pt>
                <c:pt idx="172">
                  <c:v>56618.250000000007</c:v>
                </c:pt>
                <c:pt idx="173">
                  <c:v>56277.539999999994</c:v>
                </c:pt>
                <c:pt idx="174">
                  <c:v>56747.340000000011</c:v>
                </c:pt>
                <c:pt idx="175">
                  <c:v>57300.31</c:v>
                </c:pt>
                <c:pt idx="176">
                  <c:v>57898.01</c:v>
                </c:pt>
                <c:pt idx="177">
                  <c:v>57757.760000000002</c:v>
                </c:pt>
                <c:pt idx="178">
                  <c:v>57216.649999999987</c:v>
                </c:pt>
                <c:pt idx="179">
                  <c:v>58037.490000000005</c:v>
                </c:pt>
                <c:pt idx="180">
                  <c:v>58163.95</c:v>
                </c:pt>
                <c:pt idx="181">
                  <c:v>56996.850000000006</c:v>
                </c:pt>
                <c:pt idx="182">
                  <c:v>56604.82</c:v>
                </c:pt>
                <c:pt idx="183">
                  <c:v>56601.279999999999</c:v>
                </c:pt>
                <c:pt idx="184">
                  <c:v>56316.619999999995</c:v>
                </c:pt>
                <c:pt idx="185">
                  <c:v>56784.260000000009</c:v>
                </c:pt>
                <c:pt idx="186">
                  <c:v>56264.72</c:v>
                </c:pt>
                <c:pt idx="187">
                  <c:v>56734.29</c:v>
                </c:pt>
                <c:pt idx="188">
                  <c:v>56795.27</c:v>
                </c:pt>
                <c:pt idx="189">
                  <c:v>56642.47</c:v>
                </c:pt>
                <c:pt idx="190">
                  <c:v>56105.210000000006</c:v>
                </c:pt>
                <c:pt idx="191">
                  <c:v>56222.91</c:v>
                </c:pt>
                <c:pt idx="192">
                  <c:v>57198.87999999999</c:v>
                </c:pt>
                <c:pt idx="193">
                  <c:v>57257.81</c:v>
                </c:pt>
                <c:pt idx="194">
                  <c:v>55576.659999999996</c:v>
                </c:pt>
                <c:pt idx="195">
                  <c:v>55748.130000000005</c:v>
                </c:pt>
                <c:pt idx="196">
                  <c:v>56448.08</c:v>
                </c:pt>
                <c:pt idx="197">
                  <c:v>57093.01999999999</c:v>
                </c:pt>
                <c:pt idx="198">
                  <c:v>56431.31</c:v>
                </c:pt>
                <c:pt idx="199">
                  <c:v>56569.98</c:v>
                </c:pt>
                <c:pt idx="200">
                  <c:v>57171.409999999996</c:v>
                </c:pt>
                <c:pt idx="201">
                  <c:v>57533.75</c:v>
                </c:pt>
                <c:pt idx="202">
                  <c:v>58770.420000000006</c:v>
                </c:pt>
                <c:pt idx="203">
                  <c:v>58461.279999999999</c:v>
                </c:pt>
                <c:pt idx="204">
                  <c:v>57884.19</c:v>
                </c:pt>
                <c:pt idx="205">
                  <c:v>58851.790000000008</c:v>
                </c:pt>
                <c:pt idx="206">
                  <c:v>59567.159999999996</c:v>
                </c:pt>
                <c:pt idx="207">
                  <c:v>58671.4</c:v>
                </c:pt>
                <c:pt idx="208">
                  <c:v>58341.43</c:v>
                </c:pt>
                <c:pt idx="209">
                  <c:v>58515.850000000006</c:v>
                </c:pt>
                <c:pt idx="210">
                  <c:v>59177.100000000006</c:v>
                </c:pt>
                <c:pt idx="211">
                  <c:v>59638.740000000005</c:v>
                </c:pt>
                <c:pt idx="212">
                  <c:v>58820.020000000004</c:v>
                </c:pt>
                <c:pt idx="213">
                  <c:v>57870.400000000009</c:v>
                </c:pt>
                <c:pt idx="214">
                  <c:v>59195.459999999992</c:v>
                </c:pt>
                <c:pt idx="215">
                  <c:v>58964.22</c:v>
                </c:pt>
                <c:pt idx="216">
                  <c:v>58782.990000000005</c:v>
                </c:pt>
                <c:pt idx="217">
                  <c:v>58913.340000000011</c:v>
                </c:pt>
                <c:pt idx="218">
                  <c:v>59849.130000000005</c:v>
                </c:pt>
                <c:pt idx="219">
                  <c:v>59389.030000000006</c:v>
                </c:pt>
                <c:pt idx="220">
                  <c:v>58562.76999999999</c:v>
                </c:pt>
                <c:pt idx="221">
                  <c:v>58397.329999999994</c:v>
                </c:pt>
                <c:pt idx="222">
                  <c:v>59050.94</c:v>
                </c:pt>
                <c:pt idx="223">
                  <c:v>59664.419999999991</c:v>
                </c:pt>
                <c:pt idx="224">
                  <c:v>56799.340000000004</c:v>
                </c:pt>
                <c:pt idx="225">
                  <c:v>56637.96</c:v>
                </c:pt>
                <c:pt idx="226">
                  <c:v>56739.670000000013</c:v>
                </c:pt>
                <c:pt idx="227">
                  <c:v>56816.350000000006</c:v>
                </c:pt>
                <c:pt idx="228">
                  <c:v>57709.54</c:v>
                </c:pt>
                <c:pt idx="229">
                  <c:v>57237.740000000005</c:v>
                </c:pt>
                <c:pt idx="230">
                  <c:v>57436.97</c:v>
                </c:pt>
                <c:pt idx="231">
                  <c:v>58065.279999999999</c:v>
                </c:pt>
                <c:pt idx="232">
                  <c:v>57760.060000000005</c:v>
                </c:pt>
                <c:pt idx="233">
                  <c:v>57055.149999999994</c:v>
                </c:pt>
                <c:pt idx="234">
                  <c:v>56071.91</c:v>
                </c:pt>
                <c:pt idx="235">
                  <c:v>56646.039999999994</c:v>
                </c:pt>
                <c:pt idx="236">
                  <c:v>56805.079999999994</c:v>
                </c:pt>
                <c:pt idx="237">
                  <c:v>56514.27</c:v>
                </c:pt>
                <c:pt idx="238">
                  <c:v>56320.69</c:v>
                </c:pt>
                <c:pt idx="239">
                  <c:v>55111.29</c:v>
                </c:pt>
                <c:pt idx="240">
                  <c:v>57081.42</c:v>
                </c:pt>
                <c:pt idx="241">
                  <c:v>56666.670000000013</c:v>
                </c:pt>
                <c:pt idx="242">
                  <c:v>56866.979999999996</c:v>
                </c:pt>
                <c:pt idx="243">
                  <c:v>55641.600000000006</c:v>
                </c:pt>
                <c:pt idx="244">
                  <c:v>55972.679999999993</c:v>
                </c:pt>
                <c:pt idx="245">
                  <c:v>56902</c:v>
                </c:pt>
                <c:pt idx="246">
                  <c:v>55461.34</c:v>
                </c:pt>
                <c:pt idx="247">
                  <c:v>54678.35</c:v>
                </c:pt>
                <c:pt idx="248">
                  <c:v>54242.59</c:v>
                </c:pt>
                <c:pt idx="249">
                  <c:v>55201.479999999996</c:v>
                </c:pt>
                <c:pt idx="250">
                  <c:v>55555.179999999993</c:v>
                </c:pt>
                <c:pt idx="251">
                  <c:v>55433.810000000005</c:v>
                </c:pt>
                <c:pt idx="252">
                  <c:v>55393.459999999992</c:v>
                </c:pt>
                <c:pt idx="253">
                  <c:v>55809.95</c:v>
                </c:pt>
                <c:pt idx="254">
                  <c:v>55301.270000000004</c:v>
                </c:pt>
                <c:pt idx="255">
                  <c:v>55857.55</c:v>
                </c:pt>
                <c:pt idx="256">
                  <c:v>55529.27</c:v>
                </c:pt>
                <c:pt idx="257">
                  <c:v>55332.530000000006</c:v>
                </c:pt>
                <c:pt idx="258">
                  <c:v>55898.470000000008</c:v>
                </c:pt>
                <c:pt idx="259">
                  <c:v>55631.48000000001</c:v>
                </c:pt>
                <c:pt idx="260">
                  <c:v>55845.97</c:v>
                </c:pt>
                <c:pt idx="261">
                  <c:v>52422.040000000008</c:v>
                </c:pt>
                <c:pt idx="262">
                  <c:v>56615.03</c:v>
                </c:pt>
                <c:pt idx="263">
                  <c:v>56782.419999999991</c:v>
                </c:pt>
                <c:pt idx="264">
                  <c:v>56498.260000000009</c:v>
                </c:pt>
                <c:pt idx="265">
                  <c:v>55102.5</c:v>
                </c:pt>
                <c:pt idx="266">
                  <c:v>55375.69000000001</c:v>
                </c:pt>
                <c:pt idx="267">
                  <c:v>55518.920000000006</c:v>
                </c:pt>
                <c:pt idx="268">
                  <c:v>55823.650000000009</c:v>
                </c:pt>
                <c:pt idx="269">
                  <c:v>56857.67</c:v>
                </c:pt>
                <c:pt idx="270">
                  <c:v>57030.57</c:v>
                </c:pt>
                <c:pt idx="271">
                  <c:v>57867.070000000007</c:v>
                </c:pt>
                <c:pt idx="272">
                  <c:v>57687.060000000005</c:v>
                </c:pt>
                <c:pt idx="273">
                  <c:v>57956.72</c:v>
                </c:pt>
                <c:pt idx="274">
                  <c:v>57995.750000000007</c:v>
                </c:pt>
                <c:pt idx="275">
                  <c:v>58779.740000000005</c:v>
                </c:pt>
                <c:pt idx="276">
                  <c:v>56759.020000000004</c:v>
                </c:pt>
                <c:pt idx="277">
                  <c:v>56057.81</c:v>
                </c:pt>
                <c:pt idx="278">
                  <c:v>53994.98</c:v>
                </c:pt>
                <c:pt idx="279">
                  <c:v>55904.75</c:v>
                </c:pt>
                <c:pt idx="280">
                  <c:v>56316.24</c:v>
                </c:pt>
                <c:pt idx="281">
                  <c:v>56786.969999999994</c:v>
                </c:pt>
                <c:pt idx="282">
                  <c:v>56925.06</c:v>
                </c:pt>
                <c:pt idx="283">
                  <c:v>57527.98</c:v>
                </c:pt>
                <c:pt idx="284">
                  <c:v>58240.700000000004</c:v>
                </c:pt>
                <c:pt idx="285">
                  <c:v>57200.159999999996</c:v>
                </c:pt>
                <c:pt idx="286">
                  <c:v>57435.7</c:v>
                </c:pt>
                <c:pt idx="287">
                  <c:v>56562.28</c:v>
                </c:pt>
                <c:pt idx="288">
                  <c:v>57410.909999999996</c:v>
                </c:pt>
                <c:pt idx="289">
                  <c:v>57725.03</c:v>
                </c:pt>
                <c:pt idx="290">
                  <c:v>57571.71</c:v>
                </c:pt>
                <c:pt idx="291">
                  <c:v>56974.51</c:v>
                </c:pt>
                <c:pt idx="292">
                  <c:v>57306.529999999992</c:v>
                </c:pt>
                <c:pt idx="293">
                  <c:v>57259.44999999999</c:v>
                </c:pt>
                <c:pt idx="294">
                  <c:v>56932.859999999993</c:v>
                </c:pt>
                <c:pt idx="295">
                  <c:v>56144.31</c:v>
                </c:pt>
                <c:pt idx="296">
                  <c:v>55714.010000000009</c:v>
                </c:pt>
                <c:pt idx="297">
                  <c:v>55554.21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C-45EF-8C11-591EE83B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流动性（单位：万亿美元）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资产负债表!$W$4:$W$301</c:f>
              <c:numCache>
                <c:formatCode>General</c:formatCode>
                <c:ptCount val="298"/>
                <c:pt idx="0">
                  <c:v>4038.53</c:v>
                </c:pt>
                <c:pt idx="1">
                  <c:v>3508.4</c:v>
                </c:pt>
                <c:pt idx="2">
                  <c:v>3808.02</c:v>
                </c:pt>
                <c:pt idx="3">
                  <c:v>4117.08</c:v>
                </c:pt>
                <c:pt idx="4">
                  <c:v>4505.37</c:v>
                </c:pt>
                <c:pt idx="5">
                  <c:v>4165.8500000000004</c:v>
                </c:pt>
                <c:pt idx="6">
                  <c:v>4043.41</c:v>
                </c:pt>
                <c:pt idx="7">
                  <c:v>4210.51</c:v>
                </c:pt>
                <c:pt idx="8">
                  <c:v>3876.15</c:v>
                </c:pt>
                <c:pt idx="9">
                  <c:v>3813.02</c:v>
                </c:pt>
                <c:pt idx="10">
                  <c:v>3723.37</c:v>
                </c:pt>
                <c:pt idx="11">
                  <c:v>4013.54</c:v>
                </c:pt>
                <c:pt idx="12">
                  <c:v>3848.9</c:v>
                </c:pt>
                <c:pt idx="13">
                  <c:v>5069.33</c:v>
                </c:pt>
                <c:pt idx="14">
                  <c:v>8271.7800000000007</c:v>
                </c:pt>
                <c:pt idx="15">
                  <c:v>8561.5499999999993</c:v>
                </c:pt>
                <c:pt idx="16">
                  <c:v>9499.99</c:v>
                </c:pt>
                <c:pt idx="17">
                  <c:v>10762.32</c:v>
                </c:pt>
                <c:pt idx="18">
                  <c:v>11432.68</c:v>
                </c:pt>
                <c:pt idx="19">
                  <c:v>11381.72</c:v>
                </c:pt>
                <c:pt idx="20">
                  <c:v>11932.97</c:v>
                </c:pt>
                <c:pt idx="21">
                  <c:v>13268.97</c:v>
                </c:pt>
                <c:pt idx="22">
                  <c:v>14314.62</c:v>
                </c:pt>
                <c:pt idx="23">
                  <c:v>15045.69</c:v>
                </c:pt>
                <c:pt idx="24">
                  <c:v>15653.06</c:v>
                </c:pt>
                <c:pt idx="25">
                  <c:v>15865.73</c:v>
                </c:pt>
                <c:pt idx="26">
                  <c:v>16567.47</c:v>
                </c:pt>
                <c:pt idx="27">
                  <c:v>16244.04</c:v>
                </c:pt>
                <c:pt idx="28">
                  <c:v>17404.55</c:v>
                </c:pt>
                <c:pt idx="29">
                  <c:v>17771.8</c:v>
                </c:pt>
                <c:pt idx="30">
                  <c:v>17924.34</c:v>
                </c:pt>
                <c:pt idx="31">
                  <c:v>17066.37</c:v>
                </c:pt>
                <c:pt idx="32">
                  <c:v>16351.43</c:v>
                </c:pt>
                <c:pt idx="33">
                  <c:v>16363.93</c:v>
                </c:pt>
                <c:pt idx="34">
                  <c:v>16074.49</c:v>
                </c:pt>
                <c:pt idx="35">
                  <c:v>16518.23</c:v>
                </c:pt>
                <c:pt idx="36">
                  <c:v>15705.33</c:v>
                </c:pt>
                <c:pt idx="37">
                  <c:v>16928.09</c:v>
                </c:pt>
                <c:pt idx="38">
                  <c:v>16617.32</c:v>
                </c:pt>
                <c:pt idx="39">
                  <c:v>17816.79</c:v>
                </c:pt>
                <c:pt idx="40">
                  <c:v>16874.34</c:v>
                </c:pt>
                <c:pt idx="41">
                  <c:v>16479.37</c:v>
                </c:pt>
                <c:pt idx="42">
                  <c:v>16994.97</c:v>
                </c:pt>
                <c:pt idx="43">
                  <c:v>16530.39</c:v>
                </c:pt>
                <c:pt idx="44">
                  <c:v>16185.68</c:v>
                </c:pt>
                <c:pt idx="45">
                  <c:v>15707.68</c:v>
                </c:pt>
                <c:pt idx="46">
                  <c:v>15469.24</c:v>
                </c:pt>
                <c:pt idx="47">
                  <c:v>14840.36</c:v>
                </c:pt>
                <c:pt idx="48">
                  <c:v>15572.39</c:v>
                </c:pt>
                <c:pt idx="49">
                  <c:v>15023.61</c:v>
                </c:pt>
                <c:pt idx="50">
                  <c:v>16158.73</c:v>
                </c:pt>
                <c:pt idx="51">
                  <c:v>15833.08</c:v>
                </c:pt>
                <c:pt idx="52">
                  <c:v>16135.14</c:v>
                </c:pt>
                <c:pt idx="53">
                  <c:v>16073.96</c:v>
                </c:pt>
                <c:pt idx="54">
                  <c:v>15758.75</c:v>
                </c:pt>
                <c:pt idx="55">
                  <c:v>16383.31</c:v>
                </c:pt>
                <c:pt idx="56">
                  <c:v>16133.77</c:v>
                </c:pt>
                <c:pt idx="57">
                  <c:v>16297.29</c:v>
                </c:pt>
                <c:pt idx="58">
                  <c:v>15767.44</c:v>
                </c:pt>
                <c:pt idx="59">
                  <c:v>15688.93</c:v>
                </c:pt>
                <c:pt idx="60">
                  <c:v>14396.46</c:v>
                </c:pt>
                <c:pt idx="61">
                  <c:v>14202.38</c:v>
                </c:pt>
                <c:pt idx="62">
                  <c:v>13102.73</c:v>
                </c:pt>
                <c:pt idx="63">
                  <c:v>10895.01</c:v>
                </c:pt>
                <c:pt idx="64">
                  <c:v>10319.08</c:v>
                </c:pt>
                <c:pt idx="65">
                  <c:v>11219.51</c:v>
                </c:pt>
                <c:pt idx="66">
                  <c:v>9549.68</c:v>
                </c:pt>
                <c:pt idx="67">
                  <c:v>9216.85</c:v>
                </c:pt>
                <c:pt idx="68">
                  <c:v>10034.43</c:v>
                </c:pt>
                <c:pt idx="69">
                  <c:v>9322.8700000000008</c:v>
                </c:pt>
                <c:pt idx="70">
                  <c:v>9461.34</c:v>
                </c:pt>
                <c:pt idx="71">
                  <c:v>8642.5300000000007</c:v>
                </c:pt>
                <c:pt idx="72">
                  <c:v>8608.33</c:v>
                </c:pt>
                <c:pt idx="73">
                  <c:v>7789.12</c:v>
                </c:pt>
                <c:pt idx="74">
                  <c:v>8120.87</c:v>
                </c:pt>
                <c:pt idx="75">
                  <c:v>6735.55</c:v>
                </c:pt>
                <c:pt idx="76">
                  <c:v>7651.14</c:v>
                </c:pt>
                <c:pt idx="77">
                  <c:v>7338.77</c:v>
                </c:pt>
                <c:pt idx="78">
                  <c:v>8519.2900000000009</c:v>
                </c:pt>
                <c:pt idx="79">
                  <c:v>7248.98</c:v>
                </c:pt>
                <c:pt idx="80">
                  <c:v>6575.42</c:v>
                </c:pt>
                <c:pt idx="81">
                  <c:v>6162.94</c:v>
                </c:pt>
                <c:pt idx="82">
                  <c:v>5369.66</c:v>
                </c:pt>
                <c:pt idx="83">
                  <c:v>5058.71</c:v>
                </c:pt>
                <c:pt idx="84">
                  <c:v>3897.47</c:v>
                </c:pt>
                <c:pt idx="85">
                  <c:v>3136.51</c:v>
                </c:pt>
                <c:pt idx="86">
                  <c:v>2582</c:v>
                </c:pt>
                <c:pt idx="87">
                  <c:v>2969.34</c:v>
                </c:pt>
                <c:pt idx="88">
                  <c:v>2007.02</c:v>
                </c:pt>
                <c:pt idx="89">
                  <c:v>3446.68</c:v>
                </c:pt>
                <c:pt idx="90">
                  <c:v>2726.79</c:v>
                </c:pt>
                <c:pt idx="91">
                  <c:v>1737.45</c:v>
                </c:pt>
                <c:pt idx="92">
                  <c:v>958.54</c:v>
                </c:pt>
                <c:pt idx="93">
                  <c:v>724.6</c:v>
                </c:pt>
                <c:pt idx="94">
                  <c:v>1173.6400000000001</c:v>
                </c:pt>
                <c:pt idx="95">
                  <c:v>2364.9499999999998</c:v>
                </c:pt>
                <c:pt idx="96">
                  <c:v>2869.59</c:v>
                </c:pt>
                <c:pt idx="97">
                  <c:v>2314.21</c:v>
                </c:pt>
                <c:pt idx="98">
                  <c:v>1789.72</c:v>
                </c:pt>
                <c:pt idx="99">
                  <c:v>1410.42</c:v>
                </c:pt>
                <c:pt idx="100">
                  <c:v>1591.48</c:v>
                </c:pt>
                <c:pt idx="101">
                  <c:v>1251.44</c:v>
                </c:pt>
                <c:pt idx="102">
                  <c:v>582.94000000000005</c:v>
                </c:pt>
                <c:pt idx="103">
                  <c:v>1975.16</c:v>
                </c:pt>
                <c:pt idx="104">
                  <c:v>2839.95</c:v>
                </c:pt>
                <c:pt idx="105">
                  <c:v>4347.57</c:v>
                </c:pt>
                <c:pt idx="106">
                  <c:v>4896.79</c:v>
                </c:pt>
                <c:pt idx="107">
                  <c:v>5801.71</c:v>
                </c:pt>
                <c:pt idx="108">
                  <c:v>6396.2</c:v>
                </c:pt>
                <c:pt idx="109">
                  <c:v>7102.67</c:v>
                </c:pt>
                <c:pt idx="110">
                  <c:v>6790.19</c:v>
                </c:pt>
                <c:pt idx="111">
                  <c:v>7092.61</c:v>
                </c:pt>
                <c:pt idx="112">
                  <c:v>6747.97</c:v>
                </c:pt>
                <c:pt idx="113">
                  <c:v>6854.91</c:v>
                </c:pt>
                <c:pt idx="114">
                  <c:v>6093.69</c:v>
                </c:pt>
                <c:pt idx="115">
                  <c:v>6215.27</c:v>
                </c:pt>
                <c:pt idx="116">
                  <c:v>5764.42</c:v>
                </c:pt>
                <c:pt idx="117">
                  <c:v>5567.91</c:v>
                </c:pt>
                <c:pt idx="118">
                  <c:v>5455.84</c:v>
                </c:pt>
                <c:pt idx="119">
                  <c:v>5435.36</c:v>
                </c:pt>
                <c:pt idx="120">
                  <c:v>9075.26</c:v>
                </c:pt>
                <c:pt idx="121">
                  <c:v>9574.19</c:v>
                </c:pt>
                <c:pt idx="122">
                  <c:v>9644.1200000000008</c:v>
                </c:pt>
                <c:pt idx="123">
                  <c:v>9193.31</c:v>
                </c:pt>
                <c:pt idx="124">
                  <c:v>8667.26</c:v>
                </c:pt>
                <c:pt idx="125">
                  <c:v>8017.14</c:v>
                </c:pt>
                <c:pt idx="126">
                  <c:v>7805.75</c:v>
                </c:pt>
                <c:pt idx="127">
                  <c:v>6838.92</c:v>
                </c:pt>
                <c:pt idx="128">
                  <c:v>7699.37</c:v>
                </c:pt>
                <c:pt idx="129">
                  <c:v>7450.52</c:v>
                </c:pt>
                <c:pt idx="130">
                  <c:v>7598.45</c:v>
                </c:pt>
                <c:pt idx="131">
                  <c:v>6879.43</c:v>
                </c:pt>
                <c:pt idx="132">
                  <c:v>6187.4</c:v>
                </c:pt>
                <c:pt idx="133">
                  <c:v>6163.48</c:v>
                </c:pt>
                <c:pt idx="134">
                  <c:v>6155.15</c:v>
                </c:pt>
                <c:pt idx="135">
                  <c:v>5665.77</c:v>
                </c:pt>
                <c:pt idx="136">
                  <c:v>5611.4</c:v>
                </c:pt>
                <c:pt idx="137">
                  <c:v>5392.78</c:v>
                </c:pt>
                <c:pt idx="138">
                  <c:v>5301.96</c:v>
                </c:pt>
                <c:pt idx="139">
                  <c:v>6699.11</c:v>
                </c:pt>
                <c:pt idx="140">
                  <c:v>5829.21</c:v>
                </c:pt>
                <c:pt idx="141">
                  <c:v>6179.97</c:v>
                </c:pt>
                <c:pt idx="142">
                  <c:v>6902.86</c:v>
                </c:pt>
                <c:pt idx="143">
                  <c:v>6619.2</c:v>
                </c:pt>
                <c:pt idx="144">
                  <c:v>6221.31</c:v>
                </c:pt>
                <c:pt idx="145">
                  <c:v>5835.13</c:v>
                </c:pt>
                <c:pt idx="146">
                  <c:v>6406.13</c:v>
                </c:pt>
                <c:pt idx="147">
                  <c:v>6363.27</c:v>
                </c:pt>
                <c:pt idx="148">
                  <c:v>5520.89</c:v>
                </c:pt>
                <c:pt idx="149">
                  <c:v>5173.3999999999996</c:v>
                </c:pt>
                <c:pt idx="150">
                  <c:v>4721.8500000000004</c:v>
                </c:pt>
                <c:pt idx="151">
                  <c:v>4927.54</c:v>
                </c:pt>
                <c:pt idx="152">
                  <c:v>5327.91</c:v>
                </c:pt>
                <c:pt idx="153">
                  <c:v>4108.53</c:v>
                </c:pt>
                <c:pt idx="154">
                  <c:v>3421.04</c:v>
                </c:pt>
                <c:pt idx="155">
                  <c:v>4349.22</c:v>
                </c:pt>
                <c:pt idx="156">
                  <c:v>4098.09</c:v>
                </c:pt>
                <c:pt idx="157">
                  <c:v>3796.2</c:v>
                </c:pt>
                <c:pt idx="158">
                  <c:v>3464.26</c:v>
                </c:pt>
                <c:pt idx="159">
                  <c:v>3775</c:v>
                </c:pt>
                <c:pt idx="160">
                  <c:v>5726.22</c:v>
                </c:pt>
                <c:pt idx="161">
                  <c:v>5008.5200000000004</c:v>
                </c:pt>
                <c:pt idx="162">
                  <c:v>4958.38</c:v>
                </c:pt>
                <c:pt idx="163">
                  <c:v>4397.03</c:v>
                </c:pt>
                <c:pt idx="164">
                  <c:v>4513.07</c:v>
                </c:pt>
                <c:pt idx="165">
                  <c:v>3510.15</c:v>
                </c:pt>
                <c:pt idx="166">
                  <c:v>3117.31</c:v>
                </c:pt>
                <c:pt idx="167">
                  <c:v>2776.43</c:v>
                </c:pt>
                <c:pt idx="168">
                  <c:v>1998.56</c:v>
                </c:pt>
                <c:pt idx="169">
                  <c:v>1627.58</c:v>
                </c:pt>
                <c:pt idx="170">
                  <c:v>1406.88</c:v>
                </c:pt>
                <c:pt idx="171">
                  <c:v>865.54</c:v>
                </c:pt>
                <c:pt idx="172">
                  <c:v>2650.95</c:v>
                </c:pt>
                <c:pt idx="173">
                  <c:v>2962.09</c:v>
                </c:pt>
                <c:pt idx="174">
                  <c:v>1883.09</c:v>
                </c:pt>
                <c:pt idx="175">
                  <c:v>1548.08</c:v>
                </c:pt>
                <c:pt idx="176">
                  <c:v>683.32</c:v>
                </c:pt>
                <c:pt idx="177">
                  <c:v>494.73</c:v>
                </c:pt>
                <c:pt idx="178">
                  <c:v>485.12</c:v>
                </c:pt>
                <c:pt idx="179">
                  <c:v>775</c:v>
                </c:pt>
                <c:pt idx="180">
                  <c:v>1348.57</c:v>
                </c:pt>
                <c:pt idx="181">
                  <c:v>2921.06</c:v>
                </c:pt>
                <c:pt idx="182">
                  <c:v>4085.61</c:v>
                </c:pt>
                <c:pt idx="183">
                  <c:v>4468.6400000000003</c:v>
                </c:pt>
                <c:pt idx="184">
                  <c:v>5174.18</c:v>
                </c:pt>
                <c:pt idx="185">
                  <c:v>5374.41</c:v>
                </c:pt>
                <c:pt idx="186">
                  <c:v>5498.97</c:v>
                </c:pt>
                <c:pt idx="187">
                  <c:v>4609.26</c:v>
                </c:pt>
                <c:pt idx="188">
                  <c:v>4322.62</c:v>
                </c:pt>
                <c:pt idx="189">
                  <c:v>3848.14</c:v>
                </c:pt>
                <c:pt idx="190">
                  <c:v>4160.3100000000004</c:v>
                </c:pt>
                <c:pt idx="191">
                  <c:v>5007.0200000000004</c:v>
                </c:pt>
                <c:pt idx="192">
                  <c:v>4815.5200000000004</c:v>
                </c:pt>
                <c:pt idx="193">
                  <c:v>5373.64</c:v>
                </c:pt>
                <c:pt idx="194">
                  <c:v>6617.17</c:v>
                </c:pt>
                <c:pt idx="195">
                  <c:v>6721.42</c:v>
                </c:pt>
                <c:pt idx="196">
                  <c:v>6789.59</c:v>
                </c:pt>
                <c:pt idx="197">
                  <c:v>7130</c:v>
                </c:pt>
                <c:pt idx="198">
                  <c:v>8411.0300000000007</c:v>
                </c:pt>
                <c:pt idx="199">
                  <c:v>8477.17</c:v>
                </c:pt>
                <c:pt idx="200">
                  <c:v>7530.08</c:v>
                </c:pt>
                <c:pt idx="201">
                  <c:v>7634.59</c:v>
                </c:pt>
                <c:pt idx="202">
                  <c:v>6699.76</c:v>
                </c:pt>
                <c:pt idx="203">
                  <c:v>6930.07</c:v>
                </c:pt>
                <c:pt idx="204">
                  <c:v>7535.7</c:v>
                </c:pt>
                <c:pt idx="205">
                  <c:v>6676.78</c:v>
                </c:pt>
                <c:pt idx="206">
                  <c:v>6306.18</c:v>
                </c:pt>
                <c:pt idx="207">
                  <c:v>7327.21</c:v>
                </c:pt>
                <c:pt idx="208">
                  <c:v>7130.64</c:v>
                </c:pt>
                <c:pt idx="209">
                  <c:v>7434.64</c:v>
                </c:pt>
                <c:pt idx="210">
                  <c:v>7278.56</c:v>
                </c:pt>
                <c:pt idx="211">
                  <c:v>7735.44</c:v>
                </c:pt>
                <c:pt idx="212">
                  <c:v>8151.59</c:v>
                </c:pt>
                <c:pt idx="213">
                  <c:v>8654.81</c:v>
                </c:pt>
                <c:pt idx="214">
                  <c:v>8215.75</c:v>
                </c:pt>
                <c:pt idx="215">
                  <c:v>8318.7999999999993</c:v>
                </c:pt>
                <c:pt idx="216">
                  <c:v>7887.59</c:v>
                </c:pt>
                <c:pt idx="217">
                  <c:v>7676.72</c:v>
                </c:pt>
                <c:pt idx="218">
                  <c:v>7605.5</c:v>
                </c:pt>
                <c:pt idx="219">
                  <c:v>7483.88</c:v>
                </c:pt>
                <c:pt idx="220">
                  <c:v>8126.05</c:v>
                </c:pt>
                <c:pt idx="221">
                  <c:v>7722.6</c:v>
                </c:pt>
                <c:pt idx="222">
                  <c:v>7328.28</c:v>
                </c:pt>
                <c:pt idx="223">
                  <c:v>6725.37</c:v>
                </c:pt>
                <c:pt idx="224">
                  <c:v>9299.32</c:v>
                </c:pt>
                <c:pt idx="225">
                  <c:v>9293.7900000000009</c:v>
                </c:pt>
                <c:pt idx="226">
                  <c:v>8904.42</c:v>
                </c:pt>
                <c:pt idx="227">
                  <c:v>8168.09</c:v>
                </c:pt>
                <c:pt idx="228">
                  <c:v>7061.08</c:v>
                </c:pt>
                <c:pt idx="229">
                  <c:v>7108.82</c:v>
                </c:pt>
                <c:pt idx="230">
                  <c:v>7160.2</c:v>
                </c:pt>
                <c:pt idx="231">
                  <c:v>7033.14</c:v>
                </c:pt>
                <c:pt idx="232">
                  <c:v>6502.12</c:v>
                </c:pt>
                <c:pt idx="233">
                  <c:v>7821.58</c:v>
                </c:pt>
                <c:pt idx="234">
                  <c:v>7442.06</c:v>
                </c:pt>
                <c:pt idx="235">
                  <c:v>7456.08</c:v>
                </c:pt>
                <c:pt idx="236">
                  <c:v>7223.28</c:v>
                </c:pt>
                <c:pt idx="237">
                  <c:v>7667.79</c:v>
                </c:pt>
                <c:pt idx="238">
                  <c:v>7674.19</c:v>
                </c:pt>
                <c:pt idx="239">
                  <c:v>8540.01</c:v>
                </c:pt>
                <c:pt idx="240">
                  <c:v>7852.33</c:v>
                </c:pt>
                <c:pt idx="241">
                  <c:v>7888.23</c:v>
                </c:pt>
                <c:pt idx="242">
                  <c:v>7347.27</c:v>
                </c:pt>
                <c:pt idx="243">
                  <c:v>7570.77</c:v>
                </c:pt>
                <c:pt idx="244">
                  <c:v>7710.47</c:v>
                </c:pt>
                <c:pt idx="245">
                  <c:v>7255.77</c:v>
                </c:pt>
                <c:pt idx="246">
                  <c:v>8393.98</c:v>
                </c:pt>
                <c:pt idx="247">
                  <c:v>7789.1</c:v>
                </c:pt>
                <c:pt idx="248">
                  <c:v>8234.1200000000008</c:v>
                </c:pt>
                <c:pt idx="249">
                  <c:v>7873.95</c:v>
                </c:pt>
                <c:pt idx="250">
                  <c:v>8147.51</c:v>
                </c:pt>
                <c:pt idx="251">
                  <c:v>8174.1</c:v>
                </c:pt>
                <c:pt idx="252">
                  <c:v>8471.3700000000008</c:v>
                </c:pt>
                <c:pt idx="253">
                  <c:v>8402.27</c:v>
                </c:pt>
                <c:pt idx="254">
                  <c:v>8088.57</c:v>
                </c:pt>
                <c:pt idx="255">
                  <c:v>7378.34</c:v>
                </c:pt>
                <c:pt idx="256">
                  <c:v>7827.04</c:v>
                </c:pt>
                <c:pt idx="257">
                  <c:v>8150.11</c:v>
                </c:pt>
                <c:pt idx="258">
                  <c:v>7113.54</c:v>
                </c:pt>
                <c:pt idx="259">
                  <c:v>8039.75</c:v>
                </c:pt>
                <c:pt idx="260">
                  <c:v>7350.39</c:v>
                </c:pt>
                <c:pt idx="261">
                  <c:v>7218.92</c:v>
                </c:pt>
                <c:pt idx="262">
                  <c:v>6205.31</c:v>
                </c:pt>
                <c:pt idx="263">
                  <c:v>6511.87</c:v>
                </c:pt>
                <c:pt idx="264">
                  <c:v>6654.85</c:v>
                </c:pt>
                <c:pt idx="265">
                  <c:v>8115.49</c:v>
                </c:pt>
                <c:pt idx="266">
                  <c:v>8179.53</c:v>
                </c:pt>
                <c:pt idx="267">
                  <c:v>8091.54</c:v>
                </c:pt>
                <c:pt idx="268">
                  <c:v>7389.38</c:v>
                </c:pt>
                <c:pt idx="269">
                  <c:v>5685.5</c:v>
                </c:pt>
                <c:pt idx="270">
                  <c:v>5228.18</c:v>
                </c:pt>
                <c:pt idx="271">
                  <c:v>4507.13</c:v>
                </c:pt>
                <c:pt idx="272">
                  <c:v>4157.99</c:v>
                </c:pt>
                <c:pt idx="273">
                  <c:v>3159.7</c:v>
                </c:pt>
                <c:pt idx="274">
                  <c:v>3016.24</c:v>
                </c:pt>
                <c:pt idx="275">
                  <c:v>3151.89</c:v>
                </c:pt>
                <c:pt idx="276">
                  <c:v>6387.83</c:v>
                </c:pt>
                <c:pt idx="277">
                  <c:v>5761.59</c:v>
                </c:pt>
                <c:pt idx="278">
                  <c:v>6776.57</c:v>
                </c:pt>
                <c:pt idx="279">
                  <c:v>5958.6</c:v>
                </c:pt>
                <c:pt idx="280">
                  <c:v>5624.33</c:v>
                </c:pt>
                <c:pt idx="281">
                  <c:v>4758.8599999999997</c:v>
                </c:pt>
                <c:pt idx="282">
                  <c:v>4366.2700000000004</c:v>
                </c:pt>
                <c:pt idx="283">
                  <c:v>3761.6</c:v>
                </c:pt>
                <c:pt idx="284">
                  <c:v>2770.25</c:v>
                </c:pt>
                <c:pt idx="285">
                  <c:v>3838.51</c:v>
                </c:pt>
                <c:pt idx="286">
                  <c:v>3345.79</c:v>
                </c:pt>
                <c:pt idx="287">
                  <c:v>3722.32</c:v>
                </c:pt>
                <c:pt idx="288">
                  <c:v>3110.48</c:v>
                </c:pt>
                <c:pt idx="289">
                  <c:v>3120.85</c:v>
                </c:pt>
                <c:pt idx="290">
                  <c:v>3335.38</c:v>
                </c:pt>
                <c:pt idx="291">
                  <c:v>4194.46</c:v>
                </c:pt>
                <c:pt idx="292">
                  <c:v>4643.1499999999996</c:v>
                </c:pt>
                <c:pt idx="293">
                  <c:v>5154.6899999999996</c:v>
                </c:pt>
                <c:pt idx="294">
                  <c:v>5260.63</c:v>
                </c:pt>
                <c:pt idx="295">
                  <c:v>5957.98</c:v>
                </c:pt>
                <c:pt idx="296">
                  <c:v>6619.39</c:v>
                </c:pt>
                <c:pt idx="297">
                  <c:v>6675.85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8-4E5A-BA65-1B6E2F602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954688"/>
        <c:axId val="1891957568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资产负债表!$Y$4:$Y$301</c:f>
              <c:numCache>
                <c:formatCode>General</c:formatCode>
                <c:ptCount val="298"/>
                <c:pt idx="0">
                  <c:v>34331.240000000005</c:v>
                </c:pt>
                <c:pt idx="1">
                  <c:v>35237.81</c:v>
                </c:pt>
                <c:pt idx="2">
                  <c:v>35341.350000000006</c:v>
                </c:pt>
                <c:pt idx="3">
                  <c:v>34688.47</c:v>
                </c:pt>
                <c:pt idx="4">
                  <c:v>34676.89</c:v>
                </c:pt>
                <c:pt idx="5">
                  <c:v>35109.590000000004</c:v>
                </c:pt>
                <c:pt idx="6">
                  <c:v>35545.19</c:v>
                </c:pt>
                <c:pt idx="7">
                  <c:v>35235.549999999996</c:v>
                </c:pt>
                <c:pt idx="8">
                  <c:v>35510.54</c:v>
                </c:pt>
                <c:pt idx="9">
                  <c:v>36235.030000000006</c:v>
                </c:pt>
                <c:pt idx="10">
                  <c:v>37062.99</c:v>
                </c:pt>
                <c:pt idx="11">
                  <c:v>40329.120000000003</c:v>
                </c:pt>
                <c:pt idx="12">
                  <c:v>45102.74</c:v>
                </c:pt>
                <c:pt idx="13">
                  <c:v>48102.47</c:v>
                </c:pt>
                <c:pt idx="14">
                  <c:v>49214.750000000007</c:v>
                </c:pt>
                <c:pt idx="15">
                  <c:v>52321.479999999996</c:v>
                </c:pt>
                <c:pt idx="16">
                  <c:v>53338.450000000004</c:v>
                </c:pt>
                <c:pt idx="17">
                  <c:v>53105.909999999996</c:v>
                </c:pt>
                <c:pt idx="18">
                  <c:v>53129.46</c:v>
                </c:pt>
                <c:pt idx="19">
                  <c:v>55149.05</c:v>
                </c:pt>
                <c:pt idx="20">
                  <c:v>55773.119999999995</c:v>
                </c:pt>
                <c:pt idx="21">
                  <c:v>55264.430000000008</c:v>
                </c:pt>
                <c:pt idx="22">
                  <c:v>54877.01</c:v>
                </c:pt>
                <c:pt idx="23">
                  <c:v>54235.53</c:v>
                </c:pt>
                <c:pt idx="24">
                  <c:v>53039.22</c:v>
                </c:pt>
                <c:pt idx="25">
                  <c:v>52753.670000000013</c:v>
                </c:pt>
                <c:pt idx="26">
                  <c:v>51250.569999999992</c:v>
                </c:pt>
                <c:pt idx="27">
                  <c:v>50714.52</c:v>
                </c:pt>
                <c:pt idx="28">
                  <c:v>49939.199999999997</c:v>
                </c:pt>
                <c:pt idx="29">
                  <c:v>49729.100000000006</c:v>
                </c:pt>
                <c:pt idx="30">
                  <c:v>49395.450000000012</c:v>
                </c:pt>
                <c:pt idx="31">
                  <c:v>50261.520000000004</c:v>
                </c:pt>
                <c:pt idx="32">
                  <c:v>51037.88</c:v>
                </c:pt>
                <c:pt idx="33">
                  <c:v>51629.02</c:v>
                </c:pt>
                <c:pt idx="34">
                  <c:v>51698.939999999995</c:v>
                </c:pt>
                <c:pt idx="35">
                  <c:v>51530.05</c:v>
                </c:pt>
                <c:pt idx="36">
                  <c:v>52361.16</c:v>
                </c:pt>
                <c:pt idx="37">
                  <c:v>51731.839999999997</c:v>
                </c:pt>
                <c:pt idx="38">
                  <c:v>52270.77</c:v>
                </c:pt>
                <c:pt idx="39">
                  <c:v>50692.169999999991</c:v>
                </c:pt>
                <c:pt idx="40">
                  <c:v>51986.720000000016</c:v>
                </c:pt>
                <c:pt idx="41">
                  <c:v>53076.61</c:v>
                </c:pt>
                <c:pt idx="42">
                  <c:v>52903.329999999987</c:v>
                </c:pt>
                <c:pt idx="43">
                  <c:v>52913.740000000005</c:v>
                </c:pt>
                <c:pt idx="44">
                  <c:v>53458.74</c:v>
                </c:pt>
                <c:pt idx="45">
                  <c:v>54088.38</c:v>
                </c:pt>
                <c:pt idx="46">
                  <c:v>55059.19000000001</c:v>
                </c:pt>
                <c:pt idx="47">
                  <c:v>55345.400000000009</c:v>
                </c:pt>
                <c:pt idx="48">
                  <c:v>54796.380000000005</c:v>
                </c:pt>
                <c:pt idx="49">
                  <c:v>55480.399999999994</c:v>
                </c:pt>
                <c:pt idx="50">
                  <c:v>55558.59</c:v>
                </c:pt>
                <c:pt idx="51">
                  <c:v>56222.069999999992</c:v>
                </c:pt>
                <c:pt idx="52">
                  <c:v>55400.739999999991</c:v>
                </c:pt>
                <c:pt idx="53">
                  <c:v>55210.779999999992</c:v>
                </c:pt>
                <c:pt idx="54">
                  <c:v>55439.199999999997</c:v>
                </c:pt>
                <c:pt idx="55">
                  <c:v>55699.789999999994</c:v>
                </c:pt>
                <c:pt idx="56">
                  <c:v>55809.709999999992</c:v>
                </c:pt>
                <c:pt idx="57">
                  <c:v>55719.359999999993</c:v>
                </c:pt>
                <c:pt idx="58">
                  <c:v>56534.5</c:v>
                </c:pt>
                <c:pt idx="59">
                  <c:v>57867.9</c:v>
                </c:pt>
                <c:pt idx="60">
                  <c:v>59450.920000000006</c:v>
                </c:pt>
                <c:pt idx="61">
                  <c:v>59339.470000000008</c:v>
                </c:pt>
                <c:pt idx="62">
                  <c:v>60758.78</c:v>
                </c:pt>
                <c:pt idx="63">
                  <c:v>63984.889999999992</c:v>
                </c:pt>
                <c:pt idx="64">
                  <c:v>64532.7</c:v>
                </c:pt>
                <c:pt idx="65">
                  <c:v>62148.6</c:v>
                </c:pt>
                <c:pt idx="66">
                  <c:v>64818.410000000011</c:v>
                </c:pt>
                <c:pt idx="67">
                  <c:v>65895.659999999989</c:v>
                </c:pt>
                <c:pt idx="68">
                  <c:v>65147.15</c:v>
                </c:pt>
                <c:pt idx="69">
                  <c:v>64657.839999999989</c:v>
                </c:pt>
                <c:pt idx="70">
                  <c:v>64760.48000000001</c:v>
                </c:pt>
                <c:pt idx="71">
                  <c:v>65375.78</c:v>
                </c:pt>
                <c:pt idx="72">
                  <c:v>65398.94</c:v>
                </c:pt>
                <c:pt idx="73">
                  <c:v>64541.96</c:v>
                </c:pt>
                <c:pt idx="74">
                  <c:v>64507.1</c:v>
                </c:pt>
                <c:pt idx="75">
                  <c:v>65578.36</c:v>
                </c:pt>
                <c:pt idx="76">
                  <c:v>65553.83</c:v>
                </c:pt>
                <c:pt idx="77">
                  <c:v>63121.369999999995</c:v>
                </c:pt>
                <c:pt idx="78">
                  <c:v>59656.9</c:v>
                </c:pt>
                <c:pt idx="79">
                  <c:v>63235.430000000008</c:v>
                </c:pt>
                <c:pt idx="80">
                  <c:v>64331.42</c:v>
                </c:pt>
                <c:pt idx="81">
                  <c:v>64873.58</c:v>
                </c:pt>
                <c:pt idx="82">
                  <c:v>64643.739999999991</c:v>
                </c:pt>
                <c:pt idx="83">
                  <c:v>65128.450000000004</c:v>
                </c:pt>
                <c:pt idx="84">
                  <c:v>65994.14</c:v>
                </c:pt>
                <c:pt idx="85">
                  <c:v>66435.460000000006</c:v>
                </c:pt>
                <c:pt idx="86">
                  <c:v>66694.329999999987</c:v>
                </c:pt>
                <c:pt idx="87">
                  <c:v>66759.429999999993</c:v>
                </c:pt>
                <c:pt idx="88">
                  <c:v>67460.739999999991</c:v>
                </c:pt>
                <c:pt idx="89">
                  <c:v>67284.260000000009</c:v>
                </c:pt>
                <c:pt idx="90">
                  <c:v>66531.130000000019</c:v>
                </c:pt>
                <c:pt idx="91">
                  <c:v>65718.89</c:v>
                </c:pt>
                <c:pt idx="92">
                  <c:v>66303.880000000019</c:v>
                </c:pt>
                <c:pt idx="93">
                  <c:v>67508.599999999991</c:v>
                </c:pt>
                <c:pt idx="94">
                  <c:v>66612.11</c:v>
                </c:pt>
                <c:pt idx="95">
                  <c:v>65982.02</c:v>
                </c:pt>
                <c:pt idx="96">
                  <c:v>66308.460000000006</c:v>
                </c:pt>
                <c:pt idx="97">
                  <c:v>66787.189999999988</c:v>
                </c:pt>
                <c:pt idx="98">
                  <c:v>66817.06</c:v>
                </c:pt>
                <c:pt idx="99">
                  <c:v>67819.14</c:v>
                </c:pt>
                <c:pt idx="100">
                  <c:v>67619.77</c:v>
                </c:pt>
                <c:pt idx="101">
                  <c:v>67521.53</c:v>
                </c:pt>
                <c:pt idx="102">
                  <c:v>67704.929999999993</c:v>
                </c:pt>
                <c:pt idx="103">
                  <c:v>66100.639999999985</c:v>
                </c:pt>
                <c:pt idx="104">
                  <c:v>65526.760000000009</c:v>
                </c:pt>
                <c:pt idx="105">
                  <c:v>65353.46</c:v>
                </c:pt>
                <c:pt idx="106">
                  <c:v>64365.54</c:v>
                </c:pt>
                <c:pt idx="107">
                  <c:v>63238.639999999992</c:v>
                </c:pt>
                <c:pt idx="108">
                  <c:v>63296.750000000015</c:v>
                </c:pt>
                <c:pt idx="109">
                  <c:v>62563.729999999996</c:v>
                </c:pt>
                <c:pt idx="110">
                  <c:v>62910.989999999991</c:v>
                </c:pt>
                <c:pt idx="111">
                  <c:v>63003.100000000006</c:v>
                </c:pt>
                <c:pt idx="112">
                  <c:v>62602.209999999992</c:v>
                </c:pt>
                <c:pt idx="113">
                  <c:v>64433.119999999995</c:v>
                </c:pt>
                <c:pt idx="114">
                  <c:v>65151.329999999987</c:v>
                </c:pt>
                <c:pt idx="115">
                  <c:v>64681.42</c:v>
                </c:pt>
                <c:pt idx="116">
                  <c:v>63314.500000000015</c:v>
                </c:pt>
                <c:pt idx="117">
                  <c:v>63395.679999999993</c:v>
                </c:pt>
                <c:pt idx="118">
                  <c:v>64163.7</c:v>
                </c:pt>
                <c:pt idx="119">
                  <c:v>63516.189999999988</c:v>
                </c:pt>
                <c:pt idx="120">
                  <c:v>58840.479999999989</c:v>
                </c:pt>
                <c:pt idx="121">
                  <c:v>58902.17</c:v>
                </c:pt>
                <c:pt idx="122">
                  <c:v>58770.07</c:v>
                </c:pt>
                <c:pt idx="123">
                  <c:v>58479.14</c:v>
                </c:pt>
                <c:pt idx="124">
                  <c:v>58375.499999999993</c:v>
                </c:pt>
                <c:pt idx="125">
                  <c:v>58543.460000000006</c:v>
                </c:pt>
                <c:pt idx="126">
                  <c:v>59039.350000000006</c:v>
                </c:pt>
                <c:pt idx="127">
                  <c:v>58300.479999999996</c:v>
                </c:pt>
                <c:pt idx="128">
                  <c:v>57408.789999999994</c:v>
                </c:pt>
                <c:pt idx="129">
                  <c:v>56731.48000000001</c:v>
                </c:pt>
                <c:pt idx="130">
                  <c:v>56654.61</c:v>
                </c:pt>
                <c:pt idx="131">
                  <c:v>57632.579999999994</c:v>
                </c:pt>
                <c:pt idx="132">
                  <c:v>58342.869999999995</c:v>
                </c:pt>
                <c:pt idx="133">
                  <c:v>57483.900000000009</c:v>
                </c:pt>
                <c:pt idx="134">
                  <c:v>57902.359999999993</c:v>
                </c:pt>
                <c:pt idx="135">
                  <c:v>58602.03</c:v>
                </c:pt>
                <c:pt idx="136">
                  <c:v>58722.99</c:v>
                </c:pt>
                <c:pt idx="137">
                  <c:v>58426.36</c:v>
                </c:pt>
                <c:pt idx="138">
                  <c:v>58268.800000000003</c:v>
                </c:pt>
                <c:pt idx="139">
                  <c:v>56278.979999999996</c:v>
                </c:pt>
                <c:pt idx="140">
                  <c:v>57795.82</c:v>
                </c:pt>
                <c:pt idx="141">
                  <c:v>56880.729999999996</c:v>
                </c:pt>
                <c:pt idx="142">
                  <c:v>55151.48</c:v>
                </c:pt>
                <c:pt idx="143">
                  <c:v>54953.58</c:v>
                </c:pt>
                <c:pt idx="144">
                  <c:v>55920.770000000004</c:v>
                </c:pt>
                <c:pt idx="145">
                  <c:v>55951.090000000004</c:v>
                </c:pt>
                <c:pt idx="146">
                  <c:v>55316.500000000007</c:v>
                </c:pt>
                <c:pt idx="147">
                  <c:v>55973.989999999991</c:v>
                </c:pt>
                <c:pt idx="148">
                  <c:v>55441.81</c:v>
                </c:pt>
                <c:pt idx="149">
                  <c:v>55694.559999999998</c:v>
                </c:pt>
                <c:pt idx="150">
                  <c:v>56773.439999999995</c:v>
                </c:pt>
                <c:pt idx="151">
                  <c:v>56984.319999999992</c:v>
                </c:pt>
                <c:pt idx="152">
                  <c:v>55552.789999999994</c:v>
                </c:pt>
                <c:pt idx="153">
                  <c:v>56523.33</c:v>
                </c:pt>
                <c:pt idx="154">
                  <c:v>56898.69</c:v>
                </c:pt>
                <c:pt idx="155">
                  <c:v>55671.270000000004</c:v>
                </c:pt>
                <c:pt idx="156">
                  <c:v>55142.080000000002</c:v>
                </c:pt>
                <c:pt idx="157">
                  <c:v>55659.259999999995</c:v>
                </c:pt>
                <c:pt idx="158">
                  <c:v>56143.549999999996</c:v>
                </c:pt>
                <c:pt idx="159">
                  <c:v>56082.770000000004</c:v>
                </c:pt>
                <c:pt idx="160">
                  <c:v>54827.310000000005</c:v>
                </c:pt>
                <c:pt idx="161">
                  <c:v>55184.130000000005</c:v>
                </c:pt>
                <c:pt idx="162">
                  <c:v>55206.000000000007</c:v>
                </c:pt>
                <c:pt idx="163">
                  <c:v>55825.599999999999</c:v>
                </c:pt>
                <c:pt idx="164">
                  <c:v>54595.259999999995</c:v>
                </c:pt>
                <c:pt idx="165">
                  <c:v>54880.579999999994</c:v>
                </c:pt>
                <c:pt idx="166">
                  <c:v>54702.020000000004</c:v>
                </c:pt>
                <c:pt idx="167">
                  <c:v>59385.310000000005</c:v>
                </c:pt>
                <c:pt idx="168">
                  <c:v>58839.47</c:v>
                </c:pt>
                <c:pt idx="169">
                  <c:v>59106.42</c:v>
                </c:pt>
                <c:pt idx="170">
                  <c:v>58922.93</c:v>
                </c:pt>
                <c:pt idx="171">
                  <c:v>58515.159999999996</c:v>
                </c:pt>
                <c:pt idx="172">
                  <c:v>56618.250000000007</c:v>
                </c:pt>
                <c:pt idx="173">
                  <c:v>56277.539999999994</c:v>
                </c:pt>
                <c:pt idx="174">
                  <c:v>56747.340000000011</c:v>
                </c:pt>
                <c:pt idx="175">
                  <c:v>57300.31</c:v>
                </c:pt>
                <c:pt idx="176">
                  <c:v>57898.01</c:v>
                </c:pt>
                <c:pt idx="177">
                  <c:v>57757.760000000002</c:v>
                </c:pt>
                <c:pt idx="178">
                  <c:v>57216.649999999987</c:v>
                </c:pt>
                <c:pt idx="179">
                  <c:v>58037.490000000005</c:v>
                </c:pt>
                <c:pt idx="180">
                  <c:v>58163.95</c:v>
                </c:pt>
                <c:pt idx="181">
                  <c:v>56996.850000000006</c:v>
                </c:pt>
                <c:pt idx="182">
                  <c:v>56604.82</c:v>
                </c:pt>
                <c:pt idx="183">
                  <c:v>56601.279999999999</c:v>
                </c:pt>
                <c:pt idx="184">
                  <c:v>56316.619999999995</c:v>
                </c:pt>
                <c:pt idx="185">
                  <c:v>56784.260000000009</c:v>
                </c:pt>
                <c:pt idx="186">
                  <c:v>56264.72</c:v>
                </c:pt>
                <c:pt idx="187">
                  <c:v>56734.29</c:v>
                </c:pt>
                <c:pt idx="188">
                  <c:v>56795.27</c:v>
                </c:pt>
                <c:pt idx="189">
                  <c:v>56642.47</c:v>
                </c:pt>
                <c:pt idx="190">
                  <c:v>56105.210000000006</c:v>
                </c:pt>
                <c:pt idx="191">
                  <c:v>56222.91</c:v>
                </c:pt>
                <c:pt idx="192">
                  <c:v>57198.87999999999</c:v>
                </c:pt>
                <c:pt idx="193">
                  <c:v>57257.81</c:v>
                </c:pt>
                <c:pt idx="194">
                  <c:v>55576.659999999996</c:v>
                </c:pt>
                <c:pt idx="195">
                  <c:v>55748.130000000005</c:v>
                </c:pt>
                <c:pt idx="196">
                  <c:v>56448.08</c:v>
                </c:pt>
                <c:pt idx="197">
                  <c:v>57093.01999999999</c:v>
                </c:pt>
                <c:pt idx="198">
                  <c:v>56431.31</c:v>
                </c:pt>
                <c:pt idx="199">
                  <c:v>56569.98</c:v>
                </c:pt>
                <c:pt idx="200">
                  <c:v>57171.409999999996</c:v>
                </c:pt>
                <c:pt idx="201">
                  <c:v>57533.75</c:v>
                </c:pt>
                <c:pt idx="202">
                  <c:v>58770.420000000006</c:v>
                </c:pt>
                <c:pt idx="203">
                  <c:v>58461.279999999999</c:v>
                </c:pt>
                <c:pt idx="204">
                  <c:v>57884.19</c:v>
                </c:pt>
                <c:pt idx="205">
                  <c:v>58851.790000000008</c:v>
                </c:pt>
                <c:pt idx="206">
                  <c:v>59567.159999999996</c:v>
                </c:pt>
                <c:pt idx="207">
                  <c:v>58671.4</c:v>
                </c:pt>
                <c:pt idx="208">
                  <c:v>58341.43</c:v>
                </c:pt>
                <c:pt idx="209">
                  <c:v>58515.850000000006</c:v>
                </c:pt>
                <c:pt idx="210">
                  <c:v>59177.100000000006</c:v>
                </c:pt>
                <c:pt idx="211">
                  <c:v>59638.740000000005</c:v>
                </c:pt>
                <c:pt idx="212">
                  <c:v>58820.020000000004</c:v>
                </c:pt>
                <c:pt idx="213">
                  <c:v>57870.400000000009</c:v>
                </c:pt>
                <c:pt idx="214">
                  <c:v>59195.459999999992</c:v>
                </c:pt>
                <c:pt idx="215">
                  <c:v>58964.22</c:v>
                </c:pt>
                <c:pt idx="216">
                  <c:v>58782.990000000005</c:v>
                </c:pt>
                <c:pt idx="217">
                  <c:v>58913.340000000011</c:v>
                </c:pt>
                <c:pt idx="218">
                  <c:v>59849.130000000005</c:v>
                </c:pt>
                <c:pt idx="219">
                  <c:v>59389.030000000006</c:v>
                </c:pt>
                <c:pt idx="220">
                  <c:v>58562.76999999999</c:v>
                </c:pt>
                <c:pt idx="221">
                  <c:v>58397.329999999994</c:v>
                </c:pt>
                <c:pt idx="222">
                  <c:v>59050.94</c:v>
                </c:pt>
                <c:pt idx="223">
                  <c:v>59664.419999999991</c:v>
                </c:pt>
                <c:pt idx="224">
                  <c:v>56799.340000000004</c:v>
                </c:pt>
                <c:pt idx="225">
                  <c:v>56637.96</c:v>
                </c:pt>
                <c:pt idx="226">
                  <c:v>56739.670000000013</c:v>
                </c:pt>
                <c:pt idx="227">
                  <c:v>56816.350000000006</c:v>
                </c:pt>
                <c:pt idx="228">
                  <c:v>57709.54</c:v>
                </c:pt>
                <c:pt idx="229">
                  <c:v>57237.740000000005</c:v>
                </c:pt>
                <c:pt idx="230">
                  <c:v>57436.97</c:v>
                </c:pt>
                <c:pt idx="231">
                  <c:v>58065.279999999999</c:v>
                </c:pt>
                <c:pt idx="232">
                  <c:v>57760.060000000005</c:v>
                </c:pt>
                <c:pt idx="233">
                  <c:v>57055.149999999994</c:v>
                </c:pt>
                <c:pt idx="234">
                  <c:v>56071.91</c:v>
                </c:pt>
                <c:pt idx="235">
                  <c:v>56646.039999999994</c:v>
                </c:pt>
                <c:pt idx="236">
                  <c:v>56805.079999999994</c:v>
                </c:pt>
                <c:pt idx="237">
                  <c:v>56514.27</c:v>
                </c:pt>
                <c:pt idx="238">
                  <c:v>56320.69</c:v>
                </c:pt>
                <c:pt idx="239">
                  <c:v>55111.29</c:v>
                </c:pt>
                <c:pt idx="240">
                  <c:v>57081.42</c:v>
                </c:pt>
                <c:pt idx="241">
                  <c:v>56666.670000000013</c:v>
                </c:pt>
                <c:pt idx="242">
                  <c:v>56866.979999999996</c:v>
                </c:pt>
                <c:pt idx="243">
                  <c:v>55641.600000000006</c:v>
                </c:pt>
                <c:pt idx="244">
                  <c:v>55972.679999999993</c:v>
                </c:pt>
                <c:pt idx="245">
                  <c:v>56902</c:v>
                </c:pt>
                <c:pt idx="246">
                  <c:v>55461.34</c:v>
                </c:pt>
                <c:pt idx="247">
                  <c:v>54678.35</c:v>
                </c:pt>
                <c:pt idx="248">
                  <c:v>54242.59</c:v>
                </c:pt>
                <c:pt idx="249">
                  <c:v>55201.479999999996</c:v>
                </c:pt>
                <c:pt idx="250">
                  <c:v>55555.179999999993</c:v>
                </c:pt>
                <c:pt idx="251">
                  <c:v>55433.810000000005</c:v>
                </c:pt>
                <c:pt idx="252">
                  <c:v>55393.459999999992</c:v>
                </c:pt>
                <c:pt idx="253">
                  <c:v>55809.95</c:v>
                </c:pt>
                <c:pt idx="254">
                  <c:v>55301.270000000004</c:v>
                </c:pt>
                <c:pt idx="255">
                  <c:v>55857.55</c:v>
                </c:pt>
                <c:pt idx="256">
                  <c:v>55529.27</c:v>
                </c:pt>
                <c:pt idx="257">
                  <c:v>55332.530000000006</c:v>
                </c:pt>
                <c:pt idx="258">
                  <c:v>55898.470000000008</c:v>
                </c:pt>
                <c:pt idx="259">
                  <c:v>55631.48000000001</c:v>
                </c:pt>
                <c:pt idx="260">
                  <c:v>55845.97</c:v>
                </c:pt>
                <c:pt idx="261">
                  <c:v>52422.040000000008</c:v>
                </c:pt>
                <c:pt idx="262">
                  <c:v>56615.03</c:v>
                </c:pt>
                <c:pt idx="263">
                  <c:v>56782.419999999991</c:v>
                </c:pt>
                <c:pt idx="264">
                  <c:v>56498.260000000009</c:v>
                </c:pt>
                <c:pt idx="265">
                  <c:v>55102.5</c:v>
                </c:pt>
                <c:pt idx="266">
                  <c:v>55375.69000000001</c:v>
                </c:pt>
                <c:pt idx="267">
                  <c:v>55518.920000000006</c:v>
                </c:pt>
                <c:pt idx="268">
                  <c:v>55823.650000000009</c:v>
                </c:pt>
                <c:pt idx="269">
                  <c:v>56857.67</c:v>
                </c:pt>
                <c:pt idx="270">
                  <c:v>57030.57</c:v>
                </c:pt>
                <c:pt idx="271">
                  <c:v>57867.070000000007</c:v>
                </c:pt>
                <c:pt idx="272">
                  <c:v>57687.060000000005</c:v>
                </c:pt>
                <c:pt idx="273">
                  <c:v>57956.72</c:v>
                </c:pt>
                <c:pt idx="274">
                  <c:v>57995.750000000007</c:v>
                </c:pt>
                <c:pt idx="275">
                  <c:v>58779.740000000005</c:v>
                </c:pt>
                <c:pt idx="276">
                  <c:v>56759.020000000004</c:v>
                </c:pt>
                <c:pt idx="277">
                  <c:v>56057.81</c:v>
                </c:pt>
                <c:pt idx="278">
                  <c:v>53994.98</c:v>
                </c:pt>
                <c:pt idx="279">
                  <c:v>55904.75</c:v>
                </c:pt>
                <c:pt idx="280">
                  <c:v>56316.24</c:v>
                </c:pt>
                <c:pt idx="281">
                  <c:v>56786.969999999994</c:v>
                </c:pt>
                <c:pt idx="282">
                  <c:v>56925.06</c:v>
                </c:pt>
                <c:pt idx="283">
                  <c:v>57527.98</c:v>
                </c:pt>
                <c:pt idx="284">
                  <c:v>58240.700000000004</c:v>
                </c:pt>
                <c:pt idx="285">
                  <c:v>57200.159999999996</c:v>
                </c:pt>
                <c:pt idx="286">
                  <c:v>57435.7</c:v>
                </c:pt>
                <c:pt idx="287">
                  <c:v>56562.28</c:v>
                </c:pt>
                <c:pt idx="288">
                  <c:v>57410.909999999996</c:v>
                </c:pt>
                <c:pt idx="289">
                  <c:v>57725.03</c:v>
                </c:pt>
                <c:pt idx="290">
                  <c:v>57571.71</c:v>
                </c:pt>
                <c:pt idx="291">
                  <c:v>56974.51</c:v>
                </c:pt>
                <c:pt idx="292">
                  <c:v>57306.529999999992</c:v>
                </c:pt>
                <c:pt idx="293">
                  <c:v>57259.44999999999</c:v>
                </c:pt>
                <c:pt idx="294">
                  <c:v>56932.859999999993</c:v>
                </c:pt>
                <c:pt idx="295">
                  <c:v>56144.31</c:v>
                </c:pt>
                <c:pt idx="296">
                  <c:v>55714.010000000009</c:v>
                </c:pt>
                <c:pt idx="297">
                  <c:v>55554.21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88-4E5A-BA65-1B6E2F602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892624"/>
        <c:axId val="972867184"/>
      </c:lineChart>
      <c:catAx>
        <c:axId val="189195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957568"/>
        <c:crosses val="autoZero"/>
        <c:auto val="1"/>
        <c:lblAlgn val="ctr"/>
        <c:lblOffset val="100"/>
        <c:noMultiLvlLbl val="0"/>
      </c:catAx>
      <c:valAx>
        <c:axId val="189195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954688"/>
        <c:crosses val="autoZero"/>
        <c:crossBetween val="between"/>
      </c:valAx>
      <c:valAx>
        <c:axId val="972867184"/>
        <c:scaling>
          <c:orientation val="minMax"/>
          <c:max val="70000"/>
          <c:min val="4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892624"/>
        <c:crosses val="max"/>
        <c:crossBetween val="between"/>
      </c:valAx>
      <c:catAx>
        <c:axId val="972892624"/>
        <c:scaling>
          <c:orientation val="minMax"/>
        </c:scaling>
        <c:delete val="1"/>
        <c:axPos val="b"/>
        <c:majorTickMark val="out"/>
        <c:minorTickMark val="none"/>
        <c:tickLblPos val="nextTo"/>
        <c:crossAx val="97286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en-US" altLang="zh-CN" sz="1400"/>
              <a:t>TGA</a:t>
            </a:r>
            <a:r>
              <a:rPr lang="zh-CN" altLang="en-US" sz="1400"/>
              <a:t>账户与净流动性</a:t>
            </a:r>
            <a:endParaRPr lang="zh-C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资产负债表!$W$3</c:f>
              <c:strCache>
                <c:ptCount val="1"/>
                <c:pt idx="0">
                  <c:v>美国财政存款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资产负债表!$I$8:$I$313</c:f>
              <c:numCache>
                <c:formatCode>yyyy\-mm\-dd</c:formatCode>
                <c:ptCount val="306"/>
                <c:pt idx="0">
                  <c:v>43859</c:v>
                </c:pt>
                <c:pt idx="1">
                  <c:v>43866</c:v>
                </c:pt>
                <c:pt idx="2">
                  <c:v>43873</c:v>
                </c:pt>
                <c:pt idx="3">
                  <c:v>43880</c:v>
                </c:pt>
                <c:pt idx="4">
                  <c:v>43887</c:v>
                </c:pt>
                <c:pt idx="5">
                  <c:v>43894</c:v>
                </c:pt>
                <c:pt idx="6">
                  <c:v>43901</c:v>
                </c:pt>
                <c:pt idx="7">
                  <c:v>43908</c:v>
                </c:pt>
                <c:pt idx="8">
                  <c:v>43915</c:v>
                </c:pt>
                <c:pt idx="9">
                  <c:v>43922</c:v>
                </c:pt>
                <c:pt idx="10">
                  <c:v>43929</c:v>
                </c:pt>
                <c:pt idx="11">
                  <c:v>43936</c:v>
                </c:pt>
                <c:pt idx="12">
                  <c:v>43943</c:v>
                </c:pt>
                <c:pt idx="13">
                  <c:v>43950</c:v>
                </c:pt>
                <c:pt idx="14">
                  <c:v>43957</c:v>
                </c:pt>
                <c:pt idx="15">
                  <c:v>43964</c:v>
                </c:pt>
                <c:pt idx="16">
                  <c:v>43971</c:v>
                </c:pt>
                <c:pt idx="17">
                  <c:v>43978</c:v>
                </c:pt>
                <c:pt idx="18">
                  <c:v>43985</c:v>
                </c:pt>
                <c:pt idx="19">
                  <c:v>43992</c:v>
                </c:pt>
                <c:pt idx="20">
                  <c:v>43999</c:v>
                </c:pt>
                <c:pt idx="21">
                  <c:v>44006</c:v>
                </c:pt>
                <c:pt idx="22">
                  <c:v>44013</c:v>
                </c:pt>
                <c:pt idx="23">
                  <c:v>44020</c:v>
                </c:pt>
                <c:pt idx="24">
                  <c:v>44027</c:v>
                </c:pt>
                <c:pt idx="25">
                  <c:v>44034</c:v>
                </c:pt>
                <c:pt idx="26">
                  <c:v>44041</c:v>
                </c:pt>
                <c:pt idx="27">
                  <c:v>44048</c:v>
                </c:pt>
                <c:pt idx="28">
                  <c:v>44055</c:v>
                </c:pt>
                <c:pt idx="29">
                  <c:v>44062</c:v>
                </c:pt>
                <c:pt idx="30">
                  <c:v>44069</c:v>
                </c:pt>
                <c:pt idx="31">
                  <c:v>44076</c:v>
                </c:pt>
                <c:pt idx="32">
                  <c:v>44083</c:v>
                </c:pt>
                <c:pt idx="33">
                  <c:v>44090</c:v>
                </c:pt>
                <c:pt idx="34">
                  <c:v>44097</c:v>
                </c:pt>
                <c:pt idx="35">
                  <c:v>44104</c:v>
                </c:pt>
                <c:pt idx="36">
                  <c:v>44111</c:v>
                </c:pt>
                <c:pt idx="37">
                  <c:v>44118</c:v>
                </c:pt>
                <c:pt idx="38">
                  <c:v>44125</c:v>
                </c:pt>
                <c:pt idx="39">
                  <c:v>44132</c:v>
                </c:pt>
                <c:pt idx="40">
                  <c:v>44139</c:v>
                </c:pt>
                <c:pt idx="41">
                  <c:v>44146</c:v>
                </c:pt>
                <c:pt idx="42">
                  <c:v>44153</c:v>
                </c:pt>
                <c:pt idx="43">
                  <c:v>44160</c:v>
                </c:pt>
                <c:pt idx="44">
                  <c:v>44167</c:v>
                </c:pt>
                <c:pt idx="45">
                  <c:v>44174</c:v>
                </c:pt>
                <c:pt idx="46">
                  <c:v>44181</c:v>
                </c:pt>
                <c:pt idx="47">
                  <c:v>44188</c:v>
                </c:pt>
                <c:pt idx="48">
                  <c:v>44195</c:v>
                </c:pt>
                <c:pt idx="49">
                  <c:v>44202</c:v>
                </c:pt>
                <c:pt idx="50">
                  <c:v>44209</c:v>
                </c:pt>
                <c:pt idx="51">
                  <c:v>44216</c:v>
                </c:pt>
                <c:pt idx="52">
                  <c:v>44223</c:v>
                </c:pt>
                <c:pt idx="53">
                  <c:v>44230</c:v>
                </c:pt>
                <c:pt idx="54">
                  <c:v>44237</c:v>
                </c:pt>
                <c:pt idx="55">
                  <c:v>44244</c:v>
                </c:pt>
                <c:pt idx="56">
                  <c:v>44251</c:v>
                </c:pt>
                <c:pt idx="57">
                  <c:v>44258</c:v>
                </c:pt>
                <c:pt idx="58">
                  <c:v>44265</c:v>
                </c:pt>
                <c:pt idx="59">
                  <c:v>44272</c:v>
                </c:pt>
                <c:pt idx="60">
                  <c:v>44279</c:v>
                </c:pt>
                <c:pt idx="61">
                  <c:v>44286</c:v>
                </c:pt>
                <c:pt idx="62">
                  <c:v>44293</c:v>
                </c:pt>
                <c:pt idx="63">
                  <c:v>44300</c:v>
                </c:pt>
                <c:pt idx="64">
                  <c:v>44307</c:v>
                </c:pt>
                <c:pt idx="65">
                  <c:v>44314</c:v>
                </c:pt>
                <c:pt idx="66">
                  <c:v>44321</c:v>
                </c:pt>
                <c:pt idx="67">
                  <c:v>44328</c:v>
                </c:pt>
                <c:pt idx="68">
                  <c:v>44335</c:v>
                </c:pt>
                <c:pt idx="69">
                  <c:v>44342</c:v>
                </c:pt>
                <c:pt idx="70">
                  <c:v>44349</c:v>
                </c:pt>
                <c:pt idx="71">
                  <c:v>44356</c:v>
                </c:pt>
                <c:pt idx="72">
                  <c:v>44363</c:v>
                </c:pt>
                <c:pt idx="73">
                  <c:v>44370</c:v>
                </c:pt>
                <c:pt idx="74">
                  <c:v>44377</c:v>
                </c:pt>
                <c:pt idx="75">
                  <c:v>44384</c:v>
                </c:pt>
                <c:pt idx="76">
                  <c:v>44391</c:v>
                </c:pt>
                <c:pt idx="77">
                  <c:v>44398</c:v>
                </c:pt>
                <c:pt idx="78">
                  <c:v>44405</c:v>
                </c:pt>
                <c:pt idx="79">
                  <c:v>44412</c:v>
                </c:pt>
                <c:pt idx="80">
                  <c:v>44419</c:v>
                </c:pt>
                <c:pt idx="81">
                  <c:v>44426</c:v>
                </c:pt>
                <c:pt idx="82">
                  <c:v>44433</c:v>
                </c:pt>
                <c:pt idx="83">
                  <c:v>44440</c:v>
                </c:pt>
                <c:pt idx="84">
                  <c:v>44447</c:v>
                </c:pt>
                <c:pt idx="85">
                  <c:v>44454</c:v>
                </c:pt>
                <c:pt idx="86">
                  <c:v>44461</c:v>
                </c:pt>
                <c:pt idx="87">
                  <c:v>44468</c:v>
                </c:pt>
                <c:pt idx="88">
                  <c:v>44475</c:v>
                </c:pt>
                <c:pt idx="89">
                  <c:v>44482</c:v>
                </c:pt>
                <c:pt idx="90">
                  <c:v>44489</c:v>
                </c:pt>
                <c:pt idx="91">
                  <c:v>44496</c:v>
                </c:pt>
                <c:pt idx="92">
                  <c:v>44503</c:v>
                </c:pt>
                <c:pt idx="93">
                  <c:v>44510</c:v>
                </c:pt>
                <c:pt idx="94">
                  <c:v>44517</c:v>
                </c:pt>
                <c:pt idx="95">
                  <c:v>44524</c:v>
                </c:pt>
                <c:pt idx="96">
                  <c:v>44531</c:v>
                </c:pt>
                <c:pt idx="97">
                  <c:v>44538</c:v>
                </c:pt>
                <c:pt idx="98">
                  <c:v>44545</c:v>
                </c:pt>
                <c:pt idx="99">
                  <c:v>44552</c:v>
                </c:pt>
                <c:pt idx="100">
                  <c:v>44559</c:v>
                </c:pt>
                <c:pt idx="101">
                  <c:v>44566</c:v>
                </c:pt>
                <c:pt idx="102">
                  <c:v>44573</c:v>
                </c:pt>
                <c:pt idx="103">
                  <c:v>44580</c:v>
                </c:pt>
                <c:pt idx="104">
                  <c:v>44587</c:v>
                </c:pt>
                <c:pt idx="105">
                  <c:v>44594</c:v>
                </c:pt>
                <c:pt idx="106">
                  <c:v>44601</c:v>
                </c:pt>
                <c:pt idx="107">
                  <c:v>44608</c:v>
                </c:pt>
                <c:pt idx="108">
                  <c:v>44615</c:v>
                </c:pt>
                <c:pt idx="109">
                  <c:v>44622</c:v>
                </c:pt>
                <c:pt idx="110">
                  <c:v>44629</c:v>
                </c:pt>
                <c:pt idx="111">
                  <c:v>44636</c:v>
                </c:pt>
                <c:pt idx="112">
                  <c:v>44643</c:v>
                </c:pt>
                <c:pt idx="113">
                  <c:v>44650</c:v>
                </c:pt>
                <c:pt idx="114">
                  <c:v>44657</c:v>
                </c:pt>
                <c:pt idx="115">
                  <c:v>44664</c:v>
                </c:pt>
                <c:pt idx="116">
                  <c:v>44671</c:v>
                </c:pt>
                <c:pt idx="117">
                  <c:v>44678</c:v>
                </c:pt>
                <c:pt idx="118">
                  <c:v>44685</c:v>
                </c:pt>
                <c:pt idx="119">
                  <c:v>44692</c:v>
                </c:pt>
                <c:pt idx="120">
                  <c:v>44699</c:v>
                </c:pt>
                <c:pt idx="121">
                  <c:v>44706</c:v>
                </c:pt>
                <c:pt idx="122">
                  <c:v>44713</c:v>
                </c:pt>
                <c:pt idx="123">
                  <c:v>44720</c:v>
                </c:pt>
                <c:pt idx="124">
                  <c:v>44727</c:v>
                </c:pt>
                <c:pt idx="125">
                  <c:v>44734</c:v>
                </c:pt>
                <c:pt idx="126">
                  <c:v>44741</c:v>
                </c:pt>
                <c:pt idx="127">
                  <c:v>44748</c:v>
                </c:pt>
                <c:pt idx="128">
                  <c:v>44755</c:v>
                </c:pt>
                <c:pt idx="129">
                  <c:v>44762</c:v>
                </c:pt>
                <c:pt idx="130">
                  <c:v>44769</c:v>
                </c:pt>
                <c:pt idx="131">
                  <c:v>44776</c:v>
                </c:pt>
                <c:pt idx="132">
                  <c:v>44783</c:v>
                </c:pt>
                <c:pt idx="133">
                  <c:v>44790</c:v>
                </c:pt>
                <c:pt idx="134">
                  <c:v>44797</c:v>
                </c:pt>
                <c:pt idx="135">
                  <c:v>44804</c:v>
                </c:pt>
                <c:pt idx="136">
                  <c:v>44811</c:v>
                </c:pt>
                <c:pt idx="137">
                  <c:v>44818</c:v>
                </c:pt>
                <c:pt idx="138">
                  <c:v>44825</c:v>
                </c:pt>
                <c:pt idx="139">
                  <c:v>44832</c:v>
                </c:pt>
                <c:pt idx="140">
                  <c:v>44839</c:v>
                </c:pt>
                <c:pt idx="141">
                  <c:v>44846</c:v>
                </c:pt>
                <c:pt idx="142">
                  <c:v>44853</c:v>
                </c:pt>
                <c:pt idx="143">
                  <c:v>44860</c:v>
                </c:pt>
                <c:pt idx="144">
                  <c:v>44867</c:v>
                </c:pt>
                <c:pt idx="145">
                  <c:v>44874</c:v>
                </c:pt>
                <c:pt idx="146">
                  <c:v>44881</c:v>
                </c:pt>
                <c:pt idx="147">
                  <c:v>44888</c:v>
                </c:pt>
                <c:pt idx="148">
                  <c:v>44895</c:v>
                </c:pt>
                <c:pt idx="149">
                  <c:v>44902</c:v>
                </c:pt>
                <c:pt idx="150">
                  <c:v>44909</c:v>
                </c:pt>
                <c:pt idx="151">
                  <c:v>44916</c:v>
                </c:pt>
                <c:pt idx="152">
                  <c:v>44923</c:v>
                </c:pt>
                <c:pt idx="153">
                  <c:v>44930</c:v>
                </c:pt>
                <c:pt idx="154">
                  <c:v>44937</c:v>
                </c:pt>
                <c:pt idx="155">
                  <c:v>44944</c:v>
                </c:pt>
                <c:pt idx="156">
                  <c:v>44951</c:v>
                </c:pt>
                <c:pt idx="157">
                  <c:v>44958</c:v>
                </c:pt>
                <c:pt idx="158">
                  <c:v>44965</c:v>
                </c:pt>
                <c:pt idx="159">
                  <c:v>44972</c:v>
                </c:pt>
                <c:pt idx="160">
                  <c:v>44979</c:v>
                </c:pt>
                <c:pt idx="161">
                  <c:v>44986</c:v>
                </c:pt>
                <c:pt idx="162">
                  <c:v>44993</c:v>
                </c:pt>
                <c:pt idx="163">
                  <c:v>45000</c:v>
                </c:pt>
                <c:pt idx="164">
                  <c:v>45007</c:v>
                </c:pt>
                <c:pt idx="165">
                  <c:v>45014</c:v>
                </c:pt>
                <c:pt idx="166">
                  <c:v>45021</c:v>
                </c:pt>
                <c:pt idx="167">
                  <c:v>45028</c:v>
                </c:pt>
                <c:pt idx="168">
                  <c:v>45035</c:v>
                </c:pt>
                <c:pt idx="169">
                  <c:v>45042</c:v>
                </c:pt>
                <c:pt idx="170">
                  <c:v>45049</c:v>
                </c:pt>
                <c:pt idx="171">
                  <c:v>45056</c:v>
                </c:pt>
                <c:pt idx="172">
                  <c:v>45063</c:v>
                </c:pt>
                <c:pt idx="173">
                  <c:v>45070</c:v>
                </c:pt>
                <c:pt idx="174">
                  <c:v>45077</c:v>
                </c:pt>
                <c:pt idx="175">
                  <c:v>45084</c:v>
                </c:pt>
                <c:pt idx="176">
                  <c:v>45091</c:v>
                </c:pt>
                <c:pt idx="177">
                  <c:v>45098</c:v>
                </c:pt>
                <c:pt idx="178">
                  <c:v>45105</c:v>
                </c:pt>
                <c:pt idx="179">
                  <c:v>45112</c:v>
                </c:pt>
                <c:pt idx="180">
                  <c:v>45119</c:v>
                </c:pt>
                <c:pt idx="181">
                  <c:v>45126</c:v>
                </c:pt>
                <c:pt idx="182">
                  <c:v>45133</c:v>
                </c:pt>
                <c:pt idx="183">
                  <c:v>45140</c:v>
                </c:pt>
                <c:pt idx="184">
                  <c:v>45147</c:v>
                </c:pt>
                <c:pt idx="185">
                  <c:v>45154</c:v>
                </c:pt>
                <c:pt idx="186">
                  <c:v>45161</c:v>
                </c:pt>
                <c:pt idx="187">
                  <c:v>45168</c:v>
                </c:pt>
                <c:pt idx="188">
                  <c:v>45175</c:v>
                </c:pt>
                <c:pt idx="189">
                  <c:v>45182</c:v>
                </c:pt>
                <c:pt idx="190">
                  <c:v>45189</c:v>
                </c:pt>
                <c:pt idx="191">
                  <c:v>45196</c:v>
                </c:pt>
                <c:pt idx="192">
                  <c:v>45203</c:v>
                </c:pt>
                <c:pt idx="193">
                  <c:v>45210</c:v>
                </c:pt>
                <c:pt idx="194">
                  <c:v>45217</c:v>
                </c:pt>
                <c:pt idx="195">
                  <c:v>45224</c:v>
                </c:pt>
                <c:pt idx="196">
                  <c:v>45231</c:v>
                </c:pt>
                <c:pt idx="197">
                  <c:v>45238</c:v>
                </c:pt>
                <c:pt idx="198">
                  <c:v>45245</c:v>
                </c:pt>
                <c:pt idx="199">
                  <c:v>45252</c:v>
                </c:pt>
                <c:pt idx="200">
                  <c:v>45259</c:v>
                </c:pt>
                <c:pt idx="201">
                  <c:v>45266</c:v>
                </c:pt>
                <c:pt idx="202">
                  <c:v>45273</c:v>
                </c:pt>
                <c:pt idx="203">
                  <c:v>45280</c:v>
                </c:pt>
                <c:pt idx="204">
                  <c:v>45287</c:v>
                </c:pt>
                <c:pt idx="205">
                  <c:v>45294</c:v>
                </c:pt>
                <c:pt idx="206">
                  <c:v>45301</c:v>
                </c:pt>
                <c:pt idx="207">
                  <c:v>45308</c:v>
                </c:pt>
                <c:pt idx="208">
                  <c:v>45315</c:v>
                </c:pt>
                <c:pt idx="209">
                  <c:v>45322</c:v>
                </c:pt>
                <c:pt idx="210">
                  <c:v>45329</c:v>
                </c:pt>
                <c:pt idx="211">
                  <c:v>45336</c:v>
                </c:pt>
                <c:pt idx="212">
                  <c:v>45343</c:v>
                </c:pt>
                <c:pt idx="213">
                  <c:v>45350</c:v>
                </c:pt>
                <c:pt idx="214">
                  <c:v>45357</c:v>
                </c:pt>
                <c:pt idx="215">
                  <c:v>45364</c:v>
                </c:pt>
                <c:pt idx="216">
                  <c:v>45371</c:v>
                </c:pt>
                <c:pt idx="217">
                  <c:v>45378</c:v>
                </c:pt>
                <c:pt idx="218">
                  <c:v>45385</c:v>
                </c:pt>
                <c:pt idx="219">
                  <c:v>45392</c:v>
                </c:pt>
                <c:pt idx="220">
                  <c:v>45399</c:v>
                </c:pt>
                <c:pt idx="221">
                  <c:v>45406</c:v>
                </c:pt>
                <c:pt idx="222">
                  <c:v>45413</c:v>
                </c:pt>
                <c:pt idx="223">
                  <c:v>45420</c:v>
                </c:pt>
                <c:pt idx="224">
                  <c:v>45427</c:v>
                </c:pt>
                <c:pt idx="225">
                  <c:v>45434</c:v>
                </c:pt>
                <c:pt idx="226">
                  <c:v>45441</c:v>
                </c:pt>
                <c:pt idx="227">
                  <c:v>45448</c:v>
                </c:pt>
                <c:pt idx="228">
                  <c:v>45455</c:v>
                </c:pt>
                <c:pt idx="229">
                  <c:v>45462</c:v>
                </c:pt>
                <c:pt idx="230">
                  <c:v>45469</c:v>
                </c:pt>
                <c:pt idx="231">
                  <c:v>45476</c:v>
                </c:pt>
                <c:pt idx="232">
                  <c:v>45483</c:v>
                </c:pt>
                <c:pt idx="233">
                  <c:v>45490</c:v>
                </c:pt>
                <c:pt idx="234">
                  <c:v>45497</c:v>
                </c:pt>
                <c:pt idx="235">
                  <c:v>45504</c:v>
                </c:pt>
                <c:pt idx="236">
                  <c:v>45511</c:v>
                </c:pt>
                <c:pt idx="237">
                  <c:v>45518</c:v>
                </c:pt>
                <c:pt idx="238">
                  <c:v>45525</c:v>
                </c:pt>
                <c:pt idx="239">
                  <c:v>45532</c:v>
                </c:pt>
                <c:pt idx="240">
                  <c:v>45539</c:v>
                </c:pt>
                <c:pt idx="241">
                  <c:v>45546</c:v>
                </c:pt>
                <c:pt idx="242">
                  <c:v>45553</c:v>
                </c:pt>
                <c:pt idx="243">
                  <c:v>45560</c:v>
                </c:pt>
                <c:pt idx="244">
                  <c:v>45567</c:v>
                </c:pt>
                <c:pt idx="245">
                  <c:v>45574</c:v>
                </c:pt>
                <c:pt idx="246">
                  <c:v>45581</c:v>
                </c:pt>
                <c:pt idx="247">
                  <c:v>45588</c:v>
                </c:pt>
                <c:pt idx="248">
                  <c:v>45595</c:v>
                </c:pt>
                <c:pt idx="249">
                  <c:v>45602</c:v>
                </c:pt>
                <c:pt idx="250">
                  <c:v>45609</c:v>
                </c:pt>
                <c:pt idx="251">
                  <c:v>45616</c:v>
                </c:pt>
                <c:pt idx="252">
                  <c:v>45623</c:v>
                </c:pt>
                <c:pt idx="253">
                  <c:v>45630</c:v>
                </c:pt>
                <c:pt idx="254">
                  <c:v>45637</c:v>
                </c:pt>
                <c:pt idx="255">
                  <c:v>45644</c:v>
                </c:pt>
                <c:pt idx="256">
                  <c:v>45651</c:v>
                </c:pt>
                <c:pt idx="257">
                  <c:v>45658</c:v>
                </c:pt>
                <c:pt idx="258">
                  <c:v>45665</c:v>
                </c:pt>
                <c:pt idx="259">
                  <c:v>45672</c:v>
                </c:pt>
                <c:pt idx="260">
                  <c:v>45679</c:v>
                </c:pt>
                <c:pt idx="261">
                  <c:v>45686</c:v>
                </c:pt>
                <c:pt idx="262">
                  <c:v>45693</c:v>
                </c:pt>
                <c:pt idx="263">
                  <c:v>45700</c:v>
                </c:pt>
                <c:pt idx="264">
                  <c:v>45707</c:v>
                </c:pt>
                <c:pt idx="265">
                  <c:v>45714</c:v>
                </c:pt>
                <c:pt idx="266">
                  <c:v>45721</c:v>
                </c:pt>
                <c:pt idx="267">
                  <c:v>45728</c:v>
                </c:pt>
                <c:pt idx="268">
                  <c:v>45735</c:v>
                </c:pt>
                <c:pt idx="269">
                  <c:v>45742</c:v>
                </c:pt>
                <c:pt idx="270">
                  <c:v>45749</c:v>
                </c:pt>
                <c:pt idx="271">
                  <c:v>45756</c:v>
                </c:pt>
                <c:pt idx="272">
                  <c:v>45763</c:v>
                </c:pt>
                <c:pt idx="273">
                  <c:v>45770</c:v>
                </c:pt>
                <c:pt idx="274">
                  <c:v>45777</c:v>
                </c:pt>
                <c:pt idx="275">
                  <c:v>45784</c:v>
                </c:pt>
                <c:pt idx="276">
                  <c:v>45791</c:v>
                </c:pt>
                <c:pt idx="277">
                  <c:v>45798</c:v>
                </c:pt>
                <c:pt idx="278">
                  <c:v>45805</c:v>
                </c:pt>
                <c:pt idx="279">
                  <c:v>45812</c:v>
                </c:pt>
                <c:pt idx="280">
                  <c:v>45819</c:v>
                </c:pt>
                <c:pt idx="281">
                  <c:v>45826</c:v>
                </c:pt>
                <c:pt idx="282">
                  <c:v>45833</c:v>
                </c:pt>
                <c:pt idx="283">
                  <c:v>45840</c:v>
                </c:pt>
                <c:pt idx="284">
                  <c:v>45847</c:v>
                </c:pt>
                <c:pt idx="285">
                  <c:v>45854</c:v>
                </c:pt>
                <c:pt idx="286">
                  <c:v>45861</c:v>
                </c:pt>
                <c:pt idx="287">
                  <c:v>45868</c:v>
                </c:pt>
                <c:pt idx="288">
                  <c:v>45875</c:v>
                </c:pt>
                <c:pt idx="289">
                  <c:v>45882</c:v>
                </c:pt>
                <c:pt idx="290">
                  <c:v>45889</c:v>
                </c:pt>
                <c:pt idx="291">
                  <c:v>45896</c:v>
                </c:pt>
                <c:pt idx="292">
                  <c:v>45903</c:v>
                </c:pt>
                <c:pt idx="293">
                  <c:v>45910</c:v>
                </c:pt>
                <c:pt idx="294">
                  <c:v>45917</c:v>
                </c:pt>
                <c:pt idx="295">
                  <c:v>45924</c:v>
                </c:pt>
                <c:pt idx="296">
                  <c:v>45931</c:v>
                </c:pt>
                <c:pt idx="297">
                  <c:v>45938</c:v>
                </c:pt>
                <c:pt idx="298">
                  <c:v>45945</c:v>
                </c:pt>
                <c:pt idx="299">
                  <c:v>45952</c:v>
                </c:pt>
                <c:pt idx="300">
                  <c:v>45959</c:v>
                </c:pt>
                <c:pt idx="301">
                  <c:v>45966</c:v>
                </c:pt>
                <c:pt idx="302">
                  <c:v>45973</c:v>
                </c:pt>
                <c:pt idx="303">
                  <c:v>45980</c:v>
                </c:pt>
                <c:pt idx="304">
                  <c:v>45987</c:v>
                </c:pt>
                <c:pt idx="305">
                  <c:v>45994</c:v>
                </c:pt>
              </c:numCache>
            </c:numRef>
          </c:cat>
          <c:val>
            <c:numRef>
              <c:f>资产负债表!$W$9:$W$314</c:f>
              <c:numCache>
                <c:formatCode>General</c:formatCode>
                <c:ptCount val="306"/>
                <c:pt idx="0">
                  <c:v>4165.8500000000004</c:v>
                </c:pt>
                <c:pt idx="1">
                  <c:v>4043.41</c:v>
                </c:pt>
                <c:pt idx="2">
                  <c:v>4210.51</c:v>
                </c:pt>
                <c:pt idx="3">
                  <c:v>3876.15</c:v>
                </c:pt>
                <c:pt idx="4">
                  <c:v>3813.02</c:v>
                </c:pt>
                <c:pt idx="5">
                  <c:v>3723.37</c:v>
                </c:pt>
                <c:pt idx="6">
                  <c:v>4013.54</c:v>
                </c:pt>
                <c:pt idx="7">
                  <c:v>3848.9</c:v>
                </c:pt>
                <c:pt idx="8">
                  <c:v>5069.33</c:v>
                </c:pt>
                <c:pt idx="9">
                  <c:v>8271.7800000000007</c:v>
                </c:pt>
                <c:pt idx="10">
                  <c:v>8561.5499999999993</c:v>
                </c:pt>
                <c:pt idx="11">
                  <c:v>9499.99</c:v>
                </c:pt>
                <c:pt idx="12">
                  <c:v>10762.32</c:v>
                </c:pt>
                <c:pt idx="13">
                  <c:v>11432.68</c:v>
                </c:pt>
                <c:pt idx="14">
                  <c:v>11381.72</c:v>
                </c:pt>
                <c:pt idx="15">
                  <c:v>11932.97</c:v>
                </c:pt>
                <c:pt idx="16">
                  <c:v>13268.97</c:v>
                </c:pt>
                <c:pt idx="17">
                  <c:v>14314.62</c:v>
                </c:pt>
                <c:pt idx="18">
                  <c:v>15045.69</c:v>
                </c:pt>
                <c:pt idx="19">
                  <c:v>15653.06</c:v>
                </c:pt>
                <c:pt idx="20">
                  <c:v>15865.73</c:v>
                </c:pt>
                <c:pt idx="21">
                  <c:v>16567.47</c:v>
                </c:pt>
                <c:pt idx="22">
                  <c:v>16244.04</c:v>
                </c:pt>
                <c:pt idx="23">
                  <c:v>17404.55</c:v>
                </c:pt>
                <c:pt idx="24">
                  <c:v>17771.8</c:v>
                </c:pt>
                <c:pt idx="25">
                  <c:v>17924.34</c:v>
                </c:pt>
                <c:pt idx="26">
                  <c:v>17066.37</c:v>
                </c:pt>
                <c:pt idx="27">
                  <c:v>16351.43</c:v>
                </c:pt>
                <c:pt idx="28">
                  <c:v>16363.93</c:v>
                </c:pt>
                <c:pt idx="29">
                  <c:v>16074.49</c:v>
                </c:pt>
                <c:pt idx="30">
                  <c:v>16518.23</c:v>
                </c:pt>
                <c:pt idx="31">
                  <c:v>15705.33</c:v>
                </c:pt>
                <c:pt idx="32">
                  <c:v>16928.09</c:v>
                </c:pt>
                <c:pt idx="33">
                  <c:v>16617.32</c:v>
                </c:pt>
                <c:pt idx="34">
                  <c:v>17816.79</c:v>
                </c:pt>
                <c:pt idx="35">
                  <c:v>16874.34</c:v>
                </c:pt>
                <c:pt idx="36">
                  <c:v>16479.37</c:v>
                </c:pt>
                <c:pt idx="37">
                  <c:v>16994.97</c:v>
                </c:pt>
                <c:pt idx="38">
                  <c:v>16530.39</c:v>
                </c:pt>
                <c:pt idx="39">
                  <c:v>16185.68</c:v>
                </c:pt>
                <c:pt idx="40">
                  <c:v>15707.68</c:v>
                </c:pt>
                <c:pt idx="41">
                  <c:v>15469.24</c:v>
                </c:pt>
                <c:pt idx="42">
                  <c:v>14840.36</c:v>
                </c:pt>
                <c:pt idx="43">
                  <c:v>15572.39</c:v>
                </c:pt>
                <c:pt idx="44">
                  <c:v>15023.61</c:v>
                </c:pt>
                <c:pt idx="45">
                  <c:v>16158.73</c:v>
                </c:pt>
                <c:pt idx="46">
                  <c:v>15833.08</c:v>
                </c:pt>
                <c:pt idx="47">
                  <c:v>16135.14</c:v>
                </c:pt>
                <c:pt idx="48">
                  <c:v>16073.96</c:v>
                </c:pt>
                <c:pt idx="49">
                  <c:v>15758.75</c:v>
                </c:pt>
                <c:pt idx="50">
                  <c:v>16383.31</c:v>
                </c:pt>
                <c:pt idx="51">
                  <c:v>16133.77</c:v>
                </c:pt>
                <c:pt idx="52">
                  <c:v>16297.29</c:v>
                </c:pt>
                <c:pt idx="53">
                  <c:v>15767.44</c:v>
                </c:pt>
                <c:pt idx="54">
                  <c:v>15688.93</c:v>
                </c:pt>
                <c:pt idx="55">
                  <c:v>14396.46</c:v>
                </c:pt>
                <c:pt idx="56">
                  <c:v>14202.38</c:v>
                </c:pt>
                <c:pt idx="57">
                  <c:v>13102.73</c:v>
                </c:pt>
                <c:pt idx="58">
                  <c:v>10895.01</c:v>
                </c:pt>
                <c:pt idx="59">
                  <c:v>10319.08</c:v>
                </c:pt>
                <c:pt idx="60">
                  <c:v>11219.51</c:v>
                </c:pt>
                <c:pt idx="61">
                  <c:v>9549.68</c:v>
                </c:pt>
                <c:pt idx="62">
                  <c:v>9216.85</c:v>
                </c:pt>
                <c:pt idx="63">
                  <c:v>10034.43</c:v>
                </c:pt>
                <c:pt idx="64">
                  <c:v>9322.8700000000008</c:v>
                </c:pt>
                <c:pt idx="65">
                  <c:v>9461.34</c:v>
                </c:pt>
                <c:pt idx="66">
                  <c:v>8642.5300000000007</c:v>
                </c:pt>
                <c:pt idx="67">
                  <c:v>8608.33</c:v>
                </c:pt>
                <c:pt idx="68">
                  <c:v>7789.12</c:v>
                </c:pt>
                <c:pt idx="69">
                  <c:v>8120.87</c:v>
                </c:pt>
                <c:pt idx="70">
                  <c:v>6735.55</c:v>
                </c:pt>
                <c:pt idx="71">
                  <c:v>7651.14</c:v>
                </c:pt>
                <c:pt idx="72">
                  <c:v>7338.77</c:v>
                </c:pt>
                <c:pt idx="73">
                  <c:v>8519.2900000000009</c:v>
                </c:pt>
                <c:pt idx="74">
                  <c:v>7248.98</c:v>
                </c:pt>
                <c:pt idx="75">
                  <c:v>6575.42</c:v>
                </c:pt>
                <c:pt idx="76">
                  <c:v>6162.94</c:v>
                </c:pt>
                <c:pt idx="77">
                  <c:v>5369.66</c:v>
                </c:pt>
                <c:pt idx="78">
                  <c:v>5058.71</c:v>
                </c:pt>
                <c:pt idx="79">
                  <c:v>3897.47</c:v>
                </c:pt>
                <c:pt idx="80">
                  <c:v>3136.51</c:v>
                </c:pt>
                <c:pt idx="81">
                  <c:v>2582</c:v>
                </c:pt>
                <c:pt idx="82">
                  <c:v>2969.34</c:v>
                </c:pt>
                <c:pt idx="83">
                  <c:v>2007.02</c:v>
                </c:pt>
                <c:pt idx="84">
                  <c:v>3446.68</c:v>
                </c:pt>
                <c:pt idx="85">
                  <c:v>2726.79</c:v>
                </c:pt>
                <c:pt idx="86">
                  <c:v>1737.45</c:v>
                </c:pt>
                <c:pt idx="87">
                  <c:v>958.54</c:v>
                </c:pt>
                <c:pt idx="88">
                  <c:v>724.6</c:v>
                </c:pt>
                <c:pt idx="89">
                  <c:v>1173.6400000000001</c:v>
                </c:pt>
                <c:pt idx="90">
                  <c:v>2364.9499999999998</c:v>
                </c:pt>
                <c:pt idx="91">
                  <c:v>2869.59</c:v>
                </c:pt>
                <c:pt idx="92">
                  <c:v>2314.21</c:v>
                </c:pt>
                <c:pt idx="93">
                  <c:v>1789.72</c:v>
                </c:pt>
                <c:pt idx="94">
                  <c:v>1410.42</c:v>
                </c:pt>
                <c:pt idx="95">
                  <c:v>1591.48</c:v>
                </c:pt>
                <c:pt idx="96">
                  <c:v>1251.44</c:v>
                </c:pt>
                <c:pt idx="97">
                  <c:v>582.94000000000005</c:v>
                </c:pt>
                <c:pt idx="98">
                  <c:v>1975.16</c:v>
                </c:pt>
                <c:pt idx="99">
                  <c:v>2839.95</c:v>
                </c:pt>
                <c:pt idx="100">
                  <c:v>4347.57</c:v>
                </c:pt>
                <c:pt idx="101">
                  <c:v>4896.79</c:v>
                </c:pt>
                <c:pt idx="102">
                  <c:v>5801.71</c:v>
                </c:pt>
                <c:pt idx="103">
                  <c:v>6396.2</c:v>
                </c:pt>
                <c:pt idx="104">
                  <c:v>7102.67</c:v>
                </c:pt>
                <c:pt idx="105">
                  <c:v>6790.19</c:v>
                </c:pt>
                <c:pt idx="106">
                  <c:v>7092.61</c:v>
                </c:pt>
                <c:pt idx="107">
                  <c:v>6747.97</c:v>
                </c:pt>
                <c:pt idx="108">
                  <c:v>6854.91</c:v>
                </c:pt>
                <c:pt idx="109">
                  <c:v>6093.69</c:v>
                </c:pt>
                <c:pt idx="110">
                  <c:v>6215.27</c:v>
                </c:pt>
                <c:pt idx="111">
                  <c:v>5764.42</c:v>
                </c:pt>
                <c:pt idx="112">
                  <c:v>5567.91</c:v>
                </c:pt>
                <c:pt idx="113">
                  <c:v>5455.84</c:v>
                </c:pt>
                <c:pt idx="114">
                  <c:v>5435.36</c:v>
                </c:pt>
                <c:pt idx="115">
                  <c:v>9075.26</c:v>
                </c:pt>
                <c:pt idx="116">
                  <c:v>9574.19</c:v>
                </c:pt>
                <c:pt idx="117">
                  <c:v>9644.1200000000008</c:v>
                </c:pt>
                <c:pt idx="118">
                  <c:v>9193.31</c:v>
                </c:pt>
                <c:pt idx="119">
                  <c:v>8667.26</c:v>
                </c:pt>
                <c:pt idx="120">
                  <c:v>8017.14</c:v>
                </c:pt>
                <c:pt idx="121">
                  <c:v>7805.75</c:v>
                </c:pt>
                <c:pt idx="122">
                  <c:v>6838.92</c:v>
                </c:pt>
                <c:pt idx="123">
                  <c:v>7699.37</c:v>
                </c:pt>
                <c:pt idx="124">
                  <c:v>7450.52</c:v>
                </c:pt>
                <c:pt idx="125">
                  <c:v>7598.45</c:v>
                </c:pt>
                <c:pt idx="126">
                  <c:v>6879.43</c:v>
                </c:pt>
                <c:pt idx="127">
                  <c:v>6187.4</c:v>
                </c:pt>
                <c:pt idx="128">
                  <c:v>6163.48</c:v>
                </c:pt>
                <c:pt idx="129">
                  <c:v>6155.15</c:v>
                </c:pt>
                <c:pt idx="130">
                  <c:v>5665.77</c:v>
                </c:pt>
                <c:pt idx="131">
                  <c:v>5611.4</c:v>
                </c:pt>
                <c:pt idx="132">
                  <c:v>5392.78</c:v>
                </c:pt>
                <c:pt idx="133">
                  <c:v>5301.96</c:v>
                </c:pt>
                <c:pt idx="134">
                  <c:v>6699.11</c:v>
                </c:pt>
                <c:pt idx="135">
                  <c:v>5829.21</c:v>
                </c:pt>
                <c:pt idx="136">
                  <c:v>6179.97</c:v>
                </c:pt>
                <c:pt idx="137">
                  <c:v>6902.86</c:v>
                </c:pt>
                <c:pt idx="138">
                  <c:v>6619.2</c:v>
                </c:pt>
                <c:pt idx="139">
                  <c:v>6221.31</c:v>
                </c:pt>
                <c:pt idx="140">
                  <c:v>5835.13</c:v>
                </c:pt>
                <c:pt idx="141">
                  <c:v>6406.13</c:v>
                </c:pt>
                <c:pt idx="142">
                  <c:v>6363.27</c:v>
                </c:pt>
                <c:pt idx="143">
                  <c:v>5520.89</c:v>
                </c:pt>
                <c:pt idx="144">
                  <c:v>5173.3999999999996</c:v>
                </c:pt>
                <c:pt idx="145">
                  <c:v>4721.8500000000004</c:v>
                </c:pt>
                <c:pt idx="146">
                  <c:v>4927.54</c:v>
                </c:pt>
                <c:pt idx="147">
                  <c:v>5327.91</c:v>
                </c:pt>
                <c:pt idx="148">
                  <c:v>4108.53</c:v>
                </c:pt>
                <c:pt idx="149">
                  <c:v>3421.04</c:v>
                </c:pt>
                <c:pt idx="150">
                  <c:v>4349.22</c:v>
                </c:pt>
                <c:pt idx="151">
                  <c:v>4098.09</c:v>
                </c:pt>
                <c:pt idx="152">
                  <c:v>3796.2</c:v>
                </c:pt>
                <c:pt idx="153">
                  <c:v>3464.26</c:v>
                </c:pt>
                <c:pt idx="154">
                  <c:v>3775</c:v>
                </c:pt>
                <c:pt idx="155">
                  <c:v>5726.22</c:v>
                </c:pt>
                <c:pt idx="156">
                  <c:v>5008.5200000000004</c:v>
                </c:pt>
                <c:pt idx="157">
                  <c:v>4958.38</c:v>
                </c:pt>
                <c:pt idx="158">
                  <c:v>4397.03</c:v>
                </c:pt>
                <c:pt idx="159">
                  <c:v>4513.07</c:v>
                </c:pt>
                <c:pt idx="160">
                  <c:v>3510.15</c:v>
                </c:pt>
                <c:pt idx="161">
                  <c:v>3117.31</c:v>
                </c:pt>
                <c:pt idx="162">
                  <c:v>2776.43</c:v>
                </c:pt>
                <c:pt idx="163">
                  <c:v>1998.56</c:v>
                </c:pt>
                <c:pt idx="164">
                  <c:v>1627.58</c:v>
                </c:pt>
                <c:pt idx="165">
                  <c:v>1406.88</c:v>
                </c:pt>
                <c:pt idx="166">
                  <c:v>865.54</c:v>
                </c:pt>
                <c:pt idx="167">
                  <c:v>2650.95</c:v>
                </c:pt>
                <c:pt idx="168">
                  <c:v>2962.09</c:v>
                </c:pt>
                <c:pt idx="169">
                  <c:v>1883.09</c:v>
                </c:pt>
                <c:pt idx="170">
                  <c:v>1548.08</c:v>
                </c:pt>
                <c:pt idx="171">
                  <c:v>683.32</c:v>
                </c:pt>
                <c:pt idx="172">
                  <c:v>494.73</c:v>
                </c:pt>
                <c:pt idx="173">
                  <c:v>485.12</c:v>
                </c:pt>
                <c:pt idx="174">
                  <c:v>775</c:v>
                </c:pt>
                <c:pt idx="175">
                  <c:v>1348.57</c:v>
                </c:pt>
                <c:pt idx="176">
                  <c:v>2921.06</c:v>
                </c:pt>
                <c:pt idx="177">
                  <c:v>4085.61</c:v>
                </c:pt>
                <c:pt idx="178">
                  <c:v>4468.6400000000003</c:v>
                </c:pt>
                <c:pt idx="179">
                  <c:v>5174.18</c:v>
                </c:pt>
                <c:pt idx="180">
                  <c:v>5374.41</c:v>
                </c:pt>
                <c:pt idx="181">
                  <c:v>5498.97</c:v>
                </c:pt>
                <c:pt idx="182">
                  <c:v>4609.26</c:v>
                </c:pt>
                <c:pt idx="183">
                  <c:v>4322.62</c:v>
                </c:pt>
                <c:pt idx="184">
                  <c:v>3848.14</c:v>
                </c:pt>
                <c:pt idx="185">
                  <c:v>4160.3100000000004</c:v>
                </c:pt>
                <c:pt idx="186">
                  <c:v>5007.0200000000004</c:v>
                </c:pt>
                <c:pt idx="187">
                  <c:v>4815.5200000000004</c:v>
                </c:pt>
                <c:pt idx="188">
                  <c:v>5373.64</c:v>
                </c:pt>
                <c:pt idx="189">
                  <c:v>6617.17</c:v>
                </c:pt>
                <c:pt idx="190">
                  <c:v>6721.42</c:v>
                </c:pt>
                <c:pt idx="191">
                  <c:v>6789.59</c:v>
                </c:pt>
                <c:pt idx="192">
                  <c:v>7130</c:v>
                </c:pt>
                <c:pt idx="193">
                  <c:v>8411.0300000000007</c:v>
                </c:pt>
                <c:pt idx="194">
                  <c:v>8477.17</c:v>
                </c:pt>
                <c:pt idx="195">
                  <c:v>7530.08</c:v>
                </c:pt>
                <c:pt idx="196">
                  <c:v>7634.59</c:v>
                </c:pt>
                <c:pt idx="197">
                  <c:v>6699.76</c:v>
                </c:pt>
                <c:pt idx="198">
                  <c:v>6930.07</c:v>
                </c:pt>
                <c:pt idx="199">
                  <c:v>7535.7</c:v>
                </c:pt>
                <c:pt idx="200">
                  <c:v>6676.78</c:v>
                </c:pt>
                <c:pt idx="201">
                  <c:v>6306.18</c:v>
                </c:pt>
                <c:pt idx="202">
                  <c:v>7327.21</c:v>
                </c:pt>
                <c:pt idx="203">
                  <c:v>7130.64</c:v>
                </c:pt>
                <c:pt idx="204">
                  <c:v>7434.64</c:v>
                </c:pt>
                <c:pt idx="205">
                  <c:v>7278.56</c:v>
                </c:pt>
                <c:pt idx="206">
                  <c:v>7735.44</c:v>
                </c:pt>
                <c:pt idx="207">
                  <c:v>8151.59</c:v>
                </c:pt>
                <c:pt idx="208">
                  <c:v>8654.81</c:v>
                </c:pt>
                <c:pt idx="209">
                  <c:v>8215.75</c:v>
                </c:pt>
                <c:pt idx="210">
                  <c:v>8318.7999999999993</c:v>
                </c:pt>
                <c:pt idx="211">
                  <c:v>7887.59</c:v>
                </c:pt>
                <c:pt idx="212">
                  <c:v>7676.72</c:v>
                </c:pt>
                <c:pt idx="213">
                  <c:v>7605.5</c:v>
                </c:pt>
                <c:pt idx="214">
                  <c:v>7483.88</c:v>
                </c:pt>
                <c:pt idx="215">
                  <c:v>8126.05</c:v>
                </c:pt>
                <c:pt idx="216">
                  <c:v>7722.6</c:v>
                </c:pt>
                <c:pt idx="217">
                  <c:v>7328.28</c:v>
                </c:pt>
                <c:pt idx="218">
                  <c:v>6725.37</c:v>
                </c:pt>
                <c:pt idx="219">
                  <c:v>9299.32</c:v>
                </c:pt>
                <c:pt idx="220">
                  <c:v>9293.7900000000009</c:v>
                </c:pt>
                <c:pt idx="221">
                  <c:v>8904.42</c:v>
                </c:pt>
                <c:pt idx="222">
                  <c:v>8168.09</c:v>
                </c:pt>
                <c:pt idx="223">
                  <c:v>7061.08</c:v>
                </c:pt>
                <c:pt idx="224">
                  <c:v>7108.82</c:v>
                </c:pt>
                <c:pt idx="225">
                  <c:v>7160.2</c:v>
                </c:pt>
                <c:pt idx="226">
                  <c:v>7033.14</c:v>
                </c:pt>
                <c:pt idx="227">
                  <c:v>6502.12</c:v>
                </c:pt>
                <c:pt idx="228">
                  <c:v>7821.58</c:v>
                </c:pt>
                <c:pt idx="229">
                  <c:v>7442.06</c:v>
                </c:pt>
                <c:pt idx="230">
                  <c:v>7456.08</c:v>
                </c:pt>
                <c:pt idx="231">
                  <c:v>7223.28</c:v>
                </c:pt>
                <c:pt idx="232">
                  <c:v>7667.79</c:v>
                </c:pt>
                <c:pt idx="233">
                  <c:v>7674.19</c:v>
                </c:pt>
                <c:pt idx="234">
                  <c:v>8540.01</c:v>
                </c:pt>
                <c:pt idx="235">
                  <c:v>7852.33</c:v>
                </c:pt>
                <c:pt idx="236">
                  <c:v>7888.23</c:v>
                </c:pt>
                <c:pt idx="237">
                  <c:v>7347.27</c:v>
                </c:pt>
                <c:pt idx="238">
                  <c:v>7570.77</c:v>
                </c:pt>
                <c:pt idx="239">
                  <c:v>7710.47</c:v>
                </c:pt>
                <c:pt idx="240">
                  <c:v>7255.77</c:v>
                </c:pt>
                <c:pt idx="241">
                  <c:v>8393.98</c:v>
                </c:pt>
                <c:pt idx="242">
                  <c:v>7789.1</c:v>
                </c:pt>
                <c:pt idx="243">
                  <c:v>8234.1200000000008</c:v>
                </c:pt>
                <c:pt idx="244">
                  <c:v>7873.95</c:v>
                </c:pt>
                <c:pt idx="245">
                  <c:v>8147.51</c:v>
                </c:pt>
                <c:pt idx="246">
                  <c:v>8174.1</c:v>
                </c:pt>
                <c:pt idx="247">
                  <c:v>8471.3700000000008</c:v>
                </c:pt>
                <c:pt idx="248">
                  <c:v>8402.27</c:v>
                </c:pt>
                <c:pt idx="249">
                  <c:v>8088.57</c:v>
                </c:pt>
                <c:pt idx="250">
                  <c:v>7378.34</c:v>
                </c:pt>
                <c:pt idx="251">
                  <c:v>7827.04</c:v>
                </c:pt>
                <c:pt idx="252">
                  <c:v>8150.11</c:v>
                </c:pt>
                <c:pt idx="253">
                  <c:v>7113.54</c:v>
                </c:pt>
                <c:pt idx="254">
                  <c:v>8039.75</c:v>
                </c:pt>
                <c:pt idx="255">
                  <c:v>7350.39</c:v>
                </c:pt>
                <c:pt idx="256">
                  <c:v>7218.92</c:v>
                </c:pt>
                <c:pt idx="257">
                  <c:v>6205.31</c:v>
                </c:pt>
                <c:pt idx="258">
                  <c:v>6511.87</c:v>
                </c:pt>
                <c:pt idx="259">
                  <c:v>6654.85</c:v>
                </c:pt>
                <c:pt idx="260">
                  <c:v>8115.49</c:v>
                </c:pt>
                <c:pt idx="261">
                  <c:v>8179.53</c:v>
                </c:pt>
                <c:pt idx="262">
                  <c:v>8091.54</c:v>
                </c:pt>
                <c:pt idx="263">
                  <c:v>7389.38</c:v>
                </c:pt>
                <c:pt idx="264">
                  <c:v>5685.5</c:v>
                </c:pt>
                <c:pt idx="265">
                  <c:v>5228.18</c:v>
                </c:pt>
                <c:pt idx="266">
                  <c:v>4507.13</c:v>
                </c:pt>
                <c:pt idx="267">
                  <c:v>4157.99</c:v>
                </c:pt>
                <c:pt idx="268">
                  <c:v>3159.7</c:v>
                </c:pt>
                <c:pt idx="269">
                  <c:v>3016.24</c:v>
                </c:pt>
                <c:pt idx="270">
                  <c:v>3151.89</c:v>
                </c:pt>
                <c:pt idx="271">
                  <c:v>6387.83</c:v>
                </c:pt>
                <c:pt idx="272">
                  <c:v>5761.59</c:v>
                </c:pt>
                <c:pt idx="273">
                  <c:v>6776.57</c:v>
                </c:pt>
                <c:pt idx="274">
                  <c:v>5958.6</c:v>
                </c:pt>
                <c:pt idx="275">
                  <c:v>5624.33</c:v>
                </c:pt>
                <c:pt idx="276">
                  <c:v>4758.8599999999997</c:v>
                </c:pt>
                <c:pt idx="277">
                  <c:v>4366.2700000000004</c:v>
                </c:pt>
                <c:pt idx="278">
                  <c:v>3761.6</c:v>
                </c:pt>
                <c:pt idx="279">
                  <c:v>2770.25</c:v>
                </c:pt>
                <c:pt idx="280">
                  <c:v>3838.51</c:v>
                </c:pt>
                <c:pt idx="281">
                  <c:v>3345.79</c:v>
                </c:pt>
                <c:pt idx="282">
                  <c:v>3722.32</c:v>
                </c:pt>
                <c:pt idx="283">
                  <c:v>3110.48</c:v>
                </c:pt>
                <c:pt idx="284">
                  <c:v>3120.85</c:v>
                </c:pt>
                <c:pt idx="285">
                  <c:v>3335.38</c:v>
                </c:pt>
                <c:pt idx="286">
                  <c:v>4194.46</c:v>
                </c:pt>
                <c:pt idx="287">
                  <c:v>4643.1499999999996</c:v>
                </c:pt>
                <c:pt idx="288">
                  <c:v>5154.6899999999996</c:v>
                </c:pt>
                <c:pt idx="289">
                  <c:v>5260.63</c:v>
                </c:pt>
                <c:pt idx="290">
                  <c:v>5957.98</c:v>
                </c:pt>
                <c:pt idx="291">
                  <c:v>6619.39</c:v>
                </c:pt>
                <c:pt idx="292">
                  <c:v>6675.85</c:v>
                </c:pt>
                <c:pt idx="293">
                  <c:v>8071.42</c:v>
                </c:pt>
                <c:pt idx="294">
                  <c:v>7579.7</c:v>
                </c:pt>
                <c:pt idx="295">
                  <c:v>8193.7800000000007</c:v>
                </c:pt>
                <c:pt idx="296">
                  <c:v>7940.54</c:v>
                </c:pt>
                <c:pt idx="297">
                  <c:v>8519.52</c:v>
                </c:pt>
                <c:pt idx="298">
                  <c:v>9050.74</c:v>
                </c:pt>
                <c:pt idx="299">
                  <c:v>9838.59</c:v>
                </c:pt>
                <c:pt idx="300">
                  <c:v>9427</c:v>
                </c:pt>
                <c:pt idx="301">
                  <c:v>9431.4500000000007</c:v>
                </c:pt>
                <c:pt idx="302">
                  <c:v>9008.32</c:v>
                </c:pt>
                <c:pt idx="303">
                  <c:v>8996.7800000000007</c:v>
                </c:pt>
                <c:pt idx="304">
                  <c:v>9085.23</c:v>
                </c:pt>
                <c:pt idx="305">
                  <c:v>8058.27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C-478D-8889-35A3720C2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954688"/>
        <c:axId val="1891957568"/>
      </c:lineChart>
      <c:lineChart>
        <c:grouping val="standard"/>
        <c:varyColors val="0"/>
        <c:ser>
          <c:idx val="2"/>
          <c:order val="1"/>
          <c:tx>
            <c:strRef>
              <c:f>资产负债表!$Y$3</c:f>
              <c:strCache>
                <c:ptCount val="1"/>
                <c:pt idx="0">
                  <c:v>净流动性</c:v>
                </c:pt>
              </c:strCache>
            </c:strRef>
          </c:tx>
          <c:spPr>
            <a:ln w="15875" cap="rnd">
              <a:solidFill>
                <a:srgbClr val="D80C18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资产负债表!$I$9:$I$314</c:f>
              <c:numCache>
                <c:formatCode>yyyy\-mm\-dd</c:formatCode>
                <c:ptCount val="306"/>
                <c:pt idx="0">
                  <c:v>43866</c:v>
                </c:pt>
                <c:pt idx="1">
                  <c:v>43873</c:v>
                </c:pt>
                <c:pt idx="2">
                  <c:v>43880</c:v>
                </c:pt>
                <c:pt idx="3">
                  <c:v>43887</c:v>
                </c:pt>
                <c:pt idx="4">
                  <c:v>43894</c:v>
                </c:pt>
                <c:pt idx="5">
                  <c:v>43901</c:v>
                </c:pt>
                <c:pt idx="6">
                  <c:v>43908</c:v>
                </c:pt>
                <c:pt idx="7">
                  <c:v>43915</c:v>
                </c:pt>
                <c:pt idx="8">
                  <c:v>43922</c:v>
                </c:pt>
                <c:pt idx="9">
                  <c:v>43929</c:v>
                </c:pt>
                <c:pt idx="10">
                  <c:v>43936</c:v>
                </c:pt>
                <c:pt idx="11">
                  <c:v>43943</c:v>
                </c:pt>
                <c:pt idx="12">
                  <c:v>43950</c:v>
                </c:pt>
                <c:pt idx="13">
                  <c:v>43957</c:v>
                </c:pt>
                <c:pt idx="14">
                  <c:v>43964</c:v>
                </c:pt>
                <c:pt idx="15">
                  <c:v>43971</c:v>
                </c:pt>
                <c:pt idx="16">
                  <c:v>43978</c:v>
                </c:pt>
                <c:pt idx="17">
                  <c:v>43985</c:v>
                </c:pt>
                <c:pt idx="18">
                  <c:v>43992</c:v>
                </c:pt>
                <c:pt idx="19">
                  <c:v>43999</c:v>
                </c:pt>
                <c:pt idx="20">
                  <c:v>44006</c:v>
                </c:pt>
                <c:pt idx="21">
                  <c:v>44013</c:v>
                </c:pt>
                <c:pt idx="22">
                  <c:v>44020</c:v>
                </c:pt>
                <c:pt idx="23">
                  <c:v>44027</c:v>
                </c:pt>
                <c:pt idx="24">
                  <c:v>44034</c:v>
                </c:pt>
                <c:pt idx="25">
                  <c:v>44041</c:v>
                </c:pt>
                <c:pt idx="26">
                  <c:v>44048</c:v>
                </c:pt>
                <c:pt idx="27">
                  <c:v>44055</c:v>
                </c:pt>
                <c:pt idx="28">
                  <c:v>44062</c:v>
                </c:pt>
                <c:pt idx="29">
                  <c:v>44069</c:v>
                </c:pt>
                <c:pt idx="30">
                  <c:v>44076</c:v>
                </c:pt>
                <c:pt idx="31">
                  <c:v>44083</c:v>
                </c:pt>
                <c:pt idx="32">
                  <c:v>44090</c:v>
                </c:pt>
                <c:pt idx="33">
                  <c:v>44097</c:v>
                </c:pt>
                <c:pt idx="34">
                  <c:v>44104</c:v>
                </c:pt>
                <c:pt idx="35">
                  <c:v>44111</c:v>
                </c:pt>
                <c:pt idx="36">
                  <c:v>44118</c:v>
                </c:pt>
                <c:pt idx="37">
                  <c:v>44125</c:v>
                </c:pt>
                <c:pt idx="38">
                  <c:v>44132</c:v>
                </c:pt>
                <c:pt idx="39">
                  <c:v>44139</c:v>
                </c:pt>
                <c:pt idx="40">
                  <c:v>44146</c:v>
                </c:pt>
                <c:pt idx="41">
                  <c:v>44153</c:v>
                </c:pt>
                <c:pt idx="42">
                  <c:v>44160</c:v>
                </c:pt>
                <c:pt idx="43">
                  <c:v>44167</c:v>
                </c:pt>
                <c:pt idx="44">
                  <c:v>44174</c:v>
                </c:pt>
                <c:pt idx="45">
                  <c:v>44181</c:v>
                </c:pt>
                <c:pt idx="46">
                  <c:v>44188</c:v>
                </c:pt>
                <c:pt idx="47">
                  <c:v>44195</c:v>
                </c:pt>
                <c:pt idx="48">
                  <c:v>44202</c:v>
                </c:pt>
                <c:pt idx="49">
                  <c:v>44209</c:v>
                </c:pt>
                <c:pt idx="50">
                  <c:v>44216</c:v>
                </c:pt>
                <c:pt idx="51">
                  <c:v>44223</c:v>
                </c:pt>
                <c:pt idx="52">
                  <c:v>44230</c:v>
                </c:pt>
                <c:pt idx="53">
                  <c:v>44237</c:v>
                </c:pt>
                <c:pt idx="54">
                  <c:v>44244</c:v>
                </c:pt>
                <c:pt idx="55">
                  <c:v>44251</c:v>
                </c:pt>
                <c:pt idx="56">
                  <c:v>44258</c:v>
                </c:pt>
                <c:pt idx="57">
                  <c:v>44265</c:v>
                </c:pt>
                <c:pt idx="58">
                  <c:v>44272</c:v>
                </c:pt>
                <c:pt idx="59">
                  <c:v>44279</c:v>
                </c:pt>
                <c:pt idx="60">
                  <c:v>44286</c:v>
                </c:pt>
                <c:pt idx="61">
                  <c:v>44293</c:v>
                </c:pt>
                <c:pt idx="62">
                  <c:v>44300</c:v>
                </c:pt>
                <c:pt idx="63">
                  <c:v>44307</c:v>
                </c:pt>
                <c:pt idx="64">
                  <c:v>44314</c:v>
                </c:pt>
                <c:pt idx="65">
                  <c:v>44321</c:v>
                </c:pt>
                <c:pt idx="66">
                  <c:v>44328</c:v>
                </c:pt>
                <c:pt idx="67">
                  <c:v>44335</c:v>
                </c:pt>
                <c:pt idx="68">
                  <c:v>44342</c:v>
                </c:pt>
                <c:pt idx="69">
                  <c:v>44349</c:v>
                </c:pt>
                <c:pt idx="70">
                  <c:v>44356</c:v>
                </c:pt>
                <c:pt idx="71">
                  <c:v>44363</c:v>
                </c:pt>
                <c:pt idx="72">
                  <c:v>44370</c:v>
                </c:pt>
                <c:pt idx="73">
                  <c:v>44377</c:v>
                </c:pt>
                <c:pt idx="74">
                  <c:v>44384</c:v>
                </c:pt>
                <c:pt idx="75">
                  <c:v>44391</c:v>
                </c:pt>
                <c:pt idx="76">
                  <c:v>44398</c:v>
                </c:pt>
                <c:pt idx="77">
                  <c:v>44405</c:v>
                </c:pt>
                <c:pt idx="78">
                  <c:v>44412</c:v>
                </c:pt>
                <c:pt idx="79">
                  <c:v>44419</c:v>
                </c:pt>
                <c:pt idx="80">
                  <c:v>44426</c:v>
                </c:pt>
                <c:pt idx="81">
                  <c:v>44433</c:v>
                </c:pt>
                <c:pt idx="82">
                  <c:v>44440</c:v>
                </c:pt>
                <c:pt idx="83">
                  <c:v>44447</c:v>
                </c:pt>
                <c:pt idx="84">
                  <c:v>44454</c:v>
                </c:pt>
                <c:pt idx="85">
                  <c:v>44461</c:v>
                </c:pt>
                <c:pt idx="86">
                  <c:v>44468</c:v>
                </c:pt>
                <c:pt idx="87">
                  <c:v>44475</c:v>
                </c:pt>
                <c:pt idx="88">
                  <c:v>44482</c:v>
                </c:pt>
                <c:pt idx="89">
                  <c:v>44489</c:v>
                </c:pt>
                <c:pt idx="90">
                  <c:v>44496</c:v>
                </c:pt>
                <c:pt idx="91">
                  <c:v>44503</c:v>
                </c:pt>
                <c:pt idx="92">
                  <c:v>44510</c:v>
                </c:pt>
                <c:pt idx="93">
                  <c:v>44517</c:v>
                </c:pt>
                <c:pt idx="94">
                  <c:v>44524</c:v>
                </c:pt>
                <c:pt idx="95">
                  <c:v>44531</c:v>
                </c:pt>
                <c:pt idx="96">
                  <c:v>44538</c:v>
                </c:pt>
                <c:pt idx="97">
                  <c:v>44545</c:v>
                </c:pt>
                <c:pt idx="98">
                  <c:v>44552</c:v>
                </c:pt>
                <c:pt idx="99">
                  <c:v>44559</c:v>
                </c:pt>
                <c:pt idx="100">
                  <c:v>44566</c:v>
                </c:pt>
                <c:pt idx="101">
                  <c:v>44573</c:v>
                </c:pt>
                <c:pt idx="102">
                  <c:v>44580</c:v>
                </c:pt>
                <c:pt idx="103">
                  <c:v>44587</c:v>
                </c:pt>
                <c:pt idx="104">
                  <c:v>44594</c:v>
                </c:pt>
                <c:pt idx="105">
                  <c:v>44601</c:v>
                </c:pt>
                <c:pt idx="106">
                  <c:v>44608</c:v>
                </c:pt>
                <c:pt idx="107">
                  <c:v>44615</c:v>
                </c:pt>
                <c:pt idx="108">
                  <c:v>44622</c:v>
                </c:pt>
                <c:pt idx="109">
                  <c:v>44629</c:v>
                </c:pt>
                <c:pt idx="110">
                  <c:v>44636</c:v>
                </c:pt>
                <c:pt idx="111">
                  <c:v>44643</c:v>
                </c:pt>
                <c:pt idx="112">
                  <c:v>44650</c:v>
                </c:pt>
                <c:pt idx="113">
                  <c:v>44657</c:v>
                </c:pt>
                <c:pt idx="114">
                  <c:v>44664</c:v>
                </c:pt>
                <c:pt idx="115">
                  <c:v>44671</c:v>
                </c:pt>
                <c:pt idx="116">
                  <c:v>44678</c:v>
                </c:pt>
                <c:pt idx="117">
                  <c:v>44685</c:v>
                </c:pt>
                <c:pt idx="118">
                  <c:v>44692</c:v>
                </c:pt>
                <c:pt idx="119">
                  <c:v>44699</c:v>
                </c:pt>
                <c:pt idx="120">
                  <c:v>44706</c:v>
                </c:pt>
                <c:pt idx="121">
                  <c:v>44713</c:v>
                </c:pt>
                <c:pt idx="122">
                  <c:v>44720</c:v>
                </c:pt>
                <c:pt idx="123">
                  <c:v>44727</c:v>
                </c:pt>
                <c:pt idx="124">
                  <c:v>44734</c:v>
                </c:pt>
                <c:pt idx="125">
                  <c:v>44741</c:v>
                </c:pt>
                <c:pt idx="126">
                  <c:v>44748</c:v>
                </c:pt>
                <c:pt idx="127">
                  <c:v>44755</c:v>
                </c:pt>
                <c:pt idx="128">
                  <c:v>44762</c:v>
                </c:pt>
                <c:pt idx="129">
                  <c:v>44769</c:v>
                </c:pt>
                <c:pt idx="130">
                  <c:v>44776</c:v>
                </c:pt>
                <c:pt idx="131">
                  <c:v>44783</c:v>
                </c:pt>
                <c:pt idx="132">
                  <c:v>44790</c:v>
                </c:pt>
                <c:pt idx="133">
                  <c:v>44797</c:v>
                </c:pt>
                <c:pt idx="134">
                  <c:v>44804</c:v>
                </c:pt>
                <c:pt idx="135">
                  <c:v>44811</c:v>
                </c:pt>
                <c:pt idx="136">
                  <c:v>44818</c:v>
                </c:pt>
                <c:pt idx="137">
                  <c:v>44825</c:v>
                </c:pt>
                <c:pt idx="138">
                  <c:v>44832</c:v>
                </c:pt>
                <c:pt idx="139">
                  <c:v>44839</c:v>
                </c:pt>
                <c:pt idx="140">
                  <c:v>44846</c:v>
                </c:pt>
                <c:pt idx="141">
                  <c:v>44853</c:v>
                </c:pt>
                <c:pt idx="142">
                  <c:v>44860</c:v>
                </c:pt>
                <c:pt idx="143">
                  <c:v>44867</c:v>
                </c:pt>
                <c:pt idx="144">
                  <c:v>44874</c:v>
                </c:pt>
                <c:pt idx="145">
                  <c:v>44881</c:v>
                </c:pt>
                <c:pt idx="146">
                  <c:v>44888</c:v>
                </c:pt>
                <c:pt idx="147">
                  <c:v>44895</c:v>
                </c:pt>
                <c:pt idx="148">
                  <c:v>44902</c:v>
                </c:pt>
                <c:pt idx="149">
                  <c:v>44909</c:v>
                </c:pt>
                <c:pt idx="150">
                  <c:v>44916</c:v>
                </c:pt>
                <c:pt idx="151">
                  <c:v>44923</c:v>
                </c:pt>
                <c:pt idx="152">
                  <c:v>44930</c:v>
                </c:pt>
                <c:pt idx="153">
                  <c:v>44937</c:v>
                </c:pt>
                <c:pt idx="154">
                  <c:v>44944</c:v>
                </c:pt>
                <c:pt idx="155">
                  <c:v>44951</c:v>
                </c:pt>
                <c:pt idx="156">
                  <c:v>44958</c:v>
                </c:pt>
                <c:pt idx="157">
                  <c:v>44965</c:v>
                </c:pt>
                <c:pt idx="158">
                  <c:v>44972</c:v>
                </c:pt>
                <c:pt idx="159">
                  <c:v>44979</c:v>
                </c:pt>
                <c:pt idx="160">
                  <c:v>44986</c:v>
                </c:pt>
                <c:pt idx="161">
                  <c:v>44993</c:v>
                </c:pt>
                <c:pt idx="162">
                  <c:v>45000</c:v>
                </c:pt>
                <c:pt idx="163">
                  <c:v>45007</c:v>
                </c:pt>
                <c:pt idx="164">
                  <c:v>45014</c:v>
                </c:pt>
                <c:pt idx="165">
                  <c:v>45021</c:v>
                </c:pt>
                <c:pt idx="166">
                  <c:v>45028</c:v>
                </c:pt>
                <c:pt idx="167">
                  <c:v>45035</c:v>
                </c:pt>
                <c:pt idx="168">
                  <c:v>45042</c:v>
                </c:pt>
                <c:pt idx="169">
                  <c:v>45049</c:v>
                </c:pt>
                <c:pt idx="170">
                  <c:v>45056</c:v>
                </c:pt>
                <c:pt idx="171">
                  <c:v>45063</c:v>
                </c:pt>
                <c:pt idx="172">
                  <c:v>45070</c:v>
                </c:pt>
                <c:pt idx="173">
                  <c:v>45077</c:v>
                </c:pt>
                <c:pt idx="174">
                  <c:v>45084</c:v>
                </c:pt>
                <c:pt idx="175">
                  <c:v>45091</c:v>
                </c:pt>
                <c:pt idx="176">
                  <c:v>45098</c:v>
                </c:pt>
                <c:pt idx="177">
                  <c:v>45105</c:v>
                </c:pt>
                <c:pt idx="178">
                  <c:v>45112</c:v>
                </c:pt>
                <c:pt idx="179">
                  <c:v>45119</c:v>
                </c:pt>
                <c:pt idx="180">
                  <c:v>45126</c:v>
                </c:pt>
                <c:pt idx="181">
                  <c:v>45133</c:v>
                </c:pt>
                <c:pt idx="182">
                  <c:v>45140</c:v>
                </c:pt>
                <c:pt idx="183">
                  <c:v>45147</c:v>
                </c:pt>
                <c:pt idx="184">
                  <c:v>45154</c:v>
                </c:pt>
                <c:pt idx="185">
                  <c:v>45161</c:v>
                </c:pt>
                <c:pt idx="186">
                  <c:v>45168</c:v>
                </c:pt>
                <c:pt idx="187">
                  <c:v>45175</c:v>
                </c:pt>
                <c:pt idx="188">
                  <c:v>45182</c:v>
                </c:pt>
                <c:pt idx="189">
                  <c:v>45189</c:v>
                </c:pt>
                <c:pt idx="190">
                  <c:v>45196</c:v>
                </c:pt>
                <c:pt idx="191">
                  <c:v>45203</c:v>
                </c:pt>
                <c:pt idx="192">
                  <c:v>45210</c:v>
                </c:pt>
                <c:pt idx="193">
                  <c:v>45217</c:v>
                </c:pt>
                <c:pt idx="194">
                  <c:v>45224</c:v>
                </c:pt>
                <c:pt idx="195">
                  <c:v>45231</c:v>
                </c:pt>
                <c:pt idx="196">
                  <c:v>45238</c:v>
                </c:pt>
                <c:pt idx="197">
                  <c:v>45245</c:v>
                </c:pt>
                <c:pt idx="198">
                  <c:v>45252</c:v>
                </c:pt>
                <c:pt idx="199">
                  <c:v>45259</c:v>
                </c:pt>
                <c:pt idx="200">
                  <c:v>45266</c:v>
                </c:pt>
                <c:pt idx="201">
                  <c:v>45273</c:v>
                </c:pt>
                <c:pt idx="202">
                  <c:v>45280</c:v>
                </c:pt>
                <c:pt idx="203">
                  <c:v>45287</c:v>
                </c:pt>
                <c:pt idx="204">
                  <c:v>45294</c:v>
                </c:pt>
                <c:pt idx="205">
                  <c:v>45301</c:v>
                </c:pt>
                <c:pt idx="206">
                  <c:v>45308</c:v>
                </c:pt>
                <c:pt idx="207">
                  <c:v>45315</c:v>
                </c:pt>
                <c:pt idx="208">
                  <c:v>45322</c:v>
                </c:pt>
                <c:pt idx="209">
                  <c:v>45329</c:v>
                </c:pt>
                <c:pt idx="210">
                  <c:v>45336</c:v>
                </c:pt>
                <c:pt idx="211">
                  <c:v>45343</c:v>
                </c:pt>
                <c:pt idx="212">
                  <c:v>45350</c:v>
                </c:pt>
                <c:pt idx="213">
                  <c:v>45357</c:v>
                </c:pt>
                <c:pt idx="214">
                  <c:v>45364</c:v>
                </c:pt>
                <c:pt idx="215">
                  <c:v>45371</c:v>
                </c:pt>
                <c:pt idx="216">
                  <c:v>45378</c:v>
                </c:pt>
                <c:pt idx="217">
                  <c:v>45385</c:v>
                </c:pt>
                <c:pt idx="218">
                  <c:v>45392</c:v>
                </c:pt>
                <c:pt idx="219">
                  <c:v>45399</c:v>
                </c:pt>
                <c:pt idx="220">
                  <c:v>45406</c:v>
                </c:pt>
                <c:pt idx="221">
                  <c:v>45413</c:v>
                </c:pt>
                <c:pt idx="222">
                  <c:v>45420</c:v>
                </c:pt>
                <c:pt idx="223">
                  <c:v>45427</c:v>
                </c:pt>
                <c:pt idx="224">
                  <c:v>45434</c:v>
                </c:pt>
                <c:pt idx="225">
                  <c:v>45441</c:v>
                </c:pt>
                <c:pt idx="226">
                  <c:v>45448</c:v>
                </c:pt>
                <c:pt idx="227">
                  <c:v>45455</c:v>
                </c:pt>
                <c:pt idx="228">
                  <c:v>45462</c:v>
                </c:pt>
                <c:pt idx="229">
                  <c:v>45469</c:v>
                </c:pt>
                <c:pt idx="230">
                  <c:v>45476</c:v>
                </c:pt>
                <c:pt idx="231">
                  <c:v>45483</c:v>
                </c:pt>
                <c:pt idx="232">
                  <c:v>45490</c:v>
                </c:pt>
                <c:pt idx="233">
                  <c:v>45497</c:v>
                </c:pt>
                <c:pt idx="234">
                  <c:v>45504</c:v>
                </c:pt>
                <c:pt idx="235">
                  <c:v>45511</c:v>
                </c:pt>
                <c:pt idx="236">
                  <c:v>45518</c:v>
                </c:pt>
                <c:pt idx="237">
                  <c:v>45525</c:v>
                </c:pt>
                <c:pt idx="238">
                  <c:v>45532</c:v>
                </c:pt>
                <c:pt idx="239">
                  <c:v>45539</c:v>
                </c:pt>
                <c:pt idx="240">
                  <c:v>45546</c:v>
                </c:pt>
                <c:pt idx="241">
                  <c:v>45553</c:v>
                </c:pt>
                <c:pt idx="242">
                  <c:v>45560</c:v>
                </c:pt>
                <c:pt idx="243">
                  <c:v>45567</c:v>
                </c:pt>
                <c:pt idx="244">
                  <c:v>45574</c:v>
                </c:pt>
                <c:pt idx="245">
                  <c:v>45581</c:v>
                </c:pt>
                <c:pt idx="246">
                  <c:v>45588</c:v>
                </c:pt>
                <c:pt idx="247">
                  <c:v>45595</c:v>
                </c:pt>
                <c:pt idx="248">
                  <c:v>45602</c:v>
                </c:pt>
                <c:pt idx="249">
                  <c:v>45609</c:v>
                </c:pt>
                <c:pt idx="250">
                  <c:v>45616</c:v>
                </c:pt>
                <c:pt idx="251">
                  <c:v>45623</c:v>
                </c:pt>
                <c:pt idx="252">
                  <c:v>45630</c:v>
                </c:pt>
                <c:pt idx="253">
                  <c:v>45637</c:v>
                </c:pt>
                <c:pt idx="254">
                  <c:v>45644</c:v>
                </c:pt>
                <c:pt idx="255">
                  <c:v>45651</c:v>
                </c:pt>
                <c:pt idx="256">
                  <c:v>45658</c:v>
                </c:pt>
                <c:pt idx="257">
                  <c:v>45665</c:v>
                </c:pt>
                <c:pt idx="258">
                  <c:v>45672</c:v>
                </c:pt>
                <c:pt idx="259">
                  <c:v>45679</c:v>
                </c:pt>
                <c:pt idx="260">
                  <c:v>45686</c:v>
                </c:pt>
                <c:pt idx="261">
                  <c:v>45693</c:v>
                </c:pt>
                <c:pt idx="262">
                  <c:v>45700</c:v>
                </c:pt>
                <c:pt idx="263">
                  <c:v>45707</c:v>
                </c:pt>
                <c:pt idx="264">
                  <c:v>45714</c:v>
                </c:pt>
                <c:pt idx="265">
                  <c:v>45721</c:v>
                </c:pt>
                <c:pt idx="266">
                  <c:v>45728</c:v>
                </c:pt>
                <c:pt idx="267">
                  <c:v>45735</c:v>
                </c:pt>
                <c:pt idx="268">
                  <c:v>45742</c:v>
                </c:pt>
                <c:pt idx="269">
                  <c:v>45749</c:v>
                </c:pt>
                <c:pt idx="270">
                  <c:v>45756</c:v>
                </c:pt>
                <c:pt idx="271">
                  <c:v>45763</c:v>
                </c:pt>
                <c:pt idx="272">
                  <c:v>45770</c:v>
                </c:pt>
                <c:pt idx="273">
                  <c:v>45777</c:v>
                </c:pt>
                <c:pt idx="274">
                  <c:v>45784</c:v>
                </c:pt>
                <c:pt idx="275">
                  <c:v>45791</c:v>
                </c:pt>
                <c:pt idx="276">
                  <c:v>45798</c:v>
                </c:pt>
                <c:pt idx="277">
                  <c:v>45805</c:v>
                </c:pt>
                <c:pt idx="278">
                  <c:v>45812</c:v>
                </c:pt>
                <c:pt idx="279">
                  <c:v>45819</c:v>
                </c:pt>
                <c:pt idx="280">
                  <c:v>45826</c:v>
                </c:pt>
                <c:pt idx="281">
                  <c:v>45833</c:v>
                </c:pt>
                <c:pt idx="282">
                  <c:v>45840</c:v>
                </c:pt>
                <c:pt idx="283">
                  <c:v>45847</c:v>
                </c:pt>
                <c:pt idx="284">
                  <c:v>45854</c:v>
                </c:pt>
                <c:pt idx="285">
                  <c:v>45861</c:v>
                </c:pt>
                <c:pt idx="286">
                  <c:v>45868</c:v>
                </c:pt>
                <c:pt idx="287">
                  <c:v>45875</c:v>
                </c:pt>
                <c:pt idx="288">
                  <c:v>45882</c:v>
                </c:pt>
                <c:pt idx="289">
                  <c:v>45889</c:v>
                </c:pt>
                <c:pt idx="290">
                  <c:v>45896</c:v>
                </c:pt>
                <c:pt idx="291">
                  <c:v>45903</c:v>
                </c:pt>
                <c:pt idx="292">
                  <c:v>45910</c:v>
                </c:pt>
                <c:pt idx="293">
                  <c:v>45917</c:v>
                </c:pt>
                <c:pt idx="294">
                  <c:v>45924</c:v>
                </c:pt>
                <c:pt idx="295">
                  <c:v>45931</c:v>
                </c:pt>
                <c:pt idx="296">
                  <c:v>45938</c:v>
                </c:pt>
                <c:pt idx="297">
                  <c:v>45945</c:v>
                </c:pt>
                <c:pt idx="298">
                  <c:v>45952</c:v>
                </c:pt>
                <c:pt idx="299">
                  <c:v>45959</c:v>
                </c:pt>
                <c:pt idx="300">
                  <c:v>45966</c:v>
                </c:pt>
                <c:pt idx="301">
                  <c:v>45973</c:v>
                </c:pt>
                <c:pt idx="302">
                  <c:v>45980</c:v>
                </c:pt>
                <c:pt idx="303">
                  <c:v>45987</c:v>
                </c:pt>
                <c:pt idx="304">
                  <c:v>45994</c:v>
                </c:pt>
                <c:pt idx="305">
                  <c:v>46001</c:v>
                </c:pt>
              </c:numCache>
            </c:numRef>
          </c:cat>
          <c:val>
            <c:numRef>
              <c:f>资产负债表!$Y$9:$Y$314</c:f>
              <c:numCache>
                <c:formatCode>General</c:formatCode>
                <c:ptCount val="306"/>
                <c:pt idx="0">
                  <c:v>35109.590000000004</c:v>
                </c:pt>
                <c:pt idx="1">
                  <c:v>35545.19</c:v>
                </c:pt>
                <c:pt idx="2">
                  <c:v>35235.549999999996</c:v>
                </c:pt>
                <c:pt idx="3">
                  <c:v>35510.54</c:v>
                </c:pt>
                <c:pt idx="4">
                  <c:v>36235.030000000006</c:v>
                </c:pt>
                <c:pt idx="5">
                  <c:v>37062.99</c:v>
                </c:pt>
                <c:pt idx="6">
                  <c:v>40329.120000000003</c:v>
                </c:pt>
                <c:pt idx="7">
                  <c:v>45102.74</c:v>
                </c:pt>
                <c:pt idx="8">
                  <c:v>48102.47</c:v>
                </c:pt>
                <c:pt idx="9">
                  <c:v>49214.750000000007</c:v>
                </c:pt>
                <c:pt idx="10">
                  <c:v>52321.479999999996</c:v>
                </c:pt>
                <c:pt idx="11">
                  <c:v>53338.450000000004</c:v>
                </c:pt>
                <c:pt idx="12">
                  <c:v>53105.909999999996</c:v>
                </c:pt>
                <c:pt idx="13">
                  <c:v>53129.46</c:v>
                </c:pt>
                <c:pt idx="14">
                  <c:v>55149.05</c:v>
                </c:pt>
                <c:pt idx="15">
                  <c:v>55773.119999999995</c:v>
                </c:pt>
                <c:pt idx="16">
                  <c:v>55264.430000000008</c:v>
                </c:pt>
                <c:pt idx="17">
                  <c:v>54877.01</c:v>
                </c:pt>
                <c:pt idx="18">
                  <c:v>54235.53</c:v>
                </c:pt>
                <c:pt idx="19">
                  <c:v>53039.22</c:v>
                </c:pt>
                <c:pt idx="20">
                  <c:v>52753.670000000013</c:v>
                </c:pt>
                <c:pt idx="21">
                  <c:v>51250.569999999992</c:v>
                </c:pt>
                <c:pt idx="22">
                  <c:v>50714.52</c:v>
                </c:pt>
                <c:pt idx="23">
                  <c:v>49939.199999999997</c:v>
                </c:pt>
                <c:pt idx="24">
                  <c:v>49729.100000000006</c:v>
                </c:pt>
                <c:pt idx="25">
                  <c:v>49395.450000000012</c:v>
                </c:pt>
                <c:pt idx="26">
                  <c:v>50261.520000000004</c:v>
                </c:pt>
                <c:pt idx="27">
                  <c:v>51037.88</c:v>
                </c:pt>
                <c:pt idx="28">
                  <c:v>51629.02</c:v>
                </c:pt>
                <c:pt idx="29">
                  <c:v>51698.939999999995</c:v>
                </c:pt>
                <c:pt idx="30">
                  <c:v>51530.05</c:v>
                </c:pt>
                <c:pt idx="31">
                  <c:v>52361.16</c:v>
                </c:pt>
                <c:pt idx="32">
                  <c:v>51731.839999999997</c:v>
                </c:pt>
                <c:pt idx="33">
                  <c:v>52270.77</c:v>
                </c:pt>
                <c:pt idx="34">
                  <c:v>50692.169999999991</c:v>
                </c:pt>
                <c:pt idx="35">
                  <c:v>51986.720000000016</c:v>
                </c:pt>
                <c:pt idx="36">
                  <c:v>53076.61</c:v>
                </c:pt>
                <c:pt idx="37">
                  <c:v>52903.329999999987</c:v>
                </c:pt>
                <c:pt idx="38">
                  <c:v>52913.740000000005</c:v>
                </c:pt>
                <c:pt idx="39">
                  <c:v>53458.74</c:v>
                </c:pt>
                <c:pt idx="40">
                  <c:v>54088.38</c:v>
                </c:pt>
                <c:pt idx="41">
                  <c:v>55059.19000000001</c:v>
                </c:pt>
                <c:pt idx="42">
                  <c:v>55345.400000000009</c:v>
                </c:pt>
                <c:pt idx="43">
                  <c:v>54796.380000000005</c:v>
                </c:pt>
                <c:pt idx="44">
                  <c:v>55480.399999999994</c:v>
                </c:pt>
                <c:pt idx="45">
                  <c:v>55558.59</c:v>
                </c:pt>
                <c:pt idx="46">
                  <c:v>56222.069999999992</c:v>
                </c:pt>
                <c:pt idx="47">
                  <c:v>55400.739999999991</c:v>
                </c:pt>
                <c:pt idx="48">
                  <c:v>55210.779999999992</c:v>
                </c:pt>
                <c:pt idx="49">
                  <c:v>55439.199999999997</c:v>
                </c:pt>
                <c:pt idx="50">
                  <c:v>55699.789999999994</c:v>
                </c:pt>
                <c:pt idx="51">
                  <c:v>55809.709999999992</c:v>
                </c:pt>
                <c:pt idx="52">
                  <c:v>55719.359999999993</c:v>
                </c:pt>
                <c:pt idx="53">
                  <c:v>56534.5</c:v>
                </c:pt>
                <c:pt idx="54">
                  <c:v>57867.9</c:v>
                </c:pt>
                <c:pt idx="55">
                  <c:v>59450.920000000006</c:v>
                </c:pt>
                <c:pt idx="56">
                  <c:v>59339.470000000008</c:v>
                </c:pt>
                <c:pt idx="57">
                  <c:v>60758.78</c:v>
                </c:pt>
                <c:pt idx="58">
                  <c:v>63984.889999999992</c:v>
                </c:pt>
                <c:pt idx="59">
                  <c:v>64532.7</c:v>
                </c:pt>
                <c:pt idx="60">
                  <c:v>62148.6</c:v>
                </c:pt>
                <c:pt idx="61">
                  <c:v>64818.410000000011</c:v>
                </c:pt>
                <c:pt idx="62">
                  <c:v>65895.659999999989</c:v>
                </c:pt>
                <c:pt idx="63">
                  <c:v>65147.15</c:v>
                </c:pt>
                <c:pt idx="64">
                  <c:v>64657.839999999989</c:v>
                </c:pt>
                <c:pt idx="65">
                  <c:v>64760.48000000001</c:v>
                </c:pt>
                <c:pt idx="66">
                  <c:v>65375.78</c:v>
                </c:pt>
                <c:pt idx="67">
                  <c:v>65398.94</c:v>
                </c:pt>
                <c:pt idx="68">
                  <c:v>64541.96</c:v>
                </c:pt>
                <c:pt idx="69">
                  <c:v>64507.1</c:v>
                </c:pt>
                <c:pt idx="70">
                  <c:v>65578.36</c:v>
                </c:pt>
                <c:pt idx="71">
                  <c:v>65553.83</c:v>
                </c:pt>
                <c:pt idx="72">
                  <c:v>63121.369999999995</c:v>
                </c:pt>
                <c:pt idx="73">
                  <c:v>59656.9</c:v>
                </c:pt>
                <c:pt idx="74">
                  <c:v>63235.430000000008</c:v>
                </c:pt>
                <c:pt idx="75">
                  <c:v>64331.42</c:v>
                </c:pt>
                <c:pt idx="76">
                  <c:v>64873.58</c:v>
                </c:pt>
                <c:pt idx="77">
                  <c:v>64643.739999999991</c:v>
                </c:pt>
                <c:pt idx="78">
                  <c:v>65128.450000000004</c:v>
                </c:pt>
                <c:pt idx="79">
                  <c:v>65994.14</c:v>
                </c:pt>
                <c:pt idx="80">
                  <c:v>66435.460000000006</c:v>
                </c:pt>
                <c:pt idx="81">
                  <c:v>66694.329999999987</c:v>
                </c:pt>
                <c:pt idx="82">
                  <c:v>66759.429999999993</c:v>
                </c:pt>
                <c:pt idx="83">
                  <c:v>67460.739999999991</c:v>
                </c:pt>
                <c:pt idx="84">
                  <c:v>67284.260000000009</c:v>
                </c:pt>
                <c:pt idx="85">
                  <c:v>66531.130000000019</c:v>
                </c:pt>
                <c:pt idx="86">
                  <c:v>65718.89</c:v>
                </c:pt>
                <c:pt idx="87">
                  <c:v>66303.880000000019</c:v>
                </c:pt>
                <c:pt idx="88">
                  <c:v>67508.599999999991</c:v>
                </c:pt>
                <c:pt idx="89">
                  <c:v>66612.11</c:v>
                </c:pt>
                <c:pt idx="90">
                  <c:v>65982.02</c:v>
                </c:pt>
                <c:pt idx="91">
                  <c:v>66308.460000000006</c:v>
                </c:pt>
                <c:pt idx="92">
                  <c:v>66787.189999999988</c:v>
                </c:pt>
                <c:pt idx="93">
                  <c:v>66817.06</c:v>
                </c:pt>
                <c:pt idx="94">
                  <c:v>67819.14</c:v>
                </c:pt>
                <c:pt idx="95">
                  <c:v>67619.77</c:v>
                </c:pt>
                <c:pt idx="96">
                  <c:v>67521.53</c:v>
                </c:pt>
                <c:pt idx="97">
                  <c:v>67704.929999999993</c:v>
                </c:pt>
                <c:pt idx="98">
                  <c:v>66100.639999999985</c:v>
                </c:pt>
                <c:pt idx="99">
                  <c:v>65526.760000000009</c:v>
                </c:pt>
                <c:pt idx="100">
                  <c:v>65353.46</c:v>
                </c:pt>
                <c:pt idx="101">
                  <c:v>64365.54</c:v>
                </c:pt>
                <c:pt idx="102">
                  <c:v>63238.639999999992</c:v>
                </c:pt>
                <c:pt idx="103">
                  <c:v>63296.750000000015</c:v>
                </c:pt>
                <c:pt idx="104">
                  <c:v>62563.729999999996</c:v>
                </c:pt>
                <c:pt idx="105">
                  <c:v>62910.989999999991</c:v>
                </c:pt>
                <c:pt idx="106">
                  <c:v>63003.100000000006</c:v>
                </c:pt>
                <c:pt idx="107">
                  <c:v>62602.209999999992</c:v>
                </c:pt>
                <c:pt idx="108">
                  <c:v>64433.119999999995</c:v>
                </c:pt>
                <c:pt idx="109">
                  <c:v>65151.329999999987</c:v>
                </c:pt>
                <c:pt idx="110">
                  <c:v>64681.42</c:v>
                </c:pt>
                <c:pt idx="111">
                  <c:v>63314.500000000015</c:v>
                </c:pt>
                <c:pt idx="112">
                  <c:v>63395.679999999993</c:v>
                </c:pt>
                <c:pt idx="113">
                  <c:v>64163.7</c:v>
                </c:pt>
                <c:pt idx="114">
                  <c:v>63516.189999999988</c:v>
                </c:pt>
                <c:pt idx="115">
                  <c:v>58840.479999999989</c:v>
                </c:pt>
                <c:pt idx="116">
                  <c:v>58902.17</c:v>
                </c:pt>
                <c:pt idx="117">
                  <c:v>58770.07</c:v>
                </c:pt>
                <c:pt idx="118">
                  <c:v>58479.14</c:v>
                </c:pt>
                <c:pt idx="119">
                  <c:v>58375.499999999993</c:v>
                </c:pt>
                <c:pt idx="120">
                  <c:v>58543.460000000006</c:v>
                </c:pt>
                <c:pt idx="121">
                  <c:v>59039.350000000006</c:v>
                </c:pt>
                <c:pt idx="122">
                  <c:v>58300.479999999996</c:v>
                </c:pt>
                <c:pt idx="123">
                  <c:v>57408.789999999994</c:v>
                </c:pt>
                <c:pt idx="124">
                  <c:v>56731.48000000001</c:v>
                </c:pt>
                <c:pt idx="125">
                  <c:v>56654.61</c:v>
                </c:pt>
                <c:pt idx="126">
                  <c:v>57632.579999999994</c:v>
                </c:pt>
                <c:pt idx="127">
                  <c:v>58342.869999999995</c:v>
                </c:pt>
                <c:pt idx="128">
                  <c:v>57483.900000000009</c:v>
                </c:pt>
                <c:pt idx="129">
                  <c:v>57902.359999999993</c:v>
                </c:pt>
                <c:pt idx="130">
                  <c:v>58602.03</c:v>
                </c:pt>
                <c:pt idx="131">
                  <c:v>58722.99</c:v>
                </c:pt>
                <c:pt idx="132">
                  <c:v>58426.36</c:v>
                </c:pt>
                <c:pt idx="133">
                  <c:v>58268.800000000003</c:v>
                </c:pt>
                <c:pt idx="134">
                  <c:v>56278.979999999996</c:v>
                </c:pt>
                <c:pt idx="135">
                  <c:v>57795.82</c:v>
                </c:pt>
                <c:pt idx="136">
                  <c:v>56880.729999999996</c:v>
                </c:pt>
                <c:pt idx="137">
                  <c:v>55151.48</c:v>
                </c:pt>
                <c:pt idx="138">
                  <c:v>54953.58</c:v>
                </c:pt>
                <c:pt idx="139">
                  <c:v>55920.770000000004</c:v>
                </c:pt>
                <c:pt idx="140">
                  <c:v>55951.090000000004</c:v>
                </c:pt>
                <c:pt idx="141">
                  <c:v>55316.500000000007</c:v>
                </c:pt>
                <c:pt idx="142">
                  <c:v>55973.989999999991</c:v>
                </c:pt>
                <c:pt idx="143">
                  <c:v>55441.81</c:v>
                </c:pt>
                <c:pt idx="144">
                  <c:v>55694.559999999998</c:v>
                </c:pt>
                <c:pt idx="145">
                  <c:v>56773.439999999995</c:v>
                </c:pt>
                <c:pt idx="146">
                  <c:v>56984.319999999992</c:v>
                </c:pt>
                <c:pt idx="147">
                  <c:v>55552.789999999994</c:v>
                </c:pt>
                <c:pt idx="148">
                  <c:v>56523.33</c:v>
                </c:pt>
                <c:pt idx="149">
                  <c:v>56898.69</c:v>
                </c:pt>
                <c:pt idx="150">
                  <c:v>55671.270000000004</c:v>
                </c:pt>
                <c:pt idx="151">
                  <c:v>55142.080000000002</c:v>
                </c:pt>
                <c:pt idx="152">
                  <c:v>55659.259999999995</c:v>
                </c:pt>
                <c:pt idx="153">
                  <c:v>56143.549999999996</c:v>
                </c:pt>
                <c:pt idx="154">
                  <c:v>56082.770000000004</c:v>
                </c:pt>
                <c:pt idx="155">
                  <c:v>54827.310000000005</c:v>
                </c:pt>
                <c:pt idx="156">
                  <c:v>55184.130000000005</c:v>
                </c:pt>
                <c:pt idx="157">
                  <c:v>55206.000000000007</c:v>
                </c:pt>
                <c:pt idx="158">
                  <c:v>55825.599999999999</c:v>
                </c:pt>
                <c:pt idx="159">
                  <c:v>54595.259999999995</c:v>
                </c:pt>
                <c:pt idx="160">
                  <c:v>54880.579999999994</c:v>
                </c:pt>
                <c:pt idx="161">
                  <c:v>54702.020000000004</c:v>
                </c:pt>
                <c:pt idx="162">
                  <c:v>59385.310000000005</c:v>
                </c:pt>
                <c:pt idx="163">
                  <c:v>58839.47</c:v>
                </c:pt>
                <c:pt idx="164">
                  <c:v>59106.42</c:v>
                </c:pt>
                <c:pt idx="165">
                  <c:v>58922.93</c:v>
                </c:pt>
                <c:pt idx="166">
                  <c:v>58515.159999999996</c:v>
                </c:pt>
                <c:pt idx="167">
                  <c:v>56618.250000000007</c:v>
                </c:pt>
                <c:pt idx="168">
                  <c:v>56277.539999999994</c:v>
                </c:pt>
                <c:pt idx="169">
                  <c:v>56747.340000000011</c:v>
                </c:pt>
                <c:pt idx="170">
                  <c:v>57300.31</c:v>
                </c:pt>
                <c:pt idx="171">
                  <c:v>57898.01</c:v>
                </c:pt>
                <c:pt idx="172">
                  <c:v>57757.760000000002</c:v>
                </c:pt>
                <c:pt idx="173">
                  <c:v>57216.649999999987</c:v>
                </c:pt>
                <c:pt idx="174">
                  <c:v>58037.490000000005</c:v>
                </c:pt>
                <c:pt idx="175">
                  <c:v>58163.95</c:v>
                </c:pt>
                <c:pt idx="176">
                  <c:v>56996.850000000006</c:v>
                </c:pt>
                <c:pt idx="177">
                  <c:v>56604.82</c:v>
                </c:pt>
                <c:pt idx="178">
                  <c:v>56601.279999999999</c:v>
                </c:pt>
                <c:pt idx="179">
                  <c:v>56316.619999999995</c:v>
                </c:pt>
                <c:pt idx="180">
                  <c:v>56784.260000000009</c:v>
                </c:pt>
                <c:pt idx="181">
                  <c:v>56264.72</c:v>
                </c:pt>
                <c:pt idx="182">
                  <c:v>56734.29</c:v>
                </c:pt>
                <c:pt idx="183">
                  <c:v>56795.27</c:v>
                </c:pt>
                <c:pt idx="184">
                  <c:v>56642.47</c:v>
                </c:pt>
                <c:pt idx="185">
                  <c:v>56105.210000000006</c:v>
                </c:pt>
                <c:pt idx="186">
                  <c:v>56222.91</c:v>
                </c:pt>
                <c:pt idx="187">
                  <c:v>57198.87999999999</c:v>
                </c:pt>
                <c:pt idx="188">
                  <c:v>57257.81</c:v>
                </c:pt>
                <c:pt idx="189">
                  <c:v>55576.659999999996</c:v>
                </c:pt>
                <c:pt idx="190">
                  <c:v>55748.130000000005</c:v>
                </c:pt>
                <c:pt idx="191">
                  <c:v>56448.08</c:v>
                </c:pt>
                <c:pt idx="192">
                  <c:v>57093.01999999999</c:v>
                </c:pt>
                <c:pt idx="193">
                  <c:v>56431.31</c:v>
                </c:pt>
                <c:pt idx="194">
                  <c:v>56569.98</c:v>
                </c:pt>
                <c:pt idx="195">
                  <c:v>57171.409999999996</c:v>
                </c:pt>
                <c:pt idx="196">
                  <c:v>57533.75</c:v>
                </c:pt>
                <c:pt idx="197">
                  <c:v>58770.420000000006</c:v>
                </c:pt>
                <c:pt idx="198">
                  <c:v>58461.279999999999</c:v>
                </c:pt>
                <c:pt idx="199">
                  <c:v>57884.19</c:v>
                </c:pt>
                <c:pt idx="200">
                  <c:v>58851.790000000008</c:v>
                </c:pt>
                <c:pt idx="201">
                  <c:v>59567.159999999996</c:v>
                </c:pt>
                <c:pt idx="202">
                  <c:v>58671.4</c:v>
                </c:pt>
                <c:pt idx="203">
                  <c:v>58341.43</c:v>
                </c:pt>
                <c:pt idx="204">
                  <c:v>58515.850000000006</c:v>
                </c:pt>
                <c:pt idx="205">
                  <c:v>59177.100000000006</c:v>
                </c:pt>
                <c:pt idx="206">
                  <c:v>59638.740000000005</c:v>
                </c:pt>
                <c:pt idx="207">
                  <c:v>58820.020000000004</c:v>
                </c:pt>
                <c:pt idx="208">
                  <c:v>57870.400000000009</c:v>
                </c:pt>
                <c:pt idx="209">
                  <c:v>59195.459999999992</c:v>
                </c:pt>
                <c:pt idx="210">
                  <c:v>58964.22</c:v>
                </c:pt>
                <c:pt idx="211">
                  <c:v>58782.990000000005</c:v>
                </c:pt>
                <c:pt idx="212">
                  <c:v>58913.340000000011</c:v>
                </c:pt>
                <c:pt idx="213">
                  <c:v>59849.130000000005</c:v>
                </c:pt>
                <c:pt idx="214">
                  <c:v>59389.030000000006</c:v>
                </c:pt>
                <c:pt idx="215">
                  <c:v>58562.76999999999</c:v>
                </c:pt>
                <c:pt idx="216">
                  <c:v>58397.329999999994</c:v>
                </c:pt>
                <c:pt idx="217">
                  <c:v>59050.94</c:v>
                </c:pt>
                <c:pt idx="218">
                  <c:v>59664.419999999991</c:v>
                </c:pt>
                <c:pt idx="219">
                  <c:v>56799.340000000004</c:v>
                </c:pt>
                <c:pt idx="220">
                  <c:v>56637.96</c:v>
                </c:pt>
                <c:pt idx="221">
                  <c:v>56739.670000000013</c:v>
                </c:pt>
                <c:pt idx="222">
                  <c:v>56816.350000000006</c:v>
                </c:pt>
                <c:pt idx="223">
                  <c:v>57709.54</c:v>
                </c:pt>
                <c:pt idx="224">
                  <c:v>57237.740000000005</c:v>
                </c:pt>
                <c:pt idx="225">
                  <c:v>57436.97</c:v>
                </c:pt>
                <c:pt idx="226">
                  <c:v>58065.279999999999</c:v>
                </c:pt>
                <c:pt idx="227">
                  <c:v>57760.060000000005</c:v>
                </c:pt>
                <c:pt idx="228">
                  <c:v>57055.149999999994</c:v>
                </c:pt>
                <c:pt idx="229">
                  <c:v>56071.91</c:v>
                </c:pt>
                <c:pt idx="230">
                  <c:v>56646.039999999994</c:v>
                </c:pt>
                <c:pt idx="231">
                  <c:v>56805.079999999994</c:v>
                </c:pt>
                <c:pt idx="232">
                  <c:v>56514.27</c:v>
                </c:pt>
                <c:pt idx="233">
                  <c:v>56320.69</c:v>
                </c:pt>
                <c:pt idx="234">
                  <c:v>55111.29</c:v>
                </c:pt>
                <c:pt idx="235">
                  <c:v>57081.42</c:v>
                </c:pt>
                <c:pt idx="236">
                  <c:v>56666.670000000013</c:v>
                </c:pt>
                <c:pt idx="237">
                  <c:v>56866.979999999996</c:v>
                </c:pt>
                <c:pt idx="238">
                  <c:v>55641.600000000006</c:v>
                </c:pt>
                <c:pt idx="239">
                  <c:v>55972.679999999993</c:v>
                </c:pt>
                <c:pt idx="240">
                  <c:v>56902</c:v>
                </c:pt>
                <c:pt idx="241">
                  <c:v>55461.34</c:v>
                </c:pt>
                <c:pt idx="242">
                  <c:v>54678.35</c:v>
                </c:pt>
                <c:pt idx="243">
                  <c:v>54242.59</c:v>
                </c:pt>
                <c:pt idx="244">
                  <c:v>55201.479999999996</c:v>
                </c:pt>
                <c:pt idx="245">
                  <c:v>55555.179999999993</c:v>
                </c:pt>
                <c:pt idx="246">
                  <c:v>55433.810000000005</c:v>
                </c:pt>
                <c:pt idx="247">
                  <c:v>55393.459999999992</c:v>
                </c:pt>
                <c:pt idx="248">
                  <c:v>55809.95</c:v>
                </c:pt>
                <c:pt idx="249">
                  <c:v>55301.270000000004</c:v>
                </c:pt>
                <c:pt idx="250">
                  <c:v>55857.55</c:v>
                </c:pt>
                <c:pt idx="251">
                  <c:v>55529.27</c:v>
                </c:pt>
                <c:pt idx="252">
                  <c:v>55332.530000000006</c:v>
                </c:pt>
                <c:pt idx="253">
                  <c:v>55898.470000000008</c:v>
                </c:pt>
                <c:pt idx="254">
                  <c:v>55631.48000000001</c:v>
                </c:pt>
                <c:pt idx="255">
                  <c:v>55845.97</c:v>
                </c:pt>
                <c:pt idx="256">
                  <c:v>52422.040000000008</c:v>
                </c:pt>
                <c:pt idx="257">
                  <c:v>56615.03</c:v>
                </c:pt>
                <c:pt idx="258">
                  <c:v>56782.419999999991</c:v>
                </c:pt>
                <c:pt idx="259">
                  <c:v>56498.260000000009</c:v>
                </c:pt>
                <c:pt idx="260">
                  <c:v>55102.5</c:v>
                </c:pt>
                <c:pt idx="261">
                  <c:v>55375.69000000001</c:v>
                </c:pt>
                <c:pt idx="262">
                  <c:v>55518.920000000006</c:v>
                </c:pt>
                <c:pt idx="263">
                  <c:v>55823.650000000009</c:v>
                </c:pt>
                <c:pt idx="264">
                  <c:v>56857.67</c:v>
                </c:pt>
                <c:pt idx="265">
                  <c:v>57030.57</c:v>
                </c:pt>
                <c:pt idx="266">
                  <c:v>57867.070000000007</c:v>
                </c:pt>
                <c:pt idx="267">
                  <c:v>57687.060000000005</c:v>
                </c:pt>
                <c:pt idx="268">
                  <c:v>57956.72</c:v>
                </c:pt>
                <c:pt idx="269">
                  <c:v>57995.750000000007</c:v>
                </c:pt>
                <c:pt idx="270">
                  <c:v>58779.740000000005</c:v>
                </c:pt>
                <c:pt idx="271">
                  <c:v>56759.020000000004</c:v>
                </c:pt>
                <c:pt idx="272">
                  <c:v>56057.81</c:v>
                </c:pt>
                <c:pt idx="273">
                  <c:v>53994.98</c:v>
                </c:pt>
                <c:pt idx="274">
                  <c:v>55904.75</c:v>
                </c:pt>
                <c:pt idx="275">
                  <c:v>56316.24</c:v>
                </c:pt>
                <c:pt idx="276">
                  <c:v>56786.969999999994</c:v>
                </c:pt>
                <c:pt idx="277">
                  <c:v>56925.06</c:v>
                </c:pt>
                <c:pt idx="278">
                  <c:v>57527.98</c:v>
                </c:pt>
                <c:pt idx="279">
                  <c:v>58240.700000000004</c:v>
                </c:pt>
                <c:pt idx="280">
                  <c:v>57200.159999999996</c:v>
                </c:pt>
                <c:pt idx="281">
                  <c:v>57435.7</c:v>
                </c:pt>
                <c:pt idx="282">
                  <c:v>56562.28</c:v>
                </c:pt>
                <c:pt idx="283">
                  <c:v>57410.909999999996</c:v>
                </c:pt>
                <c:pt idx="284">
                  <c:v>57725.03</c:v>
                </c:pt>
                <c:pt idx="285">
                  <c:v>57571.71</c:v>
                </c:pt>
                <c:pt idx="286">
                  <c:v>56974.51</c:v>
                </c:pt>
                <c:pt idx="287">
                  <c:v>57306.529999999992</c:v>
                </c:pt>
                <c:pt idx="288">
                  <c:v>57259.44999999999</c:v>
                </c:pt>
                <c:pt idx="289">
                  <c:v>56932.859999999993</c:v>
                </c:pt>
                <c:pt idx="290">
                  <c:v>56144.31</c:v>
                </c:pt>
                <c:pt idx="291">
                  <c:v>55714.010000000009</c:v>
                </c:pt>
                <c:pt idx="292">
                  <c:v>55554.21</c:v>
                </c:pt>
                <c:pt idx="293">
                  <c:v>54298.840000000004</c:v>
                </c:pt>
                <c:pt idx="294">
                  <c:v>54411.23</c:v>
                </c:pt>
                <c:pt idx="295">
                  <c:v>53829.69</c:v>
                </c:pt>
                <c:pt idx="296">
                  <c:v>54409.219999999994</c:v>
                </c:pt>
                <c:pt idx="297">
                  <c:v>53966.009999999995</c:v>
                </c:pt>
                <c:pt idx="298">
                  <c:v>53300.350000000006</c:v>
                </c:pt>
                <c:pt idx="299">
                  <c:v>52357.619999999995</c:v>
                </c:pt>
                <c:pt idx="300">
                  <c:v>52575.510000000009</c:v>
                </c:pt>
                <c:pt idx="301">
                  <c:v>52949.62999999999</c:v>
                </c:pt>
                <c:pt idx="302">
                  <c:v>53271.93</c:v>
                </c:pt>
                <c:pt idx="303">
                  <c:v>53203.420000000006</c:v>
                </c:pt>
                <c:pt idx="304">
                  <c:v>52946.89</c:v>
                </c:pt>
                <c:pt idx="305">
                  <c:v>54019.17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4C-478D-8889-35A3720C2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892624"/>
        <c:axId val="972867184"/>
      </c:lineChart>
      <c:dateAx>
        <c:axId val="1891954688"/>
        <c:scaling>
          <c:orientation val="minMax"/>
          <c:min val="44164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891957568"/>
        <c:crosses val="autoZero"/>
        <c:auto val="1"/>
        <c:lblOffset val="100"/>
        <c:baseTimeUnit val="days"/>
      </c:dateAx>
      <c:valAx>
        <c:axId val="1891957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TGA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账户（单位：亿美元）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891954688"/>
        <c:crosses val="autoZero"/>
        <c:crossBetween val="between"/>
      </c:valAx>
      <c:valAx>
        <c:axId val="972867184"/>
        <c:scaling>
          <c:orientation val="minMax"/>
          <c:max val="70000"/>
          <c:min val="4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净流动性（单位：亿美元）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972892624"/>
        <c:crosses val="max"/>
        <c:crossBetween val="between"/>
      </c:valAx>
      <c:dateAx>
        <c:axId val="97289262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9728671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负债端：存款准备金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资产负债表!$R$3</c:f>
              <c:strCache>
                <c:ptCount val="1"/>
                <c:pt idx="0">
                  <c:v>存款准备金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资产负债表!$I$9:$I$306</c:f>
              <c:numCache>
                <c:formatCode>yyyy\-mm\-dd</c:formatCode>
                <c:ptCount val="298"/>
                <c:pt idx="0">
                  <c:v>43866</c:v>
                </c:pt>
                <c:pt idx="1">
                  <c:v>43873</c:v>
                </c:pt>
                <c:pt idx="2">
                  <c:v>43880</c:v>
                </c:pt>
                <c:pt idx="3">
                  <c:v>43887</c:v>
                </c:pt>
                <c:pt idx="4">
                  <c:v>43894</c:v>
                </c:pt>
                <c:pt idx="5">
                  <c:v>43901</c:v>
                </c:pt>
                <c:pt idx="6">
                  <c:v>43908</c:v>
                </c:pt>
                <c:pt idx="7">
                  <c:v>43915</c:v>
                </c:pt>
                <c:pt idx="8">
                  <c:v>43922</c:v>
                </c:pt>
                <c:pt idx="9">
                  <c:v>43929</c:v>
                </c:pt>
                <c:pt idx="10">
                  <c:v>43936</c:v>
                </c:pt>
                <c:pt idx="11">
                  <c:v>43943</c:v>
                </c:pt>
                <c:pt idx="12">
                  <c:v>43950</c:v>
                </c:pt>
                <c:pt idx="13">
                  <c:v>43957</c:v>
                </c:pt>
                <c:pt idx="14">
                  <c:v>43964</c:v>
                </c:pt>
                <c:pt idx="15">
                  <c:v>43971</c:v>
                </c:pt>
                <c:pt idx="16">
                  <c:v>43978</c:v>
                </c:pt>
                <c:pt idx="17">
                  <c:v>43985</c:v>
                </c:pt>
                <c:pt idx="18">
                  <c:v>43992</c:v>
                </c:pt>
                <c:pt idx="19">
                  <c:v>43999</c:v>
                </c:pt>
                <c:pt idx="20">
                  <c:v>44006</c:v>
                </c:pt>
                <c:pt idx="21">
                  <c:v>44013</c:v>
                </c:pt>
                <c:pt idx="22">
                  <c:v>44020</c:v>
                </c:pt>
                <c:pt idx="23">
                  <c:v>44027</c:v>
                </c:pt>
                <c:pt idx="24">
                  <c:v>44034</c:v>
                </c:pt>
                <c:pt idx="25">
                  <c:v>44041</c:v>
                </c:pt>
                <c:pt idx="26">
                  <c:v>44048</c:v>
                </c:pt>
                <c:pt idx="27">
                  <c:v>44055</c:v>
                </c:pt>
                <c:pt idx="28">
                  <c:v>44062</c:v>
                </c:pt>
                <c:pt idx="29">
                  <c:v>44069</c:v>
                </c:pt>
                <c:pt idx="30">
                  <c:v>44076</c:v>
                </c:pt>
                <c:pt idx="31">
                  <c:v>44083</c:v>
                </c:pt>
                <c:pt idx="32">
                  <c:v>44090</c:v>
                </c:pt>
                <c:pt idx="33">
                  <c:v>44097</c:v>
                </c:pt>
                <c:pt idx="34">
                  <c:v>44104</c:v>
                </c:pt>
                <c:pt idx="35">
                  <c:v>44111</c:v>
                </c:pt>
                <c:pt idx="36">
                  <c:v>44118</c:v>
                </c:pt>
                <c:pt idx="37">
                  <c:v>44125</c:v>
                </c:pt>
                <c:pt idx="38">
                  <c:v>44132</c:v>
                </c:pt>
                <c:pt idx="39">
                  <c:v>44139</c:v>
                </c:pt>
                <c:pt idx="40">
                  <c:v>44146</c:v>
                </c:pt>
                <c:pt idx="41">
                  <c:v>44153</c:v>
                </c:pt>
                <c:pt idx="42">
                  <c:v>44160</c:v>
                </c:pt>
                <c:pt idx="43">
                  <c:v>44167</c:v>
                </c:pt>
                <c:pt idx="44">
                  <c:v>44174</c:v>
                </c:pt>
                <c:pt idx="45">
                  <c:v>44181</c:v>
                </c:pt>
                <c:pt idx="46">
                  <c:v>44188</c:v>
                </c:pt>
                <c:pt idx="47">
                  <c:v>44195</c:v>
                </c:pt>
                <c:pt idx="48">
                  <c:v>44202</c:v>
                </c:pt>
                <c:pt idx="49">
                  <c:v>44209</c:v>
                </c:pt>
                <c:pt idx="50">
                  <c:v>44216</c:v>
                </c:pt>
                <c:pt idx="51">
                  <c:v>44223</c:v>
                </c:pt>
                <c:pt idx="52">
                  <c:v>44230</c:v>
                </c:pt>
                <c:pt idx="53">
                  <c:v>44237</c:v>
                </c:pt>
                <c:pt idx="54">
                  <c:v>44244</c:v>
                </c:pt>
                <c:pt idx="55">
                  <c:v>44251</c:v>
                </c:pt>
                <c:pt idx="56">
                  <c:v>44258</c:v>
                </c:pt>
                <c:pt idx="57">
                  <c:v>44265</c:v>
                </c:pt>
                <c:pt idx="58">
                  <c:v>44272</c:v>
                </c:pt>
                <c:pt idx="59">
                  <c:v>44279</c:v>
                </c:pt>
                <c:pt idx="60">
                  <c:v>44286</c:v>
                </c:pt>
                <c:pt idx="61">
                  <c:v>44293</c:v>
                </c:pt>
                <c:pt idx="62">
                  <c:v>44300</c:v>
                </c:pt>
                <c:pt idx="63">
                  <c:v>44307</c:v>
                </c:pt>
                <c:pt idx="64">
                  <c:v>44314</c:v>
                </c:pt>
                <c:pt idx="65">
                  <c:v>44321</c:v>
                </c:pt>
                <c:pt idx="66">
                  <c:v>44328</c:v>
                </c:pt>
                <c:pt idx="67">
                  <c:v>44335</c:v>
                </c:pt>
                <c:pt idx="68">
                  <c:v>44342</c:v>
                </c:pt>
                <c:pt idx="69">
                  <c:v>44349</c:v>
                </c:pt>
                <c:pt idx="70">
                  <c:v>44356</c:v>
                </c:pt>
                <c:pt idx="71">
                  <c:v>44363</c:v>
                </c:pt>
                <c:pt idx="72">
                  <c:v>44370</c:v>
                </c:pt>
                <c:pt idx="73">
                  <c:v>44377</c:v>
                </c:pt>
                <c:pt idx="74">
                  <c:v>44384</c:v>
                </c:pt>
                <c:pt idx="75">
                  <c:v>44391</c:v>
                </c:pt>
                <c:pt idx="76">
                  <c:v>44398</c:v>
                </c:pt>
                <c:pt idx="77">
                  <c:v>44405</c:v>
                </c:pt>
                <c:pt idx="78">
                  <c:v>44412</c:v>
                </c:pt>
                <c:pt idx="79">
                  <c:v>44419</c:v>
                </c:pt>
                <c:pt idx="80">
                  <c:v>44426</c:v>
                </c:pt>
                <c:pt idx="81">
                  <c:v>44433</c:v>
                </c:pt>
                <c:pt idx="82">
                  <c:v>44440</c:v>
                </c:pt>
                <c:pt idx="83">
                  <c:v>44447</c:v>
                </c:pt>
                <c:pt idx="84">
                  <c:v>44454</c:v>
                </c:pt>
                <c:pt idx="85">
                  <c:v>44461</c:v>
                </c:pt>
                <c:pt idx="86">
                  <c:v>44468</c:v>
                </c:pt>
                <c:pt idx="87">
                  <c:v>44475</c:v>
                </c:pt>
                <c:pt idx="88">
                  <c:v>44482</c:v>
                </c:pt>
                <c:pt idx="89">
                  <c:v>44489</c:v>
                </c:pt>
                <c:pt idx="90">
                  <c:v>44496</c:v>
                </c:pt>
                <c:pt idx="91">
                  <c:v>44503</c:v>
                </c:pt>
                <c:pt idx="92">
                  <c:v>44510</c:v>
                </c:pt>
                <c:pt idx="93">
                  <c:v>44517</c:v>
                </c:pt>
                <c:pt idx="94">
                  <c:v>44524</c:v>
                </c:pt>
                <c:pt idx="95">
                  <c:v>44531</c:v>
                </c:pt>
                <c:pt idx="96">
                  <c:v>44538</c:v>
                </c:pt>
                <c:pt idx="97">
                  <c:v>44545</c:v>
                </c:pt>
                <c:pt idx="98">
                  <c:v>44552</c:v>
                </c:pt>
                <c:pt idx="99">
                  <c:v>44559</c:v>
                </c:pt>
                <c:pt idx="100">
                  <c:v>44566</c:v>
                </c:pt>
                <c:pt idx="101">
                  <c:v>44573</c:v>
                </c:pt>
                <c:pt idx="102">
                  <c:v>44580</c:v>
                </c:pt>
                <c:pt idx="103">
                  <c:v>44587</c:v>
                </c:pt>
                <c:pt idx="104">
                  <c:v>44594</c:v>
                </c:pt>
                <c:pt idx="105">
                  <c:v>44601</c:v>
                </c:pt>
                <c:pt idx="106">
                  <c:v>44608</c:v>
                </c:pt>
                <c:pt idx="107">
                  <c:v>44615</c:v>
                </c:pt>
                <c:pt idx="108">
                  <c:v>44622</c:v>
                </c:pt>
                <c:pt idx="109">
                  <c:v>44629</c:v>
                </c:pt>
                <c:pt idx="110">
                  <c:v>44636</c:v>
                </c:pt>
                <c:pt idx="111">
                  <c:v>44643</c:v>
                </c:pt>
                <c:pt idx="112">
                  <c:v>44650</c:v>
                </c:pt>
                <c:pt idx="113">
                  <c:v>44657</c:v>
                </c:pt>
                <c:pt idx="114">
                  <c:v>44664</c:v>
                </c:pt>
                <c:pt idx="115">
                  <c:v>44671</c:v>
                </c:pt>
                <c:pt idx="116">
                  <c:v>44678</c:v>
                </c:pt>
                <c:pt idx="117">
                  <c:v>44685</c:v>
                </c:pt>
                <c:pt idx="118">
                  <c:v>44692</c:v>
                </c:pt>
                <c:pt idx="119">
                  <c:v>44699</c:v>
                </c:pt>
                <c:pt idx="120">
                  <c:v>44706</c:v>
                </c:pt>
                <c:pt idx="121">
                  <c:v>44713</c:v>
                </c:pt>
                <c:pt idx="122">
                  <c:v>44720</c:v>
                </c:pt>
                <c:pt idx="123">
                  <c:v>44727</c:v>
                </c:pt>
                <c:pt idx="124">
                  <c:v>44734</c:v>
                </c:pt>
                <c:pt idx="125">
                  <c:v>44741</c:v>
                </c:pt>
                <c:pt idx="126">
                  <c:v>44748</c:v>
                </c:pt>
                <c:pt idx="127">
                  <c:v>44755</c:v>
                </c:pt>
                <c:pt idx="128">
                  <c:v>44762</c:v>
                </c:pt>
                <c:pt idx="129">
                  <c:v>44769</c:v>
                </c:pt>
                <c:pt idx="130">
                  <c:v>44776</c:v>
                </c:pt>
                <c:pt idx="131">
                  <c:v>44783</c:v>
                </c:pt>
                <c:pt idx="132">
                  <c:v>44790</c:v>
                </c:pt>
                <c:pt idx="133">
                  <c:v>44797</c:v>
                </c:pt>
                <c:pt idx="134">
                  <c:v>44804</c:v>
                </c:pt>
                <c:pt idx="135">
                  <c:v>44811</c:v>
                </c:pt>
                <c:pt idx="136">
                  <c:v>44818</c:v>
                </c:pt>
                <c:pt idx="137">
                  <c:v>44825</c:v>
                </c:pt>
                <c:pt idx="138">
                  <c:v>44832</c:v>
                </c:pt>
                <c:pt idx="139">
                  <c:v>44839</c:v>
                </c:pt>
                <c:pt idx="140">
                  <c:v>44846</c:v>
                </c:pt>
                <c:pt idx="141">
                  <c:v>44853</c:v>
                </c:pt>
                <c:pt idx="142">
                  <c:v>44860</c:v>
                </c:pt>
                <c:pt idx="143">
                  <c:v>44867</c:v>
                </c:pt>
                <c:pt idx="144">
                  <c:v>44874</c:v>
                </c:pt>
                <c:pt idx="145">
                  <c:v>44881</c:v>
                </c:pt>
                <c:pt idx="146">
                  <c:v>44888</c:v>
                </c:pt>
                <c:pt idx="147">
                  <c:v>44895</c:v>
                </c:pt>
                <c:pt idx="148">
                  <c:v>44902</c:v>
                </c:pt>
                <c:pt idx="149">
                  <c:v>44909</c:v>
                </c:pt>
                <c:pt idx="150">
                  <c:v>44916</c:v>
                </c:pt>
                <c:pt idx="151">
                  <c:v>44923</c:v>
                </c:pt>
                <c:pt idx="152">
                  <c:v>44930</c:v>
                </c:pt>
                <c:pt idx="153">
                  <c:v>44937</c:v>
                </c:pt>
                <c:pt idx="154">
                  <c:v>44944</c:v>
                </c:pt>
                <c:pt idx="155">
                  <c:v>44951</c:v>
                </c:pt>
                <c:pt idx="156">
                  <c:v>44958</c:v>
                </c:pt>
                <c:pt idx="157">
                  <c:v>44965</c:v>
                </c:pt>
                <c:pt idx="158">
                  <c:v>44972</c:v>
                </c:pt>
                <c:pt idx="159">
                  <c:v>44979</c:v>
                </c:pt>
                <c:pt idx="160">
                  <c:v>44986</c:v>
                </c:pt>
                <c:pt idx="161">
                  <c:v>44993</c:v>
                </c:pt>
                <c:pt idx="162">
                  <c:v>45000</c:v>
                </c:pt>
                <c:pt idx="163">
                  <c:v>45007</c:v>
                </c:pt>
                <c:pt idx="164">
                  <c:v>45014</c:v>
                </c:pt>
                <c:pt idx="165">
                  <c:v>45021</c:v>
                </c:pt>
                <c:pt idx="166">
                  <c:v>45028</c:v>
                </c:pt>
                <c:pt idx="167">
                  <c:v>45035</c:v>
                </c:pt>
                <c:pt idx="168">
                  <c:v>45042</c:v>
                </c:pt>
                <c:pt idx="169">
                  <c:v>45049</c:v>
                </c:pt>
                <c:pt idx="170">
                  <c:v>45056</c:v>
                </c:pt>
                <c:pt idx="171">
                  <c:v>45063</c:v>
                </c:pt>
                <c:pt idx="172">
                  <c:v>45070</c:v>
                </c:pt>
                <c:pt idx="173">
                  <c:v>45077</c:v>
                </c:pt>
                <c:pt idx="174">
                  <c:v>45084</c:v>
                </c:pt>
                <c:pt idx="175">
                  <c:v>45091</c:v>
                </c:pt>
                <c:pt idx="176">
                  <c:v>45098</c:v>
                </c:pt>
                <c:pt idx="177">
                  <c:v>45105</c:v>
                </c:pt>
                <c:pt idx="178">
                  <c:v>45112</c:v>
                </c:pt>
                <c:pt idx="179">
                  <c:v>45119</c:v>
                </c:pt>
                <c:pt idx="180">
                  <c:v>45126</c:v>
                </c:pt>
                <c:pt idx="181">
                  <c:v>45133</c:v>
                </c:pt>
                <c:pt idx="182">
                  <c:v>45140</c:v>
                </c:pt>
                <c:pt idx="183">
                  <c:v>45147</c:v>
                </c:pt>
                <c:pt idx="184">
                  <c:v>45154</c:v>
                </c:pt>
                <c:pt idx="185">
                  <c:v>45161</c:v>
                </c:pt>
                <c:pt idx="186">
                  <c:v>45168</c:v>
                </c:pt>
                <c:pt idx="187">
                  <c:v>45175</c:v>
                </c:pt>
                <c:pt idx="188">
                  <c:v>45182</c:v>
                </c:pt>
                <c:pt idx="189">
                  <c:v>45189</c:v>
                </c:pt>
                <c:pt idx="190">
                  <c:v>45196</c:v>
                </c:pt>
                <c:pt idx="191">
                  <c:v>45203</c:v>
                </c:pt>
                <c:pt idx="192">
                  <c:v>45210</c:v>
                </c:pt>
                <c:pt idx="193">
                  <c:v>45217</c:v>
                </c:pt>
                <c:pt idx="194">
                  <c:v>45224</c:v>
                </c:pt>
                <c:pt idx="195">
                  <c:v>45231</c:v>
                </c:pt>
                <c:pt idx="196">
                  <c:v>45238</c:v>
                </c:pt>
                <c:pt idx="197">
                  <c:v>45245</c:v>
                </c:pt>
                <c:pt idx="198">
                  <c:v>45252</c:v>
                </c:pt>
                <c:pt idx="199">
                  <c:v>45259</c:v>
                </c:pt>
                <c:pt idx="200">
                  <c:v>45266</c:v>
                </c:pt>
                <c:pt idx="201">
                  <c:v>45273</c:v>
                </c:pt>
                <c:pt idx="202">
                  <c:v>45280</c:v>
                </c:pt>
                <c:pt idx="203">
                  <c:v>45287</c:v>
                </c:pt>
                <c:pt idx="204">
                  <c:v>45294</c:v>
                </c:pt>
                <c:pt idx="205">
                  <c:v>45301</c:v>
                </c:pt>
                <c:pt idx="206">
                  <c:v>45308</c:v>
                </c:pt>
                <c:pt idx="207">
                  <c:v>45315</c:v>
                </c:pt>
                <c:pt idx="208">
                  <c:v>45322</c:v>
                </c:pt>
                <c:pt idx="209">
                  <c:v>45329</c:v>
                </c:pt>
                <c:pt idx="210">
                  <c:v>45336</c:v>
                </c:pt>
                <c:pt idx="211">
                  <c:v>45343</c:v>
                </c:pt>
                <c:pt idx="212">
                  <c:v>45350</c:v>
                </c:pt>
                <c:pt idx="213">
                  <c:v>45357</c:v>
                </c:pt>
                <c:pt idx="214">
                  <c:v>45364</c:v>
                </c:pt>
                <c:pt idx="215">
                  <c:v>45371</c:v>
                </c:pt>
                <c:pt idx="216">
                  <c:v>45378</c:v>
                </c:pt>
                <c:pt idx="217">
                  <c:v>45385</c:v>
                </c:pt>
                <c:pt idx="218">
                  <c:v>45392</c:v>
                </c:pt>
                <c:pt idx="219">
                  <c:v>45399</c:v>
                </c:pt>
                <c:pt idx="220">
                  <c:v>45406</c:v>
                </c:pt>
                <c:pt idx="221">
                  <c:v>45413</c:v>
                </c:pt>
                <c:pt idx="222">
                  <c:v>45420</c:v>
                </c:pt>
                <c:pt idx="223">
                  <c:v>45427</c:v>
                </c:pt>
                <c:pt idx="224">
                  <c:v>45434</c:v>
                </c:pt>
                <c:pt idx="225">
                  <c:v>45441</c:v>
                </c:pt>
                <c:pt idx="226">
                  <c:v>45448</c:v>
                </c:pt>
                <c:pt idx="227">
                  <c:v>45455</c:v>
                </c:pt>
                <c:pt idx="228">
                  <c:v>45462</c:v>
                </c:pt>
                <c:pt idx="229">
                  <c:v>45469</c:v>
                </c:pt>
                <c:pt idx="230">
                  <c:v>45476</c:v>
                </c:pt>
                <c:pt idx="231">
                  <c:v>45483</c:v>
                </c:pt>
                <c:pt idx="232">
                  <c:v>45490</c:v>
                </c:pt>
                <c:pt idx="233">
                  <c:v>45497</c:v>
                </c:pt>
                <c:pt idx="234">
                  <c:v>45504</c:v>
                </c:pt>
                <c:pt idx="235">
                  <c:v>45511</c:v>
                </c:pt>
                <c:pt idx="236">
                  <c:v>45518</c:v>
                </c:pt>
                <c:pt idx="237">
                  <c:v>45525</c:v>
                </c:pt>
                <c:pt idx="238">
                  <c:v>45532</c:v>
                </c:pt>
                <c:pt idx="239">
                  <c:v>45539</c:v>
                </c:pt>
                <c:pt idx="240">
                  <c:v>45546</c:v>
                </c:pt>
                <c:pt idx="241">
                  <c:v>45553</c:v>
                </c:pt>
                <c:pt idx="242">
                  <c:v>45560</c:v>
                </c:pt>
                <c:pt idx="243">
                  <c:v>45567</c:v>
                </c:pt>
                <c:pt idx="244">
                  <c:v>45574</c:v>
                </c:pt>
                <c:pt idx="245">
                  <c:v>45581</c:v>
                </c:pt>
                <c:pt idx="246">
                  <c:v>45588</c:v>
                </c:pt>
                <c:pt idx="247">
                  <c:v>45595</c:v>
                </c:pt>
                <c:pt idx="248">
                  <c:v>45602</c:v>
                </c:pt>
                <c:pt idx="249">
                  <c:v>45609</c:v>
                </c:pt>
                <c:pt idx="250">
                  <c:v>45616</c:v>
                </c:pt>
                <c:pt idx="251">
                  <c:v>45623</c:v>
                </c:pt>
                <c:pt idx="252">
                  <c:v>45630</c:v>
                </c:pt>
                <c:pt idx="253">
                  <c:v>45637</c:v>
                </c:pt>
                <c:pt idx="254">
                  <c:v>45644</c:v>
                </c:pt>
                <c:pt idx="255">
                  <c:v>45651</c:v>
                </c:pt>
                <c:pt idx="256">
                  <c:v>45658</c:v>
                </c:pt>
                <c:pt idx="257">
                  <c:v>45665</c:v>
                </c:pt>
                <c:pt idx="258">
                  <c:v>45672</c:v>
                </c:pt>
                <c:pt idx="259">
                  <c:v>45679</c:v>
                </c:pt>
                <c:pt idx="260">
                  <c:v>45686</c:v>
                </c:pt>
                <c:pt idx="261">
                  <c:v>45693</c:v>
                </c:pt>
                <c:pt idx="262">
                  <c:v>45700</c:v>
                </c:pt>
                <c:pt idx="263">
                  <c:v>45707</c:v>
                </c:pt>
                <c:pt idx="264">
                  <c:v>45714</c:v>
                </c:pt>
                <c:pt idx="265">
                  <c:v>45721</c:v>
                </c:pt>
                <c:pt idx="266">
                  <c:v>45728</c:v>
                </c:pt>
                <c:pt idx="267">
                  <c:v>45735</c:v>
                </c:pt>
                <c:pt idx="268">
                  <c:v>45742</c:v>
                </c:pt>
                <c:pt idx="269">
                  <c:v>45749</c:v>
                </c:pt>
                <c:pt idx="270">
                  <c:v>45756</c:v>
                </c:pt>
                <c:pt idx="271">
                  <c:v>45763</c:v>
                </c:pt>
                <c:pt idx="272">
                  <c:v>45770</c:v>
                </c:pt>
                <c:pt idx="273">
                  <c:v>45777</c:v>
                </c:pt>
                <c:pt idx="274">
                  <c:v>45784</c:v>
                </c:pt>
                <c:pt idx="275">
                  <c:v>45791</c:v>
                </c:pt>
                <c:pt idx="276">
                  <c:v>45798</c:v>
                </c:pt>
                <c:pt idx="277">
                  <c:v>45805</c:v>
                </c:pt>
                <c:pt idx="278">
                  <c:v>45812</c:v>
                </c:pt>
                <c:pt idx="279">
                  <c:v>45819</c:v>
                </c:pt>
                <c:pt idx="280">
                  <c:v>45826</c:v>
                </c:pt>
                <c:pt idx="281">
                  <c:v>45833</c:v>
                </c:pt>
                <c:pt idx="282">
                  <c:v>45840</c:v>
                </c:pt>
                <c:pt idx="283">
                  <c:v>45847</c:v>
                </c:pt>
                <c:pt idx="284">
                  <c:v>45854</c:v>
                </c:pt>
                <c:pt idx="285">
                  <c:v>45861</c:v>
                </c:pt>
                <c:pt idx="286">
                  <c:v>45868</c:v>
                </c:pt>
                <c:pt idx="287">
                  <c:v>45875</c:v>
                </c:pt>
                <c:pt idx="288">
                  <c:v>45882</c:v>
                </c:pt>
                <c:pt idx="289">
                  <c:v>45889</c:v>
                </c:pt>
                <c:pt idx="290">
                  <c:v>45896</c:v>
                </c:pt>
                <c:pt idx="291">
                  <c:v>45903</c:v>
                </c:pt>
                <c:pt idx="292">
                  <c:v>45910</c:v>
                </c:pt>
                <c:pt idx="293">
                  <c:v>45917</c:v>
                </c:pt>
                <c:pt idx="294">
                  <c:v>45924</c:v>
                </c:pt>
                <c:pt idx="295">
                  <c:v>45931</c:v>
                </c:pt>
                <c:pt idx="296">
                  <c:v>45938</c:v>
                </c:pt>
                <c:pt idx="297">
                  <c:v>45945</c:v>
                </c:pt>
              </c:numCache>
            </c:numRef>
          </c:cat>
          <c:val>
            <c:numRef>
              <c:f>资产负债表!$R$9:$R$306</c:f>
              <c:numCache>
                <c:formatCode>General</c:formatCode>
                <c:ptCount val="298"/>
                <c:pt idx="0">
                  <c:v>16528.73</c:v>
                </c:pt>
                <c:pt idx="1">
                  <c:v>16950.82</c:v>
                </c:pt>
                <c:pt idx="2">
                  <c:v>16590.21</c:v>
                </c:pt>
                <c:pt idx="3">
                  <c:v>16800.7</c:v>
                </c:pt>
                <c:pt idx="4">
                  <c:v>17350.060000000001</c:v>
                </c:pt>
                <c:pt idx="5">
                  <c:v>17799.900000000001</c:v>
                </c:pt>
                <c:pt idx="6">
                  <c:v>19453.939999999999</c:v>
                </c:pt>
                <c:pt idx="7">
                  <c:v>23477.47</c:v>
                </c:pt>
                <c:pt idx="8">
                  <c:v>26843.98</c:v>
                </c:pt>
                <c:pt idx="9">
                  <c:v>27745.06</c:v>
                </c:pt>
                <c:pt idx="10">
                  <c:v>30698.74</c:v>
                </c:pt>
                <c:pt idx="11">
                  <c:v>30999.8</c:v>
                </c:pt>
                <c:pt idx="12">
                  <c:v>31635.13</c:v>
                </c:pt>
                <c:pt idx="13">
                  <c:v>31656.06</c:v>
                </c:pt>
                <c:pt idx="14">
                  <c:v>32634.31</c:v>
                </c:pt>
                <c:pt idx="15">
                  <c:v>33042.21</c:v>
                </c:pt>
                <c:pt idx="16">
                  <c:v>33176.879999999997</c:v>
                </c:pt>
                <c:pt idx="17">
                  <c:v>32574.35</c:v>
                </c:pt>
                <c:pt idx="18">
                  <c:v>31906.54</c:v>
                </c:pt>
                <c:pt idx="19">
                  <c:v>30694.39</c:v>
                </c:pt>
                <c:pt idx="20">
                  <c:v>29376.57</c:v>
                </c:pt>
                <c:pt idx="21">
                  <c:v>28631.96</c:v>
                </c:pt>
                <c:pt idx="22">
                  <c:v>28132.959999999999</c:v>
                </c:pt>
                <c:pt idx="23">
                  <c:v>27326.49</c:v>
                </c:pt>
                <c:pt idx="24">
                  <c:v>26596.58</c:v>
                </c:pt>
                <c:pt idx="25">
                  <c:v>26853.759999999998</c:v>
                </c:pt>
                <c:pt idx="26">
                  <c:v>27535.31</c:v>
                </c:pt>
                <c:pt idx="27">
                  <c:v>28281.7</c:v>
                </c:pt>
                <c:pt idx="28">
                  <c:v>28218.53</c:v>
                </c:pt>
                <c:pt idx="29">
                  <c:v>28754</c:v>
                </c:pt>
                <c:pt idx="30">
                  <c:v>28506</c:v>
                </c:pt>
                <c:pt idx="31">
                  <c:v>29068.54</c:v>
                </c:pt>
                <c:pt idx="32">
                  <c:v>28693.11</c:v>
                </c:pt>
                <c:pt idx="33">
                  <c:v>28480.85</c:v>
                </c:pt>
                <c:pt idx="34">
                  <c:v>27432.46</c:v>
                </c:pt>
                <c:pt idx="35">
                  <c:v>28633.57</c:v>
                </c:pt>
                <c:pt idx="36">
                  <c:v>29077.34</c:v>
                </c:pt>
                <c:pt idx="37">
                  <c:v>28901.3</c:v>
                </c:pt>
                <c:pt idx="38">
                  <c:v>29472.560000000001</c:v>
                </c:pt>
                <c:pt idx="39">
                  <c:v>29795.37</c:v>
                </c:pt>
                <c:pt idx="40">
                  <c:v>29920.99</c:v>
                </c:pt>
                <c:pt idx="41">
                  <c:v>30332.29</c:v>
                </c:pt>
                <c:pt idx="42">
                  <c:v>31438.63</c:v>
                </c:pt>
                <c:pt idx="43">
                  <c:v>31012.35</c:v>
                </c:pt>
                <c:pt idx="44">
                  <c:v>31476.560000000001</c:v>
                </c:pt>
                <c:pt idx="45">
                  <c:v>31688.26</c:v>
                </c:pt>
                <c:pt idx="46">
                  <c:v>31773.1</c:v>
                </c:pt>
                <c:pt idx="47">
                  <c:v>31429.77</c:v>
                </c:pt>
                <c:pt idx="48">
                  <c:v>31637.79</c:v>
                </c:pt>
                <c:pt idx="49">
                  <c:v>32008.69</c:v>
                </c:pt>
                <c:pt idx="50">
                  <c:v>31498.07</c:v>
                </c:pt>
                <c:pt idx="51">
                  <c:v>32287.51</c:v>
                </c:pt>
                <c:pt idx="52">
                  <c:v>32027.22</c:v>
                </c:pt>
                <c:pt idx="53">
                  <c:v>32986.39</c:v>
                </c:pt>
                <c:pt idx="54">
                  <c:v>34078.71</c:v>
                </c:pt>
                <c:pt idx="55">
                  <c:v>33842.620000000003</c:v>
                </c:pt>
                <c:pt idx="56">
                  <c:v>35648.5</c:v>
                </c:pt>
                <c:pt idx="57">
                  <c:v>36467.32</c:v>
                </c:pt>
                <c:pt idx="58">
                  <c:v>38733.230000000003</c:v>
                </c:pt>
                <c:pt idx="59">
                  <c:v>38091.39</c:v>
                </c:pt>
                <c:pt idx="60">
                  <c:v>36727.019999999997</c:v>
                </c:pt>
                <c:pt idx="61">
                  <c:v>39440.550000000003</c:v>
                </c:pt>
                <c:pt idx="62">
                  <c:v>39364.54</c:v>
                </c:pt>
                <c:pt idx="63">
                  <c:v>37674.54</c:v>
                </c:pt>
                <c:pt idx="64">
                  <c:v>38890.18</c:v>
                </c:pt>
                <c:pt idx="65">
                  <c:v>39008.03</c:v>
                </c:pt>
                <c:pt idx="66">
                  <c:v>39558.639999999999</c:v>
                </c:pt>
                <c:pt idx="67">
                  <c:v>38239.81</c:v>
                </c:pt>
                <c:pt idx="68">
                  <c:v>38516.230000000003</c:v>
                </c:pt>
                <c:pt idx="69">
                  <c:v>38482.620000000003</c:v>
                </c:pt>
                <c:pt idx="70">
                  <c:v>39167.25</c:v>
                </c:pt>
                <c:pt idx="71">
                  <c:v>39057.360000000001</c:v>
                </c:pt>
                <c:pt idx="72">
                  <c:v>37657.14</c:v>
                </c:pt>
                <c:pt idx="73">
                  <c:v>35116.300000000003</c:v>
                </c:pt>
                <c:pt idx="74">
                  <c:v>38562.03</c:v>
                </c:pt>
                <c:pt idx="75">
                  <c:v>39447</c:v>
                </c:pt>
                <c:pt idx="76">
                  <c:v>39745.47</c:v>
                </c:pt>
                <c:pt idx="77">
                  <c:v>40010.61</c:v>
                </c:pt>
                <c:pt idx="78">
                  <c:v>40458.93</c:v>
                </c:pt>
                <c:pt idx="79">
                  <c:v>41272.9</c:v>
                </c:pt>
                <c:pt idx="80">
                  <c:v>41621.65</c:v>
                </c:pt>
                <c:pt idx="81">
                  <c:v>42034.78</c:v>
                </c:pt>
                <c:pt idx="82">
                  <c:v>42064.49</c:v>
                </c:pt>
                <c:pt idx="83">
                  <c:v>42596.03</c:v>
                </c:pt>
                <c:pt idx="84">
                  <c:v>42446.77</c:v>
                </c:pt>
                <c:pt idx="85">
                  <c:v>41379.19</c:v>
                </c:pt>
                <c:pt idx="86">
                  <c:v>40948.1</c:v>
                </c:pt>
                <c:pt idx="87">
                  <c:v>41675.440000000002</c:v>
                </c:pt>
                <c:pt idx="88">
                  <c:v>42045.1</c:v>
                </c:pt>
                <c:pt idx="89">
                  <c:v>40503.43</c:v>
                </c:pt>
                <c:pt idx="90">
                  <c:v>41231.54</c:v>
                </c:pt>
                <c:pt idx="91">
                  <c:v>41498.300000000003</c:v>
                </c:pt>
                <c:pt idx="92">
                  <c:v>41785.86</c:v>
                </c:pt>
                <c:pt idx="93">
                  <c:v>41888.370000000003</c:v>
                </c:pt>
                <c:pt idx="94">
                  <c:v>41728.07</c:v>
                </c:pt>
                <c:pt idx="95">
                  <c:v>42660.22</c:v>
                </c:pt>
                <c:pt idx="96">
                  <c:v>42556</c:v>
                </c:pt>
                <c:pt idx="97">
                  <c:v>42736.34</c:v>
                </c:pt>
                <c:pt idx="98">
                  <c:v>41049.26</c:v>
                </c:pt>
                <c:pt idx="99">
                  <c:v>40398.6</c:v>
                </c:pt>
                <c:pt idx="100">
                  <c:v>40284.6</c:v>
                </c:pt>
                <c:pt idx="101">
                  <c:v>39289.33</c:v>
                </c:pt>
                <c:pt idx="102">
                  <c:v>38217.43</c:v>
                </c:pt>
                <c:pt idx="103">
                  <c:v>38250.76</c:v>
                </c:pt>
                <c:pt idx="104">
                  <c:v>37566.17</c:v>
                </c:pt>
                <c:pt idx="105">
                  <c:v>37949.769999999997</c:v>
                </c:pt>
                <c:pt idx="106">
                  <c:v>37967.199999999997</c:v>
                </c:pt>
                <c:pt idx="107">
                  <c:v>37459.760000000002</c:v>
                </c:pt>
                <c:pt idx="108">
                  <c:v>39194.839999999997</c:v>
                </c:pt>
                <c:pt idx="109">
                  <c:v>39536.51</c:v>
                </c:pt>
                <c:pt idx="110">
                  <c:v>38934.120000000003</c:v>
                </c:pt>
                <c:pt idx="111">
                  <c:v>37690.46</c:v>
                </c:pt>
                <c:pt idx="112">
                  <c:v>37734.660000000003</c:v>
                </c:pt>
                <c:pt idx="113">
                  <c:v>38498.720000000001</c:v>
                </c:pt>
                <c:pt idx="114">
                  <c:v>37933.19</c:v>
                </c:pt>
                <c:pt idx="115">
                  <c:v>33268.57</c:v>
                </c:pt>
                <c:pt idx="116">
                  <c:v>33275.51</c:v>
                </c:pt>
                <c:pt idx="117">
                  <c:v>33139.949999999997</c:v>
                </c:pt>
                <c:pt idx="118">
                  <c:v>32956.81</c:v>
                </c:pt>
                <c:pt idx="119">
                  <c:v>32971.42</c:v>
                </c:pt>
                <c:pt idx="120">
                  <c:v>33150.18</c:v>
                </c:pt>
                <c:pt idx="121">
                  <c:v>33573.949999999997</c:v>
                </c:pt>
                <c:pt idx="122">
                  <c:v>32926.019999999997</c:v>
                </c:pt>
                <c:pt idx="123">
                  <c:v>31896.05</c:v>
                </c:pt>
                <c:pt idx="124">
                  <c:v>31155.94</c:v>
                </c:pt>
                <c:pt idx="125">
                  <c:v>31186.14</c:v>
                </c:pt>
                <c:pt idx="126">
                  <c:v>32229.31</c:v>
                </c:pt>
                <c:pt idx="127">
                  <c:v>33065.21</c:v>
                </c:pt>
                <c:pt idx="128">
                  <c:v>32351.72</c:v>
                </c:pt>
                <c:pt idx="129">
                  <c:v>32756.09</c:v>
                </c:pt>
                <c:pt idx="130">
                  <c:v>33425.19</c:v>
                </c:pt>
                <c:pt idx="131">
                  <c:v>33574.94</c:v>
                </c:pt>
                <c:pt idx="132">
                  <c:v>33337</c:v>
                </c:pt>
                <c:pt idx="133">
                  <c:v>32709.13</c:v>
                </c:pt>
                <c:pt idx="134">
                  <c:v>31158.49</c:v>
                </c:pt>
                <c:pt idx="135">
                  <c:v>32713.360000000001</c:v>
                </c:pt>
                <c:pt idx="136">
                  <c:v>31586.97</c:v>
                </c:pt>
                <c:pt idx="137">
                  <c:v>30037.41</c:v>
                </c:pt>
                <c:pt idx="138">
                  <c:v>29832.080000000002</c:v>
                </c:pt>
                <c:pt idx="139">
                  <c:v>30764.5</c:v>
                </c:pt>
                <c:pt idx="140">
                  <c:v>30903.08</c:v>
                </c:pt>
                <c:pt idx="141">
                  <c:v>30407.78</c:v>
                </c:pt>
                <c:pt idx="142">
                  <c:v>31081.47</c:v>
                </c:pt>
                <c:pt idx="143">
                  <c:v>30469.8</c:v>
                </c:pt>
                <c:pt idx="144">
                  <c:v>30712.3</c:v>
                </c:pt>
                <c:pt idx="145">
                  <c:v>31767.99</c:v>
                </c:pt>
                <c:pt idx="146">
                  <c:v>31688.49</c:v>
                </c:pt>
                <c:pt idx="147">
                  <c:v>30522.35</c:v>
                </c:pt>
                <c:pt idx="148">
                  <c:v>31490.93</c:v>
                </c:pt>
                <c:pt idx="149">
                  <c:v>31708.07</c:v>
                </c:pt>
                <c:pt idx="150">
                  <c:v>30493.32</c:v>
                </c:pt>
                <c:pt idx="151">
                  <c:v>29797.42</c:v>
                </c:pt>
                <c:pt idx="152">
                  <c:v>30419.29</c:v>
                </c:pt>
                <c:pt idx="153">
                  <c:v>31168.31</c:v>
                </c:pt>
                <c:pt idx="154">
                  <c:v>31182.37</c:v>
                </c:pt>
                <c:pt idx="155">
                  <c:v>30005.42</c:v>
                </c:pt>
                <c:pt idx="156">
                  <c:v>30302.86</c:v>
                </c:pt>
                <c:pt idx="157">
                  <c:v>30335.599999999999</c:v>
                </c:pt>
                <c:pt idx="158">
                  <c:v>31074.19</c:v>
                </c:pt>
                <c:pt idx="159">
                  <c:v>29835.58</c:v>
                </c:pt>
                <c:pt idx="160">
                  <c:v>30279.67</c:v>
                </c:pt>
                <c:pt idx="161">
                  <c:v>30036.76</c:v>
                </c:pt>
                <c:pt idx="162">
                  <c:v>34442.1</c:v>
                </c:pt>
                <c:pt idx="163">
                  <c:v>33699.86</c:v>
                </c:pt>
                <c:pt idx="164">
                  <c:v>34018</c:v>
                </c:pt>
                <c:pt idx="165">
                  <c:v>33813.51</c:v>
                </c:pt>
                <c:pt idx="166">
                  <c:v>33475.53</c:v>
                </c:pt>
                <c:pt idx="167">
                  <c:v>31648.91</c:v>
                </c:pt>
                <c:pt idx="168">
                  <c:v>31321</c:v>
                </c:pt>
                <c:pt idx="169">
                  <c:v>31662.36</c:v>
                </c:pt>
                <c:pt idx="170">
                  <c:v>32253.11</c:v>
                </c:pt>
                <c:pt idx="171">
                  <c:v>32799.870000000003</c:v>
                </c:pt>
                <c:pt idx="172">
                  <c:v>32507.71</c:v>
                </c:pt>
                <c:pt idx="173">
                  <c:v>32055.26</c:v>
                </c:pt>
                <c:pt idx="174">
                  <c:v>33061.54</c:v>
                </c:pt>
                <c:pt idx="175">
                  <c:v>33063.11</c:v>
                </c:pt>
                <c:pt idx="176">
                  <c:v>32039.63</c:v>
                </c:pt>
                <c:pt idx="177">
                  <c:v>31760.38</c:v>
                </c:pt>
                <c:pt idx="178">
                  <c:v>31796.46</c:v>
                </c:pt>
                <c:pt idx="179">
                  <c:v>31621.26</c:v>
                </c:pt>
                <c:pt idx="180">
                  <c:v>32205.9</c:v>
                </c:pt>
                <c:pt idx="181">
                  <c:v>31667.67</c:v>
                </c:pt>
                <c:pt idx="182">
                  <c:v>32173.98</c:v>
                </c:pt>
                <c:pt idx="183">
                  <c:v>32285.82</c:v>
                </c:pt>
                <c:pt idx="184">
                  <c:v>32289.53</c:v>
                </c:pt>
                <c:pt idx="185">
                  <c:v>31773.8</c:v>
                </c:pt>
                <c:pt idx="186">
                  <c:v>31965.43</c:v>
                </c:pt>
                <c:pt idx="187">
                  <c:v>32904.75</c:v>
                </c:pt>
                <c:pt idx="188">
                  <c:v>33105.31</c:v>
                </c:pt>
                <c:pt idx="189">
                  <c:v>31444.12</c:v>
                </c:pt>
                <c:pt idx="190">
                  <c:v>31685.02</c:v>
                </c:pt>
                <c:pt idx="191">
                  <c:v>32407.07</c:v>
                </c:pt>
                <c:pt idx="192">
                  <c:v>33156.5</c:v>
                </c:pt>
                <c:pt idx="193">
                  <c:v>32502.3</c:v>
                </c:pt>
                <c:pt idx="194">
                  <c:v>32639.71</c:v>
                </c:pt>
                <c:pt idx="195">
                  <c:v>33146.300000000003</c:v>
                </c:pt>
                <c:pt idx="196">
                  <c:v>33604.28</c:v>
                </c:pt>
                <c:pt idx="197">
                  <c:v>34833.25</c:v>
                </c:pt>
                <c:pt idx="198">
                  <c:v>34550.629999999997</c:v>
                </c:pt>
                <c:pt idx="199">
                  <c:v>33953.96</c:v>
                </c:pt>
                <c:pt idx="200">
                  <c:v>34967.54</c:v>
                </c:pt>
                <c:pt idx="201">
                  <c:v>35677.72</c:v>
                </c:pt>
                <c:pt idx="202">
                  <c:v>34772.879999999997</c:v>
                </c:pt>
                <c:pt idx="203">
                  <c:v>34342.14</c:v>
                </c:pt>
                <c:pt idx="204">
                  <c:v>34594.089999999997</c:v>
                </c:pt>
                <c:pt idx="205">
                  <c:v>35373.83</c:v>
                </c:pt>
                <c:pt idx="206">
                  <c:v>35923.269999999997</c:v>
                </c:pt>
                <c:pt idx="207">
                  <c:v>34897.11</c:v>
                </c:pt>
                <c:pt idx="208">
                  <c:v>34117.17</c:v>
                </c:pt>
                <c:pt idx="209">
                  <c:v>35557.379999999997</c:v>
                </c:pt>
                <c:pt idx="210">
                  <c:v>35374.69</c:v>
                </c:pt>
                <c:pt idx="211">
                  <c:v>35230.949999999997</c:v>
                </c:pt>
                <c:pt idx="212">
                  <c:v>35409.82</c:v>
                </c:pt>
                <c:pt idx="213">
                  <c:v>36206.89</c:v>
                </c:pt>
                <c:pt idx="214">
                  <c:v>35731.53</c:v>
                </c:pt>
                <c:pt idx="215">
                  <c:v>34895.769999999997</c:v>
                </c:pt>
                <c:pt idx="216">
                  <c:v>34724.03</c:v>
                </c:pt>
                <c:pt idx="217">
                  <c:v>35411.67</c:v>
                </c:pt>
                <c:pt idx="218">
                  <c:v>36156.910000000003</c:v>
                </c:pt>
                <c:pt idx="219">
                  <c:v>33295.32</c:v>
                </c:pt>
                <c:pt idx="220">
                  <c:v>32717.06</c:v>
                </c:pt>
                <c:pt idx="221">
                  <c:v>33170.35</c:v>
                </c:pt>
                <c:pt idx="222">
                  <c:v>33306.870000000003</c:v>
                </c:pt>
                <c:pt idx="223">
                  <c:v>34163.86</c:v>
                </c:pt>
                <c:pt idx="224">
                  <c:v>33750.14</c:v>
                </c:pt>
                <c:pt idx="225">
                  <c:v>33910.769999999997</c:v>
                </c:pt>
                <c:pt idx="226">
                  <c:v>34577.379999999997</c:v>
                </c:pt>
                <c:pt idx="227">
                  <c:v>34340.32</c:v>
                </c:pt>
                <c:pt idx="228">
                  <c:v>33661.67</c:v>
                </c:pt>
                <c:pt idx="229">
                  <c:v>32688.959999999999</c:v>
                </c:pt>
                <c:pt idx="230">
                  <c:v>33221.65</c:v>
                </c:pt>
                <c:pt idx="231">
                  <c:v>33410.47</c:v>
                </c:pt>
                <c:pt idx="232">
                  <c:v>33224.46</c:v>
                </c:pt>
                <c:pt idx="233">
                  <c:v>32758.85</c:v>
                </c:pt>
                <c:pt idx="234">
                  <c:v>31787</c:v>
                </c:pt>
                <c:pt idx="235">
                  <c:v>33729.19</c:v>
                </c:pt>
                <c:pt idx="236">
                  <c:v>33389.160000000003</c:v>
                </c:pt>
                <c:pt idx="237">
                  <c:v>33590.78</c:v>
                </c:pt>
                <c:pt idx="238">
                  <c:v>32449.59</c:v>
                </c:pt>
                <c:pt idx="239">
                  <c:v>32646.05</c:v>
                </c:pt>
                <c:pt idx="240">
                  <c:v>33597.410000000003</c:v>
                </c:pt>
                <c:pt idx="241">
                  <c:v>32168.22</c:v>
                </c:pt>
                <c:pt idx="242">
                  <c:v>31415.65</c:v>
                </c:pt>
                <c:pt idx="243">
                  <c:v>30972.1</c:v>
                </c:pt>
                <c:pt idx="244">
                  <c:v>31970.45</c:v>
                </c:pt>
                <c:pt idx="245">
                  <c:v>32288.38</c:v>
                </c:pt>
                <c:pt idx="246">
                  <c:v>32284.62</c:v>
                </c:pt>
                <c:pt idx="247">
                  <c:v>32157.94</c:v>
                </c:pt>
                <c:pt idx="248">
                  <c:v>32555.32</c:v>
                </c:pt>
                <c:pt idx="249">
                  <c:v>31920.48</c:v>
                </c:pt>
                <c:pt idx="250">
                  <c:v>32673.29</c:v>
                </c:pt>
                <c:pt idx="251">
                  <c:v>32340.35</c:v>
                </c:pt>
                <c:pt idx="252">
                  <c:v>32161.49</c:v>
                </c:pt>
                <c:pt idx="253">
                  <c:v>32738.06</c:v>
                </c:pt>
                <c:pt idx="254">
                  <c:v>32374.59</c:v>
                </c:pt>
                <c:pt idx="255">
                  <c:v>32184.76</c:v>
                </c:pt>
                <c:pt idx="256">
                  <c:v>28923.63</c:v>
                </c:pt>
                <c:pt idx="257">
                  <c:v>33324.36</c:v>
                </c:pt>
                <c:pt idx="258">
                  <c:v>33590.410000000003</c:v>
                </c:pt>
                <c:pt idx="259">
                  <c:v>33311.96</c:v>
                </c:pt>
                <c:pt idx="260">
                  <c:v>32006.560000000001</c:v>
                </c:pt>
                <c:pt idx="261">
                  <c:v>32333.279999999999</c:v>
                </c:pt>
                <c:pt idx="262">
                  <c:v>32554.07</c:v>
                </c:pt>
                <c:pt idx="263">
                  <c:v>32761.41</c:v>
                </c:pt>
                <c:pt idx="264">
                  <c:v>33807.61</c:v>
                </c:pt>
                <c:pt idx="265">
                  <c:v>33811.74</c:v>
                </c:pt>
                <c:pt idx="266">
                  <c:v>34596.870000000003</c:v>
                </c:pt>
                <c:pt idx="267">
                  <c:v>34257.129999999997</c:v>
                </c:pt>
                <c:pt idx="268">
                  <c:v>34505.5</c:v>
                </c:pt>
                <c:pt idx="269">
                  <c:v>34270.49</c:v>
                </c:pt>
                <c:pt idx="270">
                  <c:v>34843.449999999997</c:v>
                </c:pt>
                <c:pt idx="271">
                  <c:v>32808.449999999997</c:v>
                </c:pt>
                <c:pt idx="272">
                  <c:v>32089.15</c:v>
                </c:pt>
                <c:pt idx="273">
                  <c:v>30002.77</c:v>
                </c:pt>
                <c:pt idx="274">
                  <c:v>32006.19</c:v>
                </c:pt>
                <c:pt idx="275">
                  <c:v>32357.15</c:v>
                </c:pt>
                <c:pt idx="276">
                  <c:v>32837.65</c:v>
                </c:pt>
                <c:pt idx="277">
                  <c:v>32940.14</c:v>
                </c:pt>
                <c:pt idx="278">
                  <c:v>33619.379999999997</c:v>
                </c:pt>
                <c:pt idx="279">
                  <c:v>34296.75</c:v>
                </c:pt>
                <c:pt idx="280">
                  <c:v>33229.910000000003</c:v>
                </c:pt>
                <c:pt idx="281">
                  <c:v>33472.74</c:v>
                </c:pt>
                <c:pt idx="282">
                  <c:v>32565.02</c:v>
                </c:pt>
                <c:pt idx="283">
                  <c:v>33419.99</c:v>
                </c:pt>
                <c:pt idx="284">
                  <c:v>33750.36</c:v>
                </c:pt>
                <c:pt idx="285">
                  <c:v>33583.83</c:v>
                </c:pt>
                <c:pt idx="286">
                  <c:v>32996.959999999999</c:v>
                </c:pt>
                <c:pt idx="287">
                  <c:v>33303.72</c:v>
                </c:pt>
                <c:pt idx="288">
                  <c:v>33283.46</c:v>
                </c:pt>
                <c:pt idx="289">
                  <c:v>32976.35</c:v>
                </c:pt>
                <c:pt idx="290">
                  <c:v>32168.51</c:v>
                </c:pt>
                <c:pt idx="291">
                  <c:v>31679.05</c:v>
                </c:pt>
                <c:pt idx="292">
                  <c:v>31509.13</c:v>
                </c:pt>
                <c:pt idx="293">
                  <c:v>30203.63</c:v>
                </c:pt>
                <c:pt idx="294">
                  <c:v>29996.92</c:v>
                </c:pt>
                <c:pt idx="295">
                  <c:v>29795.94</c:v>
                </c:pt>
                <c:pt idx="296">
                  <c:v>30338.55</c:v>
                </c:pt>
                <c:pt idx="297">
                  <c:v>29882.02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7-439C-BF20-4A6E584C243F}"/>
            </c:ext>
          </c:extLst>
        </c:ser>
        <c:ser>
          <c:idx val="1"/>
          <c:order val="1"/>
          <c:tx>
            <c:strRef>
              <c:f>资产负债表!$X$3</c:f>
              <c:strCache>
                <c:ptCount val="1"/>
                <c:pt idx="0">
                  <c:v>总负债</c:v>
                </c:pt>
              </c:strCache>
            </c:strRef>
          </c:tx>
          <c:spPr>
            <a:ln w="15875" cap="rnd">
              <a:solidFill>
                <a:srgbClr val="D80C18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资产负债表!$I$9:$I$306</c:f>
              <c:numCache>
                <c:formatCode>yyyy\-mm\-dd</c:formatCode>
                <c:ptCount val="298"/>
                <c:pt idx="0">
                  <c:v>43866</c:v>
                </c:pt>
                <c:pt idx="1">
                  <c:v>43873</c:v>
                </c:pt>
                <c:pt idx="2">
                  <c:v>43880</c:v>
                </c:pt>
                <c:pt idx="3">
                  <c:v>43887</c:v>
                </c:pt>
                <c:pt idx="4">
                  <c:v>43894</c:v>
                </c:pt>
                <c:pt idx="5">
                  <c:v>43901</c:v>
                </c:pt>
                <c:pt idx="6">
                  <c:v>43908</c:v>
                </c:pt>
                <c:pt idx="7">
                  <c:v>43915</c:v>
                </c:pt>
                <c:pt idx="8">
                  <c:v>43922</c:v>
                </c:pt>
                <c:pt idx="9">
                  <c:v>43929</c:v>
                </c:pt>
                <c:pt idx="10">
                  <c:v>43936</c:v>
                </c:pt>
                <c:pt idx="11">
                  <c:v>43943</c:v>
                </c:pt>
                <c:pt idx="12">
                  <c:v>43950</c:v>
                </c:pt>
                <c:pt idx="13">
                  <c:v>43957</c:v>
                </c:pt>
                <c:pt idx="14">
                  <c:v>43964</c:v>
                </c:pt>
                <c:pt idx="15">
                  <c:v>43971</c:v>
                </c:pt>
                <c:pt idx="16">
                  <c:v>43978</c:v>
                </c:pt>
                <c:pt idx="17">
                  <c:v>43985</c:v>
                </c:pt>
                <c:pt idx="18">
                  <c:v>43992</c:v>
                </c:pt>
                <c:pt idx="19">
                  <c:v>43999</c:v>
                </c:pt>
                <c:pt idx="20">
                  <c:v>44006</c:v>
                </c:pt>
                <c:pt idx="21">
                  <c:v>44013</c:v>
                </c:pt>
                <c:pt idx="22">
                  <c:v>44020</c:v>
                </c:pt>
                <c:pt idx="23">
                  <c:v>44027</c:v>
                </c:pt>
                <c:pt idx="24">
                  <c:v>44034</c:v>
                </c:pt>
                <c:pt idx="25">
                  <c:v>44041</c:v>
                </c:pt>
                <c:pt idx="26">
                  <c:v>44048</c:v>
                </c:pt>
                <c:pt idx="27">
                  <c:v>44055</c:v>
                </c:pt>
                <c:pt idx="28">
                  <c:v>44062</c:v>
                </c:pt>
                <c:pt idx="29">
                  <c:v>44069</c:v>
                </c:pt>
                <c:pt idx="30">
                  <c:v>44076</c:v>
                </c:pt>
                <c:pt idx="31">
                  <c:v>44083</c:v>
                </c:pt>
                <c:pt idx="32">
                  <c:v>44090</c:v>
                </c:pt>
                <c:pt idx="33">
                  <c:v>44097</c:v>
                </c:pt>
                <c:pt idx="34">
                  <c:v>44104</c:v>
                </c:pt>
                <c:pt idx="35">
                  <c:v>44111</c:v>
                </c:pt>
                <c:pt idx="36">
                  <c:v>44118</c:v>
                </c:pt>
                <c:pt idx="37">
                  <c:v>44125</c:v>
                </c:pt>
                <c:pt idx="38">
                  <c:v>44132</c:v>
                </c:pt>
                <c:pt idx="39">
                  <c:v>44139</c:v>
                </c:pt>
                <c:pt idx="40">
                  <c:v>44146</c:v>
                </c:pt>
                <c:pt idx="41">
                  <c:v>44153</c:v>
                </c:pt>
                <c:pt idx="42">
                  <c:v>44160</c:v>
                </c:pt>
                <c:pt idx="43">
                  <c:v>44167</c:v>
                </c:pt>
                <c:pt idx="44">
                  <c:v>44174</c:v>
                </c:pt>
                <c:pt idx="45">
                  <c:v>44181</c:v>
                </c:pt>
                <c:pt idx="46">
                  <c:v>44188</c:v>
                </c:pt>
                <c:pt idx="47">
                  <c:v>44195</c:v>
                </c:pt>
                <c:pt idx="48">
                  <c:v>44202</c:v>
                </c:pt>
                <c:pt idx="49">
                  <c:v>44209</c:v>
                </c:pt>
                <c:pt idx="50">
                  <c:v>44216</c:v>
                </c:pt>
                <c:pt idx="51">
                  <c:v>44223</c:v>
                </c:pt>
                <c:pt idx="52">
                  <c:v>44230</c:v>
                </c:pt>
                <c:pt idx="53">
                  <c:v>44237</c:v>
                </c:pt>
                <c:pt idx="54">
                  <c:v>44244</c:v>
                </c:pt>
                <c:pt idx="55">
                  <c:v>44251</c:v>
                </c:pt>
                <c:pt idx="56">
                  <c:v>44258</c:v>
                </c:pt>
                <c:pt idx="57">
                  <c:v>44265</c:v>
                </c:pt>
                <c:pt idx="58">
                  <c:v>44272</c:v>
                </c:pt>
                <c:pt idx="59">
                  <c:v>44279</c:v>
                </c:pt>
                <c:pt idx="60">
                  <c:v>44286</c:v>
                </c:pt>
                <c:pt idx="61">
                  <c:v>44293</c:v>
                </c:pt>
                <c:pt idx="62">
                  <c:v>44300</c:v>
                </c:pt>
                <c:pt idx="63">
                  <c:v>44307</c:v>
                </c:pt>
                <c:pt idx="64">
                  <c:v>44314</c:v>
                </c:pt>
                <c:pt idx="65">
                  <c:v>44321</c:v>
                </c:pt>
                <c:pt idx="66">
                  <c:v>44328</c:v>
                </c:pt>
                <c:pt idx="67">
                  <c:v>44335</c:v>
                </c:pt>
                <c:pt idx="68">
                  <c:v>44342</c:v>
                </c:pt>
                <c:pt idx="69">
                  <c:v>44349</c:v>
                </c:pt>
                <c:pt idx="70">
                  <c:v>44356</c:v>
                </c:pt>
                <c:pt idx="71">
                  <c:v>44363</c:v>
                </c:pt>
                <c:pt idx="72">
                  <c:v>44370</c:v>
                </c:pt>
                <c:pt idx="73">
                  <c:v>44377</c:v>
                </c:pt>
                <c:pt idx="74">
                  <c:v>44384</c:v>
                </c:pt>
                <c:pt idx="75">
                  <c:v>44391</c:v>
                </c:pt>
                <c:pt idx="76">
                  <c:v>44398</c:v>
                </c:pt>
                <c:pt idx="77">
                  <c:v>44405</c:v>
                </c:pt>
                <c:pt idx="78">
                  <c:v>44412</c:v>
                </c:pt>
                <c:pt idx="79">
                  <c:v>44419</c:v>
                </c:pt>
                <c:pt idx="80">
                  <c:v>44426</c:v>
                </c:pt>
                <c:pt idx="81">
                  <c:v>44433</c:v>
                </c:pt>
                <c:pt idx="82">
                  <c:v>44440</c:v>
                </c:pt>
                <c:pt idx="83">
                  <c:v>44447</c:v>
                </c:pt>
                <c:pt idx="84">
                  <c:v>44454</c:v>
                </c:pt>
                <c:pt idx="85">
                  <c:v>44461</c:v>
                </c:pt>
                <c:pt idx="86">
                  <c:v>44468</c:v>
                </c:pt>
                <c:pt idx="87">
                  <c:v>44475</c:v>
                </c:pt>
                <c:pt idx="88">
                  <c:v>44482</c:v>
                </c:pt>
                <c:pt idx="89">
                  <c:v>44489</c:v>
                </c:pt>
                <c:pt idx="90">
                  <c:v>44496</c:v>
                </c:pt>
                <c:pt idx="91">
                  <c:v>44503</c:v>
                </c:pt>
                <c:pt idx="92">
                  <c:v>44510</c:v>
                </c:pt>
                <c:pt idx="93">
                  <c:v>44517</c:v>
                </c:pt>
                <c:pt idx="94">
                  <c:v>44524</c:v>
                </c:pt>
                <c:pt idx="95">
                  <c:v>44531</c:v>
                </c:pt>
                <c:pt idx="96">
                  <c:v>44538</c:v>
                </c:pt>
                <c:pt idx="97">
                  <c:v>44545</c:v>
                </c:pt>
                <c:pt idx="98">
                  <c:v>44552</c:v>
                </c:pt>
                <c:pt idx="99">
                  <c:v>44559</c:v>
                </c:pt>
                <c:pt idx="100">
                  <c:v>44566</c:v>
                </c:pt>
                <c:pt idx="101">
                  <c:v>44573</c:v>
                </c:pt>
                <c:pt idx="102">
                  <c:v>44580</c:v>
                </c:pt>
                <c:pt idx="103">
                  <c:v>44587</c:v>
                </c:pt>
                <c:pt idx="104">
                  <c:v>44594</c:v>
                </c:pt>
                <c:pt idx="105">
                  <c:v>44601</c:v>
                </c:pt>
                <c:pt idx="106">
                  <c:v>44608</c:v>
                </c:pt>
                <c:pt idx="107">
                  <c:v>44615</c:v>
                </c:pt>
                <c:pt idx="108">
                  <c:v>44622</c:v>
                </c:pt>
                <c:pt idx="109">
                  <c:v>44629</c:v>
                </c:pt>
                <c:pt idx="110">
                  <c:v>44636</c:v>
                </c:pt>
                <c:pt idx="111">
                  <c:v>44643</c:v>
                </c:pt>
                <c:pt idx="112">
                  <c:v>44650</c:v>
                </c:pt>
                <c:pt idx="113">
                  <c:v>44657</c:v>
                </c:pt>
                <c:pt idx="114">
                  <c:v>44664</c:v>
                </c:pt>
                <c:pt idx="115">
                  <c:v>44671</c:v>
                </c:pt>
                <c:pt idx="116">
                  <c:v>44678</c:v>
                </c:pt>
                <c:pt idx="117">
                  <c:v>44685</c:v>
                </c:pt>
                <c:pt idx="118">
                  <c:v>44692</c:v>
                </c:pt>
                <c:pt idx="119">
                  <c:v>44699</c:v>
                </c:pt>
                <c:pt idx="120">
                  <c:v>44706</c:v>
                </c:pt>
                <c:pt idx="121">
                  <c:v>44713</c:v>
                </c:pt>
                <c:pt idx="122">
                  <c:v>44720</c:v>
                </c:pt>
                <c:pt idx="123">
                  <c:v>44727</c:v>
                </c:pt>
                <c:pt idx="124">
                  <c:v>44734</c:v>
                </c:pt>
                <c:pt idx="125">
                  <c:v>44741</c:v>
                </c:pt>
                <c:pt idx="126">
                  <c:v>44748</c:v>
                </c:pt>
                <c:pt idx="127">
                  <c:v>44755</c:v>
                </c:pt>
                <c:pt idx="128">
                  <c:v>44762</c:v>
                </c:pt>
                <c:pt idx="129">
                  <c:v>44769</c:v>
                </c:pt>
                <c:pt idx="130">
                  <c:v>44776</c:v>
                </c:pt>
                <c:pt idx="131">
                  <c:v>44783</c:v>
                </c:pt>
                <c:pt idx="132">
                  <c:v>44790</c:v>
                </c:pt>
                <c:pt idx="133">
                  <c:v>44797</c:v>
                </c:pt>
                <c:pt idx="134">
                  <c:v>44804</c:v>
                </c:pt>
                <c:pt idx="135">
                  <c:v>44811</c:v>
                </c:pt>
                <c:pt idx="136">
                  <c:v>44818</c:v>
                </c:pt>
                <c:pt idx="137">
                  <c:v>44825</c:v>
                </c:pt>
                <c:pt idx="138">
                  <c:v>44832</c:v>
                </c:pt>
                <c:pt idx="139">
                  <c:v>44839</c:v>
                </c:pt>
                <c:pt idx="140">
                  <c:v>44846</c:v>
                </c:pt>
                <c:pt idx="141">
                  <c:v>44853</c:v>
                </c:pt>
                <c:pt idx="142">
                  <c:v>44860</c:v>
                </c:pt>
                <c:pt idx="143">
                  <c:v>44867</c:v>
                </c:pt>
                <c:pt idx="144">
                  <c:v>44874</c:v>
                </c:pt>
                <c:pt idx="145">
                  <c:v>44881</c:v>
                </c:pt>
                <c:pt idx="146">
                  <c:v>44888</c:v>
                </c:pt>
                <c:pt idx="147">
                  <c:v>44895</c:v>
                </c:pt>
                <c:pt idx="148">
                  <c:v>44902</c:v>
                </c:pt>
                <c:pt idx="149">
                  <c:v>44909</c:v>
                </c:pt>
                <c:pt idx="150">
                  <c:v>44916</c:v>
                </c:pt>
                <c:pt idx="151">
                  <c:v>44923</c:v>
                </c:pt>
                <c:pt idx="152">
                  <c:v>44930</c:v>
                </c:pt>
                <c:pt idx="153">
                  <c:v>44937</c:v>
                </c:pt>
                <c:pt idx="154">
                  <c:v>44944</c:v>
                </c:pt>
                <c:pt idx="155">
                  <c:v>44951</c:v>
                </c:pt>
                <c:pt idx="156">
                  <c:v>44958</c:v>
                </c:pt>
                <c:pt idx="157">
                  <c:v>44965</c:v>
                </c:pt>
                <c:pt idx="158">
                  <c:v>44972</c:v>
                </c:pt>
                <c:pt idx="159">
                  <c:v>44979</c:v>
                </c:pt>
                <c:pt idx="160">
                  <c:v>44986</c:v>
                </c:pt>
                <c:pt idx="161">
                  <c:v>44993</c:v>
                </c:pt>
                <c:pt idx="162">
                  <c:v>45000</c:v>
                </c:pt>
                <c:pt idx="163">
                  <c:v>45007</c:v>
                </c:pt>
                <c:pt idx="164">
                  <c:v>45014</c:v>
                </c:pt>
                <c:pt idx="165">
                  <c:v>45021</c:v>
                </c:pt>
                <c:pt idx="166">
                  <c:v>45028</c:v>
                </c:pt>
                <c:pt idx="167">
                  <c:v>45035</c:v>
                </c:pt>
                <c:pt idx="168">
                  <c:v>45042</c:v>
                </c:pt>
                <c:pt idx="169">
                  <c:v>45049</c:v>
                </c:pt>
                <c:pt idx="170">
                  <c:v>45056</c:v>
                </c:pt>
                <c:pt idx="171">
                  <c:v>45063</c:v>
                </c:pt>
                <c:pt idx="172">
                  <c:v>45070</c:v>
                </c:pt>
                <c:pt idx="173">
                  <c:v>45077</c:v>
                </c:pt>
                <c:pt idx="174">
                  <c:v>45084</c:v>
                </c:pt>
                <c:pt idx="175">
                  <c:v>45091</c:v>
                </c:pt>
                <c:pt idx="176">
                  <c:v>45098</c:v>
                </c:pt>
                <c:pt idx="177">
                  <c:v>45105</c:v>
                </c:pt>
                <c:pt idx="178">
                  <c:v>45112</c:v>
                </c:pt>
                <c:pt idx="179">
                  <c:v>45119</c:v>
                </c:pt>
                <c:pt idx="180">
                  <c:v>45126</c:v>
                </c:pt>
                <c:pt idx="181">
                  <c:v>45133</c:v>
                </c:pt>
                <c:pt idx="182">
                  <c:v>45140</c:v>
                </c:pt>
                <c:pt idx="183">
                  <c:v>45147</c:v>
                </c:pt>
                <c:pt idx="184">
                  <c:v>45154</c:v>
                </c:pt>
                <c:pt idx="185">
                  <c:v>45161</c:v>
                </c:pt>
                <c:pt idx="186">
                  <c:v>45168</c:v>
                </c:pt>
                <c:pt idx="187">
                  <c:v>45175</c:v>
                </c:pt>
                <c:pt idx="188">
                  <c:v>45182</c:v>
                </c:pt>
                <c:pt idx="189">
                  <c:v>45189</c:v>
                </c:pt>
                <c:pt idx="190">
                  <c:v>45196</c:v>
                </c:pt>
                <c:pt idx="191">
                  <c:v>45203</c:v>
                </c:pt>
                <c:pt idx="192">
                  <c:v>45210</c:v>
                </c:pt>
                <c:pt idx="193">
                  <c:v>45217</c:v>
                </c:pt>
                <c:pt idx="194">
                  <c:v>45224</c:v>
                </c:pt>
                <c:pt idx="195">
                  <c:v>45231</c:v>
                </c:pt>
                <c:pt idx="196">
                  <c:v>45238</c:v>
                </c:pt>
                <c:pt idx="197">
                  <c:v>45245</c:v>
                </c:pt>
                <c:pt idx="198">
                  <c:v>45252</c:v>
                </c:pt>
                <c:pt idx="199">
                  <c:v>45259</c:v>
                </c:pt>
                <c:pt idx="200">
                  <c:v>45266</c:v>
                </c:pt>
                <c:pt idx="201">
                  <c:v>45273</c:v>
                </c:pt>
                <c:pt idx="202">
                  <c:v>45280</c:v>
                </c:pt>
                <c:pt idx="203">
                  <c:v>45287</c:v>
                </c:pt>
                <c:pt idx="204">
                  <c:v>45294</c:v>
                </c:pt>
                <c:pt idx="205">
                  <c:v>45301</c:v>
                </c:pt>
                <c:pt idx="206">
                  <c:v>45308</c:v>
                </c:pt>
                <c:pt idx="207">
                  <c:v>45315</c:v>
                </c:pt>
                <c:pt idx="208">
                  <c:v>45322</c:v>
                </c:pt>
                <c:pt idx="209">
                  <c:v>45329</c:v>
                </c:pt>
                <c:pt idx="210">
                  <c:v>45336</c:v>
                </c:pt>
                <c:pt idx="211">
                  <c:v>45343</c:v>
                </c:pt>
                <c:pt idx="212">
                  <c:v>45350</c:v>
                </c:pt>
                <c:pt idx="213">
                  <c:v>45357</c:v>
                </c:pt>
                <c:pt idx="214">
                  <c:v>45364</c:v>
                </c:pt>
                <c:pt idx="215">
                  <c:v>45371</c:v>
                </c:pt>
                <c:pt idx="216">
                  <c:v>45378</c:v>
                </c:pt>
                <c:pt idx="217">
                  <c:v>45385</c:v>
                </c:pt>
                <c:pt idx="218">
                  <c:v>45392</c:v>
                </c:pt>
                <c:pt idx="219">
                  <c:v>45399</c:v>
                </c:pt>
                <c:pt idx="220">
                  <c:v>45406</c:v>
                </c:pt>
                <c:pt idx="221">
                  <c:v>45413</c:v>
                </c:pt>
                <c:pt idx="222">
                  <c:v>45420</c:v>
                </c:pt>
                <c:pt idx="223">
                  <c:v>45427</c:v>
                </c:pt>
                <c:pt idx="224">
                  <c:v>45434</c:v>
                </c:pt>
                <c:pt idx="225">
                  <c:v>45441</c:v>
                </c:pt>
                <c:pt idx="226">
                  <c:v>45448</c:v>
                </c:pt>
                <c:pt idx="227">
                  <c:v>45455</c:v>
                </c:pt>
                <c:pt idx="228">
                  <c:v>45462</c:v>
                </c:pt>
                <c:pt idx="229">
                  <c:v>45469</c:v>
                </c:pt>
                <c:pt idx="230">
                  <c:v>45476</c:v>
                </c:pt>
                <c:pt idx="231">
                  <c:v>45483</c:v>
                </c:pt>
                <c:pt idx="232">
                  <c:v>45490</c:v>
                </c:pt>
                <c:pt idx="233">
                  <c:v>45497</c:v>
                </c:pt>
                <c:pt idx="234">
                  <c:v>45504</c:v>
                </c:pt>
                <c:pt idx="235">
                  <c:v>45511</c:v>
                </c:pt>
                <c:pt idx="236">
                  <c:v>45518</c:v>
                </c:pt>
                <c:pt idx="237">
                  <c:v>45525</c:v>
                </c:pt>
                <c:pt idx="238">
                  <c:v>45532</c:v>
                </c:pt>
                <c:pt idx="239">
                  <c:v>45539</c:v>
                </c:pt>
                <c:pt idx="240">
                  <c:v>45546</c:v>
                </c:pt>
                <c:pt idx="241">
                  <c:v>45553</c:v>
                </c:pt>
                <c:pt idx="242">
                  <c:v>45560</c:v>
                </c:pt>
                <c:pt idx="243">
                  <c:v>45567</c:v>
                </c:pt>
                <c:pt idx="244">
                  <c:v>45574</c:v>
                </c:pt>
                <c:pt idx="245">
                  <c:v>45581</c:v>
                </c:pt>
                <c:pt idx="246">
                  <c:v>45588</c:v>
                </c:pt>
                <c:pt idx="247">
                  <c:v>45595</c:v>
                </c:pt>
                <c:pt idx="248">
                  <c:v>45602</c:v>
                </c:pt>
                <c:pt idx="249">
                  <c:v>45609</c:v>
                </c:pt>
                <c:pt idx="250">
                  <c:v>45616</c:v>
                </c:pt>
                <c:pt idx="251">
                  <c:v>45623</c:v>
                </c:pt>
                <c:pt idx="252">
                  <c:v>45630</c:v>
                </c:pt>
                <c:pt idx="253">
                  <c:v>45637</c:v>
                </c:pt>
                <c:pt idx="254">
                  <c:v>45644</c:v>
                </c:pt>
                <c:pt idx="255">
                  <c:v>45651</c:v>
                </c:pt>
                <c:pt idx="256">
                  <c:v>45658</c:v>
                </c:pt>
                <c:pt idx="257">
                  <c:v>45665</c:v>
                </c:pt>
                <c:pt idx="258">
                  <c:v>45672</c:v>
                </c:pt>
                <c:pt idx="259">
                  <c:v>45679</c:v>
                </c:pt>
                <c:pt idx="260">
                  <c:v>45686</c:v>
                </c:pt>
                <c:pt idx="261">
                  <c:v>45693</c:v>
                </c:pt>
                <c:pt idx="262">
                  <c:v>45700</c:v>
                </c:pt>
                <c:pt idx="263">
                  <c:v>45707</c:v>
                </c:pt>
                <c:pt idx="264">
                  <c:v>45714</c:v>
                </c:pt>
                <c:pt idx="265">
                  <c:v>45721</c:v>
                </c:pt>
                <c:pt idx="266">
                  <c:v>45728</c:v>
                </c:pt>
                <c:pt idx="267">
                  <c:v>45735</c:v>
                </c:pt>
                <c:pt idx="268">
                  <c:v>45742</c:v>
                </c:pt>
                <c:pt idx="269">
                  <c:v>45749</c:v>
                </c:pt>
                <c:pt idx="270">
                  <c:v>45756</c:v>
                </c:pt>
                <c:pt idx="271">
                  <c:v>45763</c:v>
                </c:pt>
                <c:pt idx="272">
                  <c:v>45770</c:v>
                </c:pt>
                <c:pt idx="273">
                  <c:v>45777</c:v>
                </c:pt>
                <c:pt idx="274">
                  <c:v>45784</c:v>
                </c:pt>
                <c:pt idx="275">
                  <c:v>45791</c:v>
                </c:pt>
                <c:pt idx="276">
                  <c:v>45798</c:v>
                </c:pt>
                <c:pt idx="277">
                  <c:v>45805</c:v>
                </c:pt>
                <c:pt idx="278">
                  <c:v>45812</c:v>
                </c:pt>
                <c:pt idx="279">
                  <c:v>45819</c:v>
                </c:pt>
                <c:pt idx="280">
                  <c:v>45826</c:v>
                </c:pt>
                <c:pt idx="281">
                  <c:v>45833</c:v>
                </c:pt>
                <c:pt idx="282">
                  <c:v>45840</c:v>
                </c:pt>
                <c:pt idx="283">
                  <c:v>45847</c:v>
                </c:pt>
                <c:pt idx="284">
                  <c:v>45854</c:v>
                </c:pt>
                <c:pt idx="285">
                  <c:v>45861</c:v>
                </c:pt>
                <c:pt idx="286">
                  <c:v>45868</c:v>
                </c:pt>
                <c:pt idx="287">
                  <c:v>45875</c:v>
                </c:pt>
                <c:pt idx="288">
                  <c:v>45882</c:v>
                </c:pt>
                <c:pt idx="289">
                  <c:v>45889</c:v>
                </c:pt>
                <c:pt idx="290">
                  <c:v>45896</c:v>
                </c:pt>
                <c:pt idx="291">
                  <c:v>45903</c:v>
                </c:pt>
                <c:pt idx="292">
                  <c:v>45910</c:v>
                </c:pt>
                <c:pt idx="293">
                  <c:v>45917</c:v>
                </c:pt>
                <c:pt idx="294">
                  <c:v>45924</c:v>
                </c:pt>
                <c:pt idx="295">
                  <c:v>45931</c:v>
                </c:pt>
                <c:pt idx="296">
                  <c:v>45938</c:v>
                </c:pt>
                <c:pt idx="297">
                  <c:v>45945</c:v>
                </c:pt>
              </c:numCache>
            </c:numRef>
          </c:cat>
          <c:val>
            <c:numRef>
              <c:f>资产负债表!$X$9:$X$306</c:f>
              <c:numCache>
                <c:formatCode>General</c:formatCode>
                <c:ptCount val="298"/>
                <c:pt idx="0">
                  <c:v>41282.050000000003</c:v>
                </c:pt>
                <c:pt idx="1">
                  <c:v>41441.69</c:v>
                </c:pt>
                <c:pt idx="2">
                  <c:v>41330.25</c:v>
                </c:pt>
                <c:pt idx="3">
                  <c:v>41200.86</c:v>
                </c:pt>
                <c:pt idx="4">
                  <c:v>42029.49</c:v>
                </c:pt>
                <c:pt idx="5">
                  <c:v>42733.17</c:v>
                </c:pt>
                <c:pt idx="6">
                  <c:v>46296.04</c:v>
                </c:pt>
                <c:pt idx="7">
                  <c:v>52154.83</c:v>
                </c:pt>
                <c:pt idx="8">
                  <c:v>57727.8</c:v>
                </c:pt>
                <c:pt idx="9">
                  <c:v>60443.09</c:v>
                </c:pt>
                <c:pt idx="10">
                  <c:v>63290.55</c:v>
                </c:pt>
                <c:pt idx="11">
                  <c:v>65343.040000000001</c:v>
                </c:pt>
                <c:pt idx="12">
                  <c:v>66170.91</c:v>
                </c:pt>
                <c:pt idx="13">
                  <c:v>66825.490000000005</c:v>
                </c:pt>
                <c:pt idx="14">
                  <c:v>68953.36</c:v>
                </c:pt>
                <c:pt idx="15">
                  <c:v>69983.649999999994</c:v>
                </c:pt>
                <c:pt idx="16">
                  <c:v>70584.02</c:v>
                </c:pt>
                <c:pt idx="17">
                  <c:v>71263</c:v>
                </c:pt>
                <c:pt idx="18">
                  <c:v>71300.210000000006</c:v>
                </c:pt>
                <c:pt idx="19">
                  <c:v>70557.759999999995</c:v>
                </c:pt>
                <c:pt idx="20">
                  <c:v>70433.91</c:v>
                </c:pt>
                <c:pt idx="21">
                  <c:v>69701.95</c:v>
                </c:pt>
                <c:pt idx="22">
                  <c:v>68819.55</c:v>
                </c:pt>
                <c:pt idx="23">
                  <c:v>69198.429999999993</c:v>
                </c:pt>
                <c:pt idx="24">
                  <c:v>69259.94</c:v>
                </c:pt>
                <c:pt idx="25">
                  <c:v>69102.41</c:v>
                </c:pt>
                <c:pt idx="26">
                  <c:v>69063.62</c:v>
                </c:pt>
                <c:pt idx="27">
                  <c:v>69183.91</c:v>
                </c:pt>
                <c:pt idx="28">
                  <c:v>69717.600000000006</c:v>
                </c:pt>
                <c:pt idx="29">
                  <c:v>69514.87</c:v>
                </c:pt>
                <c:pt idx="30">
                  <c:v>69784.11</c:v>
                </c:pt>
                <c:pt idx="31">
                  <c:v>69715.22</c:v>
                </c:pt>
                <c:pt idx="32">
                  <c:v>70253.75</c:v>
                </c:pt>
                <c:pt idx="33">
                  <c:v>70540.53</c:v>
                </c:pt>
                <c:pt idx="34">
                  <c:v>70169.119999999995</c:v>
                </c:pt>
                <c:pt idx="35">
                  <c:v>70354.31</c:v>
                </c:pt>
                <c:pt idx="36">
                  <c:v>71122.039999999994</c:v>
                </c:pt>
                <c:pt idx="37">
                  <c:v>71380.42</c:v>
                </c:pt>
                <c:pt idx="38">
                  <c:v>71070.820000000007</c:v>
                </c:pt>
                <c:pt idx="39">
                  <c:v>71182.58</c:v>
                </c:pt>
                <c:pt idx="40">
                  <c:v>71361.94</c:v>
                </c:pt>
                <c:pt idx="41">
                  <c:v>72038.55</c:v>
                </c:pt>
                <c:pt idx="42">
                  <c:v>71772.56</c:v>
                </c:pt>
                <c:pt idx="43">
                  <c:v>71831.87</c:v>
                </c:pt>
                <c:pt idx="44">
                  <c:v>72034.28</c:v>
                </c:pt>
                <c:pt idx="45">
                  <c:v>73233.53</c:v>
                </c:pt>
                <c:pt idx="46">
                  <c:v>73648</c:v>
                </c:pt>
                <c:pt idx="47">
                  <c:v>73241.5</c:v>
                </c:pt>
                <c:pt idx="48">
                  <c:v>72956.039999999994</c:v>
                </c:pt>
                <c:pt idx="49">
                  <c:v>72947.63</c:v>
                </c:pt>
                <c:pt idx="50">
                  <c:v>73757.37</c:v>
                </c:pt>
                <c:pt idx="51">
                  <c:v>73657.210000000006</c:v>
                </c:pt>
                <c:pt idx="52">
                  <c:v>73713.95</c:v>
                </c:pt>
                <c:pt idx="53">
                  <c:v>74030.429999999993</c:v>
                </c:pt>
                <c:pt idx="54">
                  <c:v>75182.05</c:v>
                </c:pt>
                <c:pt idx="55">
                  <c:v>75509.17</c:v>
                </c:pt>
                <c:pt idx="56">
                  <c:v>75183.23</c:v>
                </c:pt>
                <c:pt idx="57">
                  <c:v>75406.929999999993</c:v>
                </c:pt>
                <c:pt idx="58">
                  <c:v>76542.87</c:v>
                </c:pt>
                <c:pt idx="59">
                  <c:v>76804</c:v>
                </c:pt>
                <c:pt idx="60">
                  <c:v>76497.34</c:v>
                </c:pt>
                <c:pt idx="61">
                  <c:v>76696.160000000003</c:v>
                </c:pt>
                <c:pt idx="62">
                  <c:v>77538.36</c:v>
                </c:pt>
                <c:pt idx="63">
                  <c:v>77816.789999999994</c:v>
                </c:pt>
                <c:pt idx="64">
                  <c:v>77416.929999999993</c:v>
                </c:pt>
                <c:pt idx="65">
                  <c:v>77712.13</c:v>
                </c:pt>
                <c:pt idx="66">
                  <c:v>77912.72</c:v>
                </c:pt>
                <c:pt idx="67">
                  <c:v>78834.62</c:v>
                </c:pt>
                <c:pt idx="68">
                  <c:v>78640.34</c:v>
                </c:pt>
                <c:pt idx="69">
                  <c:v>78961.95</c:v>
                </c:pt>
                <c:pt idx="70">
                  <c:v>79128.149999999994</c:v>
                </c:pt>
                <c:pt idx="71">
                  <c:v>80246.539999999994</c:v>
                </c:pt>
                <c:pt idx="72">
                  <c:v>80623.41</c:v>
                </c:pt>
                <c:pt idx="73">
                  <c:v>80389.399999999994</c:v>
                </c:pt>
                <c:pt idx="74">
                  <c:v>80581.7</c:v>
                </c:pt>
                <c:pt idx="75">
                  <c:v>81620.47</c:v>
                </c:pt>
                <c:pt idx="76">
                  <c:v>82009.240000000005</c:v>
                </c:pt>
                <c:pt idx="77">
                  <c:v>81818.75</c:v>
                </c:pt>
                <c:pt idx="78">
                  <c:v>81953.759999999995</c:v>
                </c:pt>
                <c:pt idx="79">
                  <c:v>82174.25</c:v>
                </c:pt>
                <c:pt idx="80">
                  <c:v>83028.56</c:v>
                </c:pt>
                <c:pt idx="81">
                  <c:v>82929.78</c:v>
                </c:pt>
                <c:pt idx="82">
                  <c:v>83093.78</c:v>
                </c:pt>
                <c:pt idx="83">
                  <c:v>83174.28</c:v>
                </c:pt>
                <c:pt idx="84">
                  <c:v>84089.07</c:v>
                </c:pt>
                <c:pt idx="85">
                  <c:v>84499.56</c:v>
                </c:pt>
                <c:pt idx="86">
                  <c:v>84081.07</c:v>
                </c:pt>
                <c:pt idx="87">
                  <c:v>84241.8</c:v>
                </c:pt>
                <c:pt idx="88">
                  <c:v>84410.79</c:v>
                </c:pt>
                <c:pt idx="89">
                  <c:v>85250.83</c:v>
                </c:pt>
                <c:pt idx="90">
                  <c:v>85163.18</c:v>
                </c:pt>
                <c:pt idx="91">
                  <c:v>85350.05</c:v>
                </c:pt>
                <c:pt idx="92">
                  <c:v>86232.08</c:v>
                </c:pt>
                <c:pt idx="93">
                  <c:v>86343.3</c:v>
                </c:pt>
                <c:pt idx="94">
                  <c:v>86411.25</c:v>
                </c:pt>
                <c:pt idx="95">
                  <c:v>86097.49</c:v>
                </c:pt>
                <c:pt idx="96">
                  <c:v>86238.68</c:v>
                </c:pt>
                <c:pt idx="97">
                  <c:v>87160.01</c:v>
                </c:pt>
                <c:pt idx="98">
                  <c:v>87498.34</c:v>
                </c:pt>
                <c:pt idx="99">
                  <c:v>87167.99</c:v>
                </c:pt>
                <c:pt idx="100">
                  <c:v>87252.23</c:v>
                </c:pt>
                <c:pt idx="101">
                  <c:v>87477.81</c:v>
                </c:pt>
                <c:pt idx="102">
                  <c:v>88273.35</c:v>
                </c:pt>
                <c:pt idx="103">
                  <c:v>88199.78</c:v>
                </c:pt>
                <c:pt idx="104">
                  <c:v>88326.56</c:v>
                </c:pt>
                <c:pt idx="105">
                  <c:v>88374.720000000001</c:v>
                </c:pt>
                <c:pt idx="106">
                  <c:v>88705.72</c:v>
                </c:pt>
                <c:pt idx="107">
                  <c:v>88875.96</c:v>
                </c:pt>
                <c:pt idx="108">
                  <c:v>88633.46</c:v>
                </c:pt>
                <c:pt idx="109">
                  <c:v>88696.39</c:v>
                </c:pt>
                <c:pt idx="110">
                  <c:v>89131.98</c:v>
                </c:pt>
                <c:pt idx="111">
                  <c:v>89213.65</c:v>
                </c:pt>
                <c:pt idx="112">
                  <c:v>88960.34</c:v>
                </c:pt>
                <c:pt idx="113">
                  <c:v>88964.32</c:v>
                </c:pt>
                <c:pt idx="114">
                  <c:v>89242.69</c:v>
                </c:pt>
                <c:pt idx="115">
                  <c:v>89146.06</c:v>
                </c:pt>
                <c:pt idx="116">
                  <c:v>88979.39</c:v>
                </c:pt>
                <c:pt idx="117">
                  <c:v>88987.13</c:v>
                </c:pt>
                <c:pt idx="118">
                  <c:v>89003.94</c:v>
                </c:pt>
                <c:pt idx="119">
                  <c:v>89042.84</c:v>
                </c:pt>
                <c:pt idx="120">
                  <c:v>88726.68</c:v>
                </c:pt>
                <c:pt idx="121">
                  <c:v>88734.36</c:v>
                </c:pt>
                <c:pt idx="122">
                  <c:v>88765.86</c:v>
                </c:pt>
                <c:pt idx="123">
                  <c:v>88907.47</c:v>
                </c:pt>
                <c:pt idx="124">
                  <c:v>88926.73</c:v>
                </c:pt>
                <c:pt idx="125">
                  <c:v>88718.49</c:v>
                </c:pt>
                <c:pt idx="126">
                  <c:v>88501.47</c:v>
                </c:pt>
                <c:pt idx="127">
                  <c:v>88541.61</c:v>
                </c:pt>
                <c:pt idx="128">
                  <c:v>88575.06</c:v>
                </c:pt>
                <c:pt idx="129">
                  <c:v>88482.95</c:v>
                </c:pt>
                <c:pt idx="130">
                  <c:v>88329.09</c:v>
                </c:pt>
                <c:pt idx="131">
                  <c:v>88373.43</c:v>
                </c:pt>
                <c:pt idx="132">
                  <c:v>88079.66</c:v>
                </c:pt>
                <c:pt idx="133">
                  <c:v>88096.39</c:v>
                </c:pt>
                <c:pt idx="134">
                  <c:v>87842.92</c:v>
                </c:pt>
                <c:pt idx="135">
                  <c:v>87805.66</c:v>
                </c:pt>
                <c:pt idx="136">
                  <c:v>87909.25</c:v>
                </c:pt>
                <c:pt idx="137">
                  <c:v>87749.54</c:v>
                </c:pt>
                <c:pt idx="138">
                  <c:v>87537.2</c:v>
                </c:pt>
                <c:pt idx="139">
                  <c:v>87171.94</c:v>
                </c:pt>
                <c:pt idx="140">
                  <c:v>87170.98</c:v>
                </c:pt>
                <c:pt idx="141">
                  <c:v>87020.5</c:v>
                </c:pt>
                <c:pt idx="142">
                  <c:v>86812.160000000003</c:v>
                </c:pt>
                <c:pt idx="143">
                  <c:v>86349.95</c:v>
                </c:pt>
                <c:pt idx="144">
                  <c:v>86373</c:v>
                </c:pt>
                <c:pt idx="145">
                  <c:v>85840.35</c:v>
                </c:pt>
                <c:pt idx="146">
                  <c:v>85798.05</c:v>
                </c:pt>
                <c:pt idx="147">
                  <c:v>85429.91</c:v>
                </c:pt>
                <c:pt idx="148">
                  <c:v>85409.4</c:v>
                </c:pt>
                <c:pt idx="149">
                  <c:v>85416.15</c:v>
                </c:pt>
                <c:pt idx="150">
                  <c:v>85226.12</c:v>
                </c:pt>
                <c:pt idx="151">
                  <c:v>85093.7</c:v>
                </c:pt>
                <c:pt idx="152">
                  <c:v>84656.06</c:v>
                </c:pt>
                <c:pt idx="153">
                  <c:v>84667.61</c:v>
                </c:pt>
                <c:pt idx="154">
                  <c:v>84472.13</c:v>
                </c:pt>
                <c:pt idx="155">
                  <c:v>84287.31</c:v>
                </c:pt>
                <c:pt idx="156">
                  <c:v>83917.69</c:v>
                </c:pt>
                <c:pt idx="157">
                  <c:v>83928.37</c:v>
                </c:pt>
                <c:pt idx="158">
                  <c:v>83422.31</c:v>
                </c:pt>
                <c:pt idx="159">
                  <c:v>83396.53</c:v>
                </c:pt>
                <c:pt idx="160">
                  <c:v>82971.42</c:v>
                </c:pt>
                <c:pt idx="161">
                  <c:v>82997.850000000006</c:v>
                </c:pt>
                <c:pt idx="162">
                  <c:v>85967.99</c:v>
                </c:pt>
                <c:pt idx="163">
                  <c:v>86912.86</c:v>
                </c:pt>
                <c:pt idx="164">
                  <c:v>86637.4</c:v>
                </c:pt>
                <c:pt idx="165">
                  <c:v>85901.82</c:v>
                </c:pt>
                <c:pt idx="166">
                  <c:v>85725.95</c:v>
                </c:pt>
                <c:pt idx="167">
                  <c:v>85510.61</c:v>
                </c:pt>
                <c:pt idx="168">
                  <c:v>85205.63</c:v>
                </c:pt>
                <c:pt idx="169">
                  <c:v>84617.89</c:v>
                </c:pt>
                <c:pt idx="170">
                  <c:v>84606.14</c:v>
                </c:pt>
                <c:pt idx="171">
                  <c:v>84143.58</c:v>
                </c:pt>
                <c:pt idx="172">
                  <c:v>83938.54</c:v>
                </c:pt>
                <c:pt idx="173">
                  <c:v>83434.460000000006</c:v>
                </c:pt>
                <c:pt idx="174">
                  <c:v>83469.119999999995</c:v>
                </c:pt>
                <c:pt idx="175">
                  <c:v>83459.100000000006</c:v>
                </c:pt>
                <c:pt idx="176">
                  <c:v>83196.45</c:v>
                </c:pt>
                <c:pt idx="177">
                  <c:v>82984.990000000005</c:v>
                </c:pt>
                <c:pt idx="178">
                  <c:v>82558.960000000006</c:v>
                </c:pt>
                <c:pt idx="179">
                  <c:v>82545.070000000007</c:v>
                </c:pt>
                <c:pt idx="180">
                  <c:v>82321.38</c:v>
                </c:pt>
                <c:pt idx="181">
                  <c:v>82009.3</c:v>
                </c:pt>
                <c:pt idx="182">
                  <c:v>81642.22</c:v>
                </c:pt>
                <c:pt idx="183">
                  <c:v>81655.31</c:v>
                </c:pt>
                <c:pt idx="184">
                  <c:v>81030.080000000002</c:v>
                </c:pt>
                <c:pt idx="185">
                  <c:v>80963.47</c:v>
                </c:pt>
                <c:pt idx="186">
                  <c:v>80785.97</c:v>
                </c:pt>
                <c:pt idx="187">
                  <c:v>80585.98</c:v>
                </c:pt>
                <c:pt idx="188">
                  <c:v>80560.59</c:v>
                </c:pt>
                <c:pt idx="189">
                  <c:v>79813.600000000006</c:v>
                </c:pt>
                <c:pt idx="190">
                  <c:v>79593.34</c:v>
                </c:pt>
                <c:pt idx="191">
                  <c:v>79130.509999999995</c:v>
                </c:pt>
                <c:pt idx="192">
                  <c:v>79093.240000000005</c:v>
                </c:pt>
                <c:pt idx="193">
                  <c:v>78904.289999999994</c:v>
                </c:pt>
                <c:pt idx="194">
                  <c:v>78650.97</c:v>
                </c:pt>
                <c:pt idx="195">
                  <c:v>78239.289999999994</c:v>
                </c:pt>
                <c:pt idx="196">
                  <c:v>78179.149999999994</c:v>
                </c:pt>
                <c:pt idx="197">
                  <c:v>77722.149999999994</c:v>
                </c:pt>
                <c:pt idx="198">
                  <c:v>77680.39</c:v>
                </c:pt>
                <c:pt idx="199">
                  <c:v>77533.69</c:v>
                </c:pt>
                <c:pt idx="200">
                  <c:v>76945.350000000006</c:v>
                </c:pt>
                <c:pt idx="201">
                  <c:v>76967.16</c:v>
                </c:pt>
                <c:pt idx="202">
                  <c:v>76812.13</c:v>
                </c:pt>
                <c:pt idx="203">
                  <c:v>76699.320000000007</c:v>
                </c:pt>
                <c:pt idx="204">
                  <c:v>76381.740000000005</c:v>
                </c:pt>
                <c:pt idx="205">
                  <c:v>76438.600000000006</c:v>
                </c:pt>
                <c:pt idx="206">
                  <c:v>76308.899999999994</c:v>
                </c:pt>
                <c:pt idx="207">
                  <c:v>76343.789999999994</c:v>
                </c:pt>
                <c:pt idx="208">
                  <c:v>75872.73</c:v>
                </c:pt>
                <c:pt idx="209">
                  <c:v>75881.61</c:v>
                </c:pt>
                <c:pt idx="210">
                  <c:v>75907.350000000006</c:v>
                </c:pt>
                <c:pt idx="211">
                  <c:v>75385.42</c:v>
                </c:pt>
                <c:pt idx="212">
                  <c:v>75246.67</c:v>
                </c:pt>
                <c:pt idx="213">
                  <c:v>74957.149999999994</c:v>
                </c:pt>
                <c:pt idx="214">
                  <c:v>74988.27</c:v>
                </c:pt>
                <c:pt idx="215">
                  <c:v>74712.06</c:v>
                </c:pt>
                <c:pt idx="216">
                  <c:v>74415.960000000006</c:v>
                </c:pt>
                <c:pt idx="217">
                  <c:v>73964.179999999993</c:v>
                </c:pt>
                <c:pt idx="218">
                  <c:v>73950.36</c:v>
                </c:pt>
                <c:pt idx="219">
                  <c:v>73623.66</c:v>
                </c:pt>
                <c:pt idx="220">
                  <c:v>73592.94</c:v>
                </c:pt>
                <c:pt idx="221">
                  <c:v>73193.34</c:v>
                </c:pt>
                <c:pt idx="222">
                  <c:v>73102.179999999993</c:v>
                </c:pt>
                <c:pt idx="223">
                  <c:v>72610.820000000007</c:v>
                </c:pt>
                <c:pt idx="224">
                  <c:v>72563.759999999995</c:v>
                </c:pt>
                <c:pt idx="225">
                  <c:v>72411.289999999994</c:v>
                </c:pt>
                <c:pt idx="226">
                  <c:v>72124</c:v>
                </c:pt>
                <c:pt idx="227">
                  <c:v>72156.88</c:v>
                </c:pt>
                <c:pt idx="228">
                  <c:v>72092.55</c:v>
                </c:pt>
                <c:pt idx="229">
                  <c:v>71878.69</c:v>
                </c:pt>
                <c:pt idx="230">
                  <c:v>71782.22</c:v>
                </c:pt>
                <c:pt idx="231">
                  <c:v>71807.820000000007</c:v>
                </c:pt>
                <c:pt idx="232">
                  <c:v>71649.490000000005</c:v>
                </c:pt>
                <c:pt idx="233">
                  <c:v>71621.58</c:v>
                </c:pt>
                <c:pt idx="234">
                  <c:v>71350.929999999993</c:v>
                </c:pt>
                <c:pt idx="235">
                  <c:v>71318.48</c:v>
                </c:pt>
                <c:pt idx="236">
                  <c:v>71342.8</c:v>
                </c:pt>
                <c:pt idx="237">
                  <c:v>70965.440000000002</c:v>
                </c:pt>
                <c:pt idx="238">
                  <c:v>70798.28</c:v>
                </c:pt>
                <c:pt idx="239">
                  <c:v>70691.5</c:v>
                </c:pt>
                <c:pt idx="240">
                  <c:v>70715.83</c:v>
                </c:pt>
                <c:pt idx="241">
                  <c:v>70657.070000000007</c:v>
                </c:pt>
                <c:pt idx="242">
                  <c:v>70366.36</c:v>
                </c:pt>
                <c:pt idx="243">
                  <c:v>70034.850000000006</c:v>
                </c:pt>
                <c:pt idx="244">
                  <c:v>70033.929999999993</c:v>
                </c:pt>
                <c:pt idx="245">
                  <c:v>69958.34</c:v>
                </c:pt>
                <c:pt idx="246">
                  <c:v>69859.58</c:v>
                </c:pt>
                <c:pt idx="247">
                  <c:v>69699.960000000006</c:v>
                </c:pt>
                <c:pt idx="248">
                  <c:v>69506.61</c:v>
                </c:pt>
                <c:pt idx="249">
                  <c:v>69234.7</c:v>
                </c:pt>
                <c:pt idx="250">
                  <c:v>68800.929999999993</c:v>
                </c:pt>
                <c:pt idx="251">
                  <c:v>68612.100000000006</c:v>
                </c:pt>
                <c:pt idx="252">
                  <c:v>68518.77</c:v>
                </c:pt>
                <c:pt idx="253">
                  <c:v>68535.350000000006</c:v>
                </c:pt>
                <c:pt idx="254">
                  <c:v>68453.8</c:v>
                </c:pt>
                <c:pt idx="255">
                  <c:v>68420.11</c:v>
                </c:pt>
                <c:pt idx="256">
                  <c:v>68085.240000000005</c:v>
                </c:pt>
                <c:pt idx="257">
                  <c:v>68095.02</c:v>
                </c:pt>
                <c:pt idx="258">
                  <c:v>67900.14</c:v>
                </c:pt>
                <c:pt idx="259">
                  <c:v>67877.05</c:v>
                </c:pt>
                <c:pt idx="260">
                  <c:v>67741.119999999995</c:v>
                </c:pt>
                <c:pt idx="261">
                  <c:v>67667.360000000001</c:v>
                </c:pt>
                <c:pt idx="262">
                  <c:v>67693.14</c:v>
                </c:pt>
                <c:pt idx="263">
                  <c:v>67381.33</c:v>
                </c:pt>
                <c:pt idx="264">
                  <c:v>67219.02</c:v>
                </c:pt>
                <c:pt idx="265">
                  <c:v>67125.490000000005</c:v>
                </c:pt>
                <c:pt idx="266">
                  <c:v>67153.56</c:v>
                </c:pt>
                <c:pt idx="267">
                  <c:v>67117.600000000006</c:v>
                </c:pt>
                <c:pt idx="268">
                  <c:v>66960.320000000007</c:v>
                </c:pt>
                <c:pt idx="269">
                  <c:v>66792.639999999999</c:v>
                </c:pt>
                <c:pt idx="270">
                  <c:v>66832.289999999994</c:v>
                </c:pt>
                <c:pt idx="271">
                  <c:v>66828.87</c:v>
                </c:pt>
                <c:pt idx="272">
                  <c:v>66827.03</c:v>
                </c:pt>
                <c:pt idx="273">
                  <c:v>66650.5</c:v>
                </c:pt>
                <c:pt idx="274">
                  <c:v>66665.45</c:v>
                </c:pt>
                <c:pt idx="275">
                  <c:v>66689.27</c:v>
                </c:pt>
                <c:pt idx="276">
                  <c:v>66432.08</c:v>
                </c:pt>
                <c:pt idx="277">
                  <c:v>66277.27</c:v>
                </c:pt>
                <c:pt idx="278">
                  <c:v>66273.69</c:v>
                </c:pt>
                <c:pt idx="279">
                  <c:v>66316.39</c:v>
                </c:pt>
                <c:pt idx="280">
                  <c:v>66355.41</c:v>
                </c:pt>
                <c:pt idx="281">
                  <c:v>66166.61</c:v>
                </c:pt>
                <c:pt idx="282">
                  <c:v>66140.45</c:v>
                </c:pt>
                <c:pt idx="283">
                  <c:v>66163.570000000007</c:v>
                </c:pt>
                <c:pt idx="284">
                  <c:v>66137.16</c:v>
                </c:pt>
                <c:pt idx="285">
                  <c:v>66121.570000000007</c:v>
                </c:pt>
                <c:pt idx="286">
                  <c:v>65970.2</c:v>
                </c:pt>
                <c:pt idx="287">
                  <c:v>65951</c:v>
                </c:pt>
                <c:pt idx="288">
                  <c:v>65978.720000000001</c:v>
                </c:pt>
                <c:pt idx="289">
                  <c:v>65726.720000000001</c:v>
                </c:pt>
                <c:pt idx="290">
                  <c:v>65576.41</c:v>
                </c:pt>
                <c:pt idx="291">
                  <c:v>65563.509999999995</c:v>
                </c:pt>
                <c:pt idx="292">
                  <c:v>65602.44</c:v>
                </c:pt>
                <c:pt idx="293">
                  <c:v>65628.789999999994</c:v>
                </c:pt>
                <c:pt idx="294">
                  <c:v>65626.44</c:v>
                </c:pt>
                <c:pt idx="295">
                  <c:v>65413.71</c:v>
                </c:pt>
                <c:pt idx="296">
                  <c:v>65450.44</c:v>
                </c:pt>
                <c:pt idx="297">
                  <c:v>65506.720000000001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67-439C-BF20-4A6E584C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负债端规模（单位：亿美元）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81641</xdr:colOff>
      <xdr:row>2</xdr:row>
      <xdr:rowOff>38100</xdr:rowOff>
    </xdr:from>
    <xdr:to>
      <xdr:col>2</xdr:col>
      <xdr:colOff>1011463</xdr:colOff>
      <xdr:row>2</xdr:row>
      <xdr:rowOff>265806</xdr:rowOff>
    </xdr:to>
    <xdr:pic>
      <xdr:nvPicPr>
        <xdr:cNvPr id="2" name="图片 1" descr="国信LOGO">
          <a:extLst>
            <a:ext uri="{FF2B5EF4-FFF2-40B4-BE49-F238E27FC236}">
              <a16:creationId xmlns:a16="http://schemas.microsoft.com/office/drawing/2014/main" id="{D284A642-D7F4-4C3B-BFA2-5D7CFE00A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741" y="217714"/>
          <a:ext cx="936171" cy="22770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275956</xdr:colOff>
      <xdr:row>41</xdr:row>
      <xdr:rowOff>6171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BF6A29E-2759-4290-8E9E-FB432E374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288467</xdr:colOff>
      <xdr:row>25</xdr:row>
      <xdr:rowOff>0</xdr:rowOff>
    </xdr:from>
    <xdr:to>
      <xdr:col>6</xdr:col>
      <xdr:colOff>1010738</xdr:colOff>
      <xdr:row>41</xdr:row>
      <xdr:rowOff>6171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9B8E08F-3C24-467D-9B96-FE4E1804E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43</xdr:row>
      <xdr:rowOff>0</xdr:rowOff>
    </xdr:from>
    <xdr:to>
      <xdr:col>3</xdr:col>
      <xdr:colOff>275957</xdr:colOff>
      <xdr:row>59</xdr:row>
      <xdr:rowOff>6171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4516FE38-BA19-467E-8C4B-E15714194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283027</xdr:colOff>
      <xdr:row>43</xdr:row>
      <xdr:rowOff>0</xdr:rowOff>
    </xdr:from>
    <xdr:to>
      <xdr:col>6</xdr:col>
      <xdr:colOff>1005299</xdr:colOff>
      <xdr:row>59</xdr:row>
      <xdr:rowOff>6171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847FEF64-43CE-4040-A915-6059E787D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11</xdr:col>
      <xdr:colOff>1092386</xdr:colOff>
      <xdr:row>59</xdr:row>
      <xdr:rowOff>6171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063E32-870E-47D9-A494-EA49A881E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988787</xdr:colOff>
      <xdr:row>25</xdr:row>
      <xdr:rowOff>1814</xdr:rowOff>
    </xdr:from>
    <xdr:to>
      <xdr:col>11</xdr:col>
      <xdr:colOff>1060636</xdr:colOff>
      <xdr:row>41</xdr:row>
      <xdr:rowOff>37014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42402BA-C2DA-74C0-518B-77BD20066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620486</xdr:colOff>
      <xdr:row>11</xdr:row>
      <xdr:rowOff>87086</xdr:rowOff>
    </xdr:from>
    <xdr:to>
      <xdr:col>16</xdr:col>
      <xdr:colOff>21772</xdr:colOff>
      <xdr:row>26</xdr:row>
      <xdr:rowOff>136072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46504A3-7BF1-4FA5-DC2D-E708FF6B0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341618</xdr:colOff>
      <xdr:row>30</xdr:row>
      <xdr:rowOff>18329</xdr:rowOff>
    </xdr:from>
    <xdr:to>
      <xdr:col>17</xdr:col>
      <xdr:colOff>469257</xdr:colOff>
      <xdr:row>46</xdr:row>
      <xdr:rowOff>26902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6380A11-AA9C-4AFE-AECC-29BA37F2C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141595</xdr:colOff>
      <xdr:row>48</xdr:row>
      <xdr:rowOff>25133</xdr:rowOff>
    </xdr:from>
    <xdr:to>
      <xdr:col>16</xdr:col>
      <xdr:colOff>1228136</xdr:colOff>
      <xdr:row>64</xdr:row>
      <xdr:rowOff>31304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27CF7C1-D80E-434E-BC0D-12FFEE717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0.42355</cdr:x>
      <cdr:y>0.24768</cdr:y>
    </cdr:from>
    <cdr:to>
      <cdr:x>0.80944</cdr:x>
      <cdr:y>0.37861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0E025805-66FC-09AF-B53C-9BFCCF24BEAF}"/>
            </a:ext>
          </a:extLst>
        </cdr:cNvPr>
        <cdr:cNvSpPr txBox="1"/>
      </cdr:nvSpPr>
      <cdr:spPr>
        <a:xfrm xmlns:a="http://schemas.openxmlformats.org/drawingml/2006/main">
          <a:off x="1830375" y="710397"/>
          <a:ext cx="1667608" cy="375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800" kern="1200">
              <a:latin typeface="黑体" panose="02010609060101010101" pitchFamily="49" charset="-122"/>
              <a:ea typeface="黑体" panose="02010609060101010101" pitchFamily="49" charset="-122"/>
            </a:rPr>
            <a:t>净流动性</a:t>
          </a:r>
          <a:r>
            <a:rPr lang="en-US" altLang="zh-CN" sz="800" kern="1200">
              <a:latin typeface="黑体" panose="02010609060101010101" pitchFamily="49" charset="-122"/>
              <a:ea typeface="黑体" panose="02010609060101010101" pitchFamily="49" charset="-122"/>
            </a:rPr>
            <a:t>=</a:t>
          </a:r>
          <a:r>
            <a:rPr lang="zh-CN" altLang="en-US" sz="800" kern="1200">
              <a:latin typeface="黑体" panose="02010609060101010101" pitchFamily="49" charset="-122"/>
              <a:ea typeface="黑体" panose="02010609060101010101" pitchFamily="49" charset="-122"/>
            </a:rPr>
            <a:t>联储总资产</a:t>
          </a:r>
          <a:r>
            <a:rPr lang="en-US" altLang="zh-CN" sz="800" kern="1200"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800" kern="1200">
              <a:latin typeface="黑体" panose="02010609060101010101" pitchFamily="49" charset="-122"/>
              <a:ea typeface="黑体" panose="02010609060101010101" pitchFamily="49" charset="-122"/>
            </a:rPr>
            <a:t>逆回购协议</a:t>
          </a:r>
          <a:endParaRPr lang="en-US" altLang="zh-CN" sz="800" kern="1200">
            <a:latin typeface="黑体" panose="02010609060101010101" pitchFamily="49" charset="-122"/>
            <a:ea typeface="黑体" panose="02010609060101010101" pitchFamily="49" charset="-122"/>
          </a:endParaRPr>
        </a:p>
        <a:p xmlns:a="http://schemas.openxmlformats.org/drawingml/2006/main">
          <a:r>
            <a:rPr lang="en-US" altLang="zh-CN" sz="800" kern="1200"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800" kern="1200">
              <a:latin typeface="黑体" panose="02010609060101010101" pitchFamily="49" charset="-122"/>
              <a:ea typeface="黑体" panose="02010609060101010101" pitchFamily="49" charset="-122"/>
            </a:rPr>
            <a:t>美国财政存款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WIND/DataBrowse/XLA/WindFunc.xla" TargetMode="External"/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9D0E-E231-47A9-968B-72D93D84E286}">
  <sheetPr>
    <tabColor rgb="FFFF0000"/>
  </sheetPr>
  <dimension ref="A1:Z1436"/>
  <sheetViews>
    <sheetView topLeftCell="W321" zoomScale="85" zoomScaleNormal="85" workbookViewId="0">
      <selection activeCell="AC339" sqref="AC339"/>
    </sheetView>
  </sheetViews>
  <sheetFormatPr defaultRowHeight="14.15" x14ac:dyDescent="0.35"/>
  <cols>
    <col min="1" max="1" width="1.35546875" style="11" customWidth="1"/>
    <col min="2" max="2" width="9.140625" style="11"/>
    <col min="3" max="3" width="53.0703125" style="11" customWidth="1"/>
    <col min="4" max="4" width="13.42578125" style="12" bestFit="1" customWidth="1"/>
    <col min="5" max="5" width="3.640625" style="11" customWidth="1"/>
    <col min="6" max="6" width="30.140625" style="11" customWidth="1"/>
    <col min="7" max="7" width="13.42578125" style="12" bestFit="1" customWidth="1"/>
    <col min="8" max="8" width="9.140625" style="11"/>
    <col min="9" max="11" width="11.0703125" style="11" bestFit="1" customWidth="1"/>
    <col min="12" max="12" width="14.42578125" style="11" bestFit="1" customWidth="1"/>
    <col min="13" max="13" width="9.140625" style="11" bestFit="1" customWidth="1"/>
    <col min="14" max="16" width="11.0703125" style="11" bestFit="1" customWidth="1"/>
    <col min="17" max="17" width="21.5" style="11" bestFit="1" customWidth="1"/>
    <col min="18" max="18" width="11.0703125" style="35" bestFit="1" customWidth="1"/>
    <col min="19" max="19" width="23.2109375" style="35" bestFit="1" customWidth="1"/>
    <col min="20" max="21" width="9.140625" style="37" bestFit="1" customWidth="1"/>
    <col min="22" max="22" width="11.0703125" style="37" bestFit="1" customWidth="1"/>
    <col min="23" max="23" width="11.0703125" style="37" customWidth="1"/>
    <col min="24" max="24" width="9.140625" style="11" bestFit="1"/>
    <col min="25" max="16384" width="9.140625" style="11"/>
  </cols>
  <sheetData>
    <row r="1" spans="1:26" x14ac:dyDescent="0.35">
      <c r="C1" s="33">
        <f>MAX(资产!A:A)</f>
        <v>46162</v>
      </c>
      <c r="D1" s="11"/>
    </row>
    <row r="2" spans="1:26" ht="24.45" customHeight="1" x14ac:dyDescent="0.35">
      <c r="C2" s="1"/>
    </row>
    <row r="3" spans="1:26" ht="27.9" customHeight="1" x14ac:dyDescent="0.25">
      <c r="C3" s="41" t="str">
        <f>CONCATENATE("           美联储资产负债表（",YEAR($C$1),"年",MONTH($C$1),"月",DAY($C$1),"日）")</f>
        <v xml:space="preserve">           美联储资产负债表（2026年5月20日）</v>
      </c>
      <c r="D3" s="41"/>
      <c r="E3" s="41"/>
      <c r="F3" s="41"/>
      <c r="G3" s="34" t="s">
        <v>161</v>
      </c>
      <c r="I3" s="13" t="s">
        <v>146</v>
      </c>
      <c r="J3" s="11" t="s">
        <v>147</v>
      </c>
      <c r="K3" s="11" t="s">
        <v>75</v>
      </c>
      <c r="L3" s="11" t="s">
        <v>68</v>
      </c>
      <c r="M3" s="11" t="s">
        <v>152</v>
      </c>
      <c r="N3" s="11" t="s">
        <v>149</v>
      </c>
      <c r="O3" s="11" t="s">
        <v>150</v>
      </c>
      <c r="P3" s="11" t="s">
        <v>151</v>
      </c>
      <c r="Q3" s="11" t="s">
        <v>148</v>
      </c>
      <c r="R3" s="35" t="s">
        <v>154</v>
      </c>
      <c r="S3" s="35" t="s">
        <v>155</v>
      </c>
      <c r="T3" s="37" t="s">
        <v>67</v>
      </c>
      <c r="U3" s="37" t="s">
        <v>156</v>
      </c>
      <c r="V3" s="37" t="s">
        <v>159</v>
      </c>
      <c r="W3" s="37" t="s">
        <v>160</v>
      </c>
      <c r="X3" s="11" t="s">
        <v>129</v>
      </c>
      <c r="Y3" s="11" t="s">
        <v>157</v>
      </c>
      <c r="Z3" s="40" t="s">
        <v>158</v>
      </c>
    </row>
    <row r="4" spans="1:26" x14ac:dyDescent="0.35">
      <c r="A4" s="11">
        <v>0</v>
      </c>
      <c r="C4" s="39" t="s">
        <v>67</v>
      </c>
      <c r="D4" s="17">
        <f>VLOOKUP($C$1,资产!$A:$AF,2,0)/100</f>
        <v>67136.429999999993</v>
      </c>
      <c r="E4" s="13"/>
      <c r="F4" s="39" t="s">
        <v>129</v>
      </c>
      <c r="G4" s="17">
        <f>VLOOKUP($C$1,负债!$A:$P,2,0)/100</f>
        <v>66664.070000000007</v>
      </c>
      <c r="I4" s="24">
        <v>43831</v>
      </c>
      <c r="J4" s="11">
        <f>VLOOKUP(I4,资产!$A:$AF,8,0)/100</f>
        <v>23289.33</v>
      </c>
      <c r="K4" s="11">
        <f>VLOOKUP(I4,资产!$A:$AF,9,0)/100</f>
        <v>1695.25</v>
      </c>
      <c r="L4" s="11">
        <f>VLOOKUP(I4,资产!$A:$AF,10,0)/100</f>
        <v>20065.5</v>
      </c>
      <c r="M4" s="11">
        <f>(VLOOKUP(I4,资产!$A:$AF,13,0)+VLOOKUP(I4,资产!$A:$AF,14,0)+VLOOKUP(I4,资产!$A:$AF,15,0))/100</f>
        <v>4658.24</v>
      </c>
      <c r="N4" s="11">
        <f>VLOOKUP(I4,资产!$A:$AF,16,0)/100</f>
        <v>9009.7199999999993</v>
      </c>
      <c r="O4" s="11">
        <f>VLOOKUP(I4,资产!$A:$AF,17,0)/100</f>
        <v>3215.91</v>
      </c>
      <c r="P4" s="11">
        <f>VLOOKUP(I4,资产!$A:$AF,18,0)/100</f>
        <v>6405.47</v>
      </c>
      <c r="Q4" s="11">
        <f>VLOOKUP(I4,资产!$A:$AF,20,0)/100</f>
        <v>14086.77</v>
      </c>
      <c r="R4" s="35">
        <f>VLOOKUP(I4,负债!$A:$P,5,0)/100</f>
        <v>15488.49</v>
      </c>
      <c r="S4" s="35">
        <f>VLOOKUP(I4,负债!$A:$P,6,0)/100</f>
        <v>4038.53</v>
      </c>
      <c r="T4" s="37">
        <f>VLOOKUP(I4,资产!$A:$AF,2,0)/100</f>
        <v>41736.26</v>
      </c>
      <c r="U4" s="37">
        <f>VLOOKUP(I4,资产!$A:$AF,7,0)/100</f>
        <v>37399.57</v>
      </c>
      <c r="V4" s="37">
        <f>VLOOKUP(I4,负债!$A:$P,9,0)/100</f>
        <v>3366.49</v>
      </c>
      <c r="W4" s="37">
        <f>VLOOKUP(I4,负债!$A:$P,6,0)/100</f>
        <v>4038.53</v>
      </c>
      <c r="X4" s="11">
        <f>VLOOKUP(I4,负债!$A:$P,2,0)/100</f>
        <v>41351.03</v>
      </c>
      <c r="Y4" s="11">
        <f>T4-V4-W4</f>
        <v>34331.240000000005</v>
      </c>
    </row>
    <row r="5" spans="1:26" x14ac:dyDescent="0.35">
      <c r="A5" s="11">
        <v>1</v>
      </c>
      <c r="C5" s="18" t="s">
        <v>69</v>
      </c>
      <c r="D5" s="19">
        <f>VLOOKUP($C$1,资产!$A:$AF,3,0)/100</f>
        <v>110.37</v>
      </c>
      <c r="E5" s="14"/>
      <c r="F5" s="18" t="s">
        <v>130</v>
      </c>
      <c r="G5" s="19">
        <f>VLOOKUP($C$1,负债!$A:$P,3,0)/100</f>
        <v>41445.760000000002</v>
      </c>
      <c r="I5" s="24">
        <v>43838</v>
      </c>
      <c r="J5" s="11">
        <f>VLOOKUP(I5,资产!$A:$AF,8,0)/100</f>
        <v>23477.14</v>
      </c>
      <c r="K5" s="11">
        <f>VLOOKUP(I5,资产!$A:$AF,9,0)/100</f>
        <v>1845.27</v>
      </c>
      <c r="L5" s="11">
        <f>VLOOKUP(I5,资产!$A:$AF,10,0)/100</f>
        <v>20103.5</v>
      </c>
      <c r="M5" s="11">
        <f>(VLOOKUP(I5,资产!$A:$AF,13,0)+VLOOKUP(I5,资产!$A:$AF,14,0)+VLOOKUP(I5,资产!$A:$AF,15,0))/100</f>
        <v>4879.6400000000003</v>
      </c>
      <c r="N5" s="11">
        <f>VLOOKUP(I5,资产!$A:$AF,16,0)/100</f>
        <v>8948.5</v>
      </c>
      <c r="O5" s="11">
        <f>VLOOKUP(I5,资产!$A:$AF,17,0)/100</f>
        <v>3243.01</v>
      </c>
      <c r="P5" s="11">
        <f>VLOOKUP(I5,资产!$A:$AF,18,0)/100</f>
        <v>6405.99</v>
      </c>
      <c r="Q5" s="11">
        <f>VLOOKUP(I5,资产!$A:$AF,20,0)/100</f>
        <v>14086.77</v>
      </c>
      <c r="R5" s="35">
        <f>VLOOKUP(I5,负债!$A:$P,5,0)/100</f>
        <v>16566.29</v>
      </c>
      <c r="S5" s="35">
        <f>VLOOKUP(I5,负债!$A:$P,6,0)/100</f>
        <v>3508.4</v>
      </c>
      <c r="T5" s="37">
        <f>VLOOKUP(I5,资产!$A:$AF,2,0)/100</f>
        <v>41495.440000000002</v>
      </c>
      <c r="U5" s="37">
        <f>VLOOKUP(I5,资产!$A:$AF,7,0)/100</f>
        <v>37587.379999999997</v>
      </c>
      <c r="V5" s="37">
        <f>VLOOKUP(I5,负债!$A:$P,9,0)/100</f>
        <v>2749.23</v>
      </c>
      <c r="W5" s="37">
        <f>VLOOKUP(I5,负债!$A:$P,6,0)/100</f>
        <v>3508.4</v>
      </c>
      <c r="X5" s="11">
        <f>VLOOKUP(I5,负债!$A:$P,2,0)/100</f>
        <v>41110.21</v>
      </c>
      <c r="Y5" s="11">
        <f>T5-V5-W5</f>
        <v>35237.81</v>
      </c>
    </row>
    <row r="6" spans="1:26" x14ac:dyDescent="0.35">
      <c r="A6" s="11">
        <v>1</v>
      </c>
      <c r="C6" s="18" t="s">
        <v>70</v>
      </c>
      <c r="D6" s="19">
        <f>VLOOKUP($C$1,资产!$A:$AF,4,0)/100</f>
        <v>152</v>
      </c>
      <c r="E6" s="14"/>
      <c r="F6" s="20" t="s">
        <v>136</v>
      </c>
      <c r="G6" s="21">
        <f>VLOOKUP($C$1,负债!$A:$P,4,0)/100</f>
        <v>0</v>
      </c>
      <c r="I6" s="24">
        <v>43845</v>
      </c>
      <c r="J6" s="11">
        <f>VLOOKUP(I6,资产!$A:$AF,8,0)/100</f>
        <v>23626.35</v>
      </c>
      <c r="K6" s="11">
        <f>VLOOKUP(I6,资产!$A:$AF,9,0)/100</f>
        <v>1950.29</v>
      </c>
      <c r="L6" s="11">
        <f>VLOOKUP(I6,资产!$A:$AF,10,0)/100</f>
        <v>20141.16</v>
      </c>
      <c r="M6" s="11">
        <f>(VLOOKUP(I6,资产!$A:$AF,13,0)+VLOOKUP(I6,资产!$A:$AF,14,0)+VLOOKUP(I6,资产!$A:$AF,15,0))/100</f>
        <v>4959.6899999999996</v>
      </c>
      <c r="N6" s="11">
        <f>VLOOKUP(I6,资产!$A:$AF,16,0)/100</f>
        <v>9077.5</v>
      </c>
      <c r="O6" s="11">
        <f>VLOOKUP(I6,资产!$A:$AF,17,0)/100</f>
        <v>3156.12</v>
      </c>
      <c r="P6" s="11">
        <f>VLOOKUP(I6,资产!$A:$AF,18,0)/100</f>
        <v>6433.04</v>
      </c>
      <c r="Q6" s="11">
        <f>VLOOKUP(I6,资产!$A:$AF,20,0)/100</f>
        <v>14043.18</v>
      </c>
      <c r="R6" s="35">
        <f>VLOOKUP(I6,负债!$A:$P,5,0)/100</f>
        <v>16733.62</v>
      </c>
      <c r="S6" s="35">
        <f>VLOOKUP(I6,负债!$A:$P,6,0)/100</f>
        <v>3808.02</v>
      </c>
      <c r="T6" s="37">
        <f>VLOOKUP(I6,资产!$A:$AF,2,0)/100</f>
        <v>41758.5</v>
      </c>
      <c r="U6" s="37">
        <f>VLOOKUP(I6,资产!$A:$AF,7,0)/100</f>
        <v>37693</v>
      </c>
      <c r="V6" s="37">
        <f>VLOOKUP(I6,负债!$A:$P,9,0)/100</f>
        <v>2609.13</v>
      </c>
      <c r="W6" s="37">
        <f>VLOOKUP(I6,负债!$A:$P,6,0)/100</f>
        <v>3808.02</v>
      </c>
      <c r="X6" s="11">
        <f>VLOOKUP(I6,负债!$A:$P,2,0)/100</f>
        <v>41373.269999999997</v>
      </c>
      <c r="Y6" s="11">
        <f t="shared" ref="Y6:Y69" si="0">T6-V6-W6</f>
        <v>35341.350000000006</v>
      </c>
    </row>
    <row r="7" spans="1:26" x14ac:dyDescent="0.35">
      <c r="A7" s="11">
        <v>1</v>
      </c>
      <c r="C7" s="18" t="s">
        <v>71</v>
      </c>
      <c r="D7" s="19">
        <f>VLOOKUP($C$1,资产!$A:$AF,5,0)/100</f>
        <v>14.05</v>
      </c>
      <c r="E7" s="14"/>
      <c r="F7" s="20" t="s">
        <v>153</v>
      </c>
      <c r="G7" s="21">
        <f>VLOOKUP($C$1,负债!$A:$P,5,0)/100</f>
        <v>31067.16</v>
      </c>
      <c r="I7" s="24">
        <v>43852</v>
      </c>
      <c r="J7" s="11">
        <f>VLOOKUP(I7,资产!$A:$AF,8,0)/100</f>
        <v>23810.2</v>
      </c>
      <c r="K7" s="11">
        <f>VLOOKUP(I7,资产!$A:$AF,9,0)/100</f>
        <v>2100.31</v>
      </c>
      <c r="L7" s="11">
        <f>VLOOKUP(I7,资产!$A:$AF,10,0)/100</f>
        <v>20175.18</v>
      </c>
      <c r="M7" s="11">
        <f>(VLOOKUP(I7,资产!$A:$AF,13,0)+VLOOKUP(I7,资产!$A:$AF,14,0)+VLOOKUP(I7,资产!$A:$AF,15,0))/100</f>
        <v>5195</v>
      </c>
      <c r="N7" s="11">
        <f>VLOOKUP(I7,资产!$A:$AF,16,0)/100</f>
        <v>9026.19</v>
      </c>
      <c r="O7" s="11">
        <f>VLOOKUP(I7,资产!$A:$AF,17,0)/100</f>
        <v>3156.05</v>
      </c>
      <c r="P7" s="11">
        <f>VLOOKUP(I7,资产!$A:$AF,18,0)/100</f>
        <v>6432.97</v>
      </c>
      <c r="Q7" s="11">
        <f>VLOOKUP(I7,资产!$A:$AF,20,0)/100</f>
        <v>13986.42</v>
      </c>
      <c r="R7" s="35">
        <f>VLOOKUP(I7,负债!$A:$P,5,0)/100</f>
        <v>16095.94</v>
      </c>
      <c r="S7" s="35">
        <f>VLOOKUP(I7,负债!$A:$P,6,0)/100</f>
        <v>4117.08</v>
      </c>
      <c r="T7" s="37">
        <f>VLOOKUP(I7,资产!$A:$AF,2,0)/100</f>
        <v>41459.120000000003</v>
      </c>
      <c r="U7" s="37">
        <f>VLOOKUP(I7,资产!$A:$AF,7,0)/100</f>
        <v>37820.1</v>
      </c>
      <c r="V7" s="37">
        <f>VLOOKUP(I7,负债!$A:$P,9,0)/100</f>
        <v>2653.57</v>
      </c>
      <c r="W7" s="37">
        <f>VLOOKUP(I7,负债!$A:$P,6,0)/100</f>
        <v>4117.08</v>
      </c>
      <c r="X7" s="11">
        <f>VLOOKUP(I7,负债!$A:$P,2,0)/100</f>
        <v>41073.9</v>
      </c>
      <c r="Y7" s="11">
        <f t="shared" si="0"/>
        <v>34688.47</v>
      </c>
    </row>
    <row r="8" spans="1:26" x14ac:dyDescent="0.35">
      <c r="A8" s="11">
        <v>1</v>
      </c>
      <c r="C8" s="18" t="s">
        <v>72</v>
      </c>
      <c r="D8" s="19">
        <f>VLOOKUP($C$1,资产!$A:$AF,6,0)/100</f>
        <v>66342.67</v>
      </c>
      <c r="E8" s="14"/>
      <c r="F8" s="20" t="s">
        <v>142</v>
      </c>
      <c r="G8" s="21">
        <f>VLOOKUP($C$1,负债!$A:$P,6,0)/100</f>
        <v>7819.79</v>
      </c>
      <c r="I8" s="24">
        <v>43859</v>
      </c>
      <c r="J8" s="11">
        <f>VLOOKUP(I8,资产!$A:$AF,8,0)/100</f>
        <v>24091.08</v>
      </c>
      <c r="K8" s="11">
        <f>VLOOKUP(I8,资产!$A:$AF,9,0)/100</f>
        <v>2325.34</v>
      </c>
      <c r="L8" s="11">
        <f>VLOOKUP(I8,资产!$A:$AF,10,0)/100</f>
        <v>20231.21</v>
      </c>
      <c r="M8" s="11">
        <f>(VLOOKUP(I8,资产!$A:$AF,13,0)+VLOOKUP(I8,资产!$A:$AF,14,0)+VLOOKUP(I8,资产!$A:$AF,15,0))/100</f>
        <v>5420.01</v>
      </c>
      <c r="N8" s="11">
        <f>VLOOKUP(I8,资产!$A:$AF,16,0)/100</f>
        <v>9082.19</v>
      </c>
      <c r="O8" s="11">
        <f>VLOOKUP(I8,资产!$A:$AF,17,0)/100</f>
        <v>3155.98</v>
      </c>
      <c r="P8" s="11">
        <f>VLOOKUP(I8,资产!$A:$AF,18,0)/100</f>
        <v>6432.9</v>
      </c>
      <c r="Q8" s="11">
        <f>VLOOKUP(I8,资产!$A:$AF,20,0)/100</f>
        <v>13872.88</v>
      </c>
      <c r="R8" s="35">
        <f>VLOOKUP(I8,负债!$A:$P,5,0)/100</f>
        <v>16122.23</v>
      </c>
      <c r="S8" s="35">
        <f>VLOOKUP(I8,负债!$A:$P,6,0)/100</f>
        <v>4505.37</v>
      </c>
      <c r="T8" s="37">
        <f>VLOOKUP(I8,资产!$A:$AF,2,0)/100</f>
        <v>41516.300000000003</v>
      </c>
      <c r="U8" s="37">
        <f>VLOOKUP(I8,资产!$A:$AF,7,0)/100</f>
        <v>37987.43</v>
      </c>
      <c r="V8" s="37">
        <f>VLOOKUP(I8,负债!$A:$P,9,0)/100</f>
        <v>2334.04</v>
      </c>
      <c r="W8" s="37">
        <f>VLOOKUP(I8,负债!$A:$P,6,0)/100</f>
        <v>4505.37</v>
      </c>
      <c r="X8" s="11">
        <f>VLOOKUP(I8,负债!$A:$P,2,0)/100</f>
        <v>41131.08</v>
      </c>
      <c r="Y8" s="11">
        <f t="shared" si="0"/>
        <v>34676.89</v>
      </c>
    </row>
    <row r="9" spans="1:26" x14ac:dyDescent="0.35">
      <c r="A9" s="11">
        <v>2</v>
      </c>
      <c r="C9" s="20" t="s">
        <v>73</v>
      </c>
      <c r="D9" s="21">
        <f>VLOOKUP($C$1,资产!$A:$AF,7,0)/100</f>
        <v>64377.19</v>
      </c>
      <c r="E9" s="14"/>
      <c r="F9" s="20" t="s">
        <v>137</v>
      </c>
      <c r="G9" s="21">
        <f>VLOOKUP($C$1,负债!$A:$P,7,0)/100</f>
        <v>94.43</v>
      </c>
      <c r="I9" s="24">
        <v>43866</v>
      </c>
      <c r="J9" s="11">
        <f>VLOOKUP(I9,资产!$A:$AF,8,0)/100</f>
        <v>24278.799999999999</v>
      </c>
      <c r="K9" s="11">
        <f>VLOOKUP(I9,资产!$A:$AF,9,0)/100</f>
        <v>2475.36</v>
      </c>
      <c r="L9" s="11">
        <f>VLOOKUP(I9,资产!$A:$AF,10,0)/100</f>
        <v>20254.75</v>
      </c>
      <c r="M9" s="11">
        <f>(VLOOKUP(I9,资产!$A:$AF,13,0)+VLOOKUP(I9,资产!$A:$AF,14,0)+VLOOKUP(I9,资产!$A:$AF,15,0))/100</f>
        <v>5471.78</v>
      </c>
      <c r="N9" s="11">
        <f>VLOOKUP(I9,资产!$A:$AF,16,0)/100</f>
        <v>9179.5499999999993</v>
      </c>
      <c r="O9" s="11">
        <f>VLOOKUP(I9,资产!$A:$AF,17,0)/100</f>
        <v>3193.29</v>
      </c>
      <c r="P9" s="11">
        <f>VLOOKUP(I9,资产!$A:$AF,18,0)/100</f>
        <v>6434.19</v>
      </c>
      <c r="Q9" s="11">
        <f>VLOOKUP(I9,资产!$A:$AF,20,0)/100</f>
        <v>13872.89</v>
      </c>
      <c r="R9" s="35">
        <f>VLOOKUP(I9,负债!$A:$P,5,0)/100</f>
        <v>16528.73</v>
      </c>
      <c r="S9" s="35">
        <f>VLOOKUP(I9,负债!$A:$P,6,0)/100</f>
        <v>4165.8500000000004</v>
      </c>
      <c r="T9" s="37">
        <f>VLOOKUP(I9,资产!$A:$AF,2,0)/100</f>
        <v>41667.07</v>
      </c>
      <c r="U9" s="37">
        <f>VLOOKUP(I9,资产!$A:$AF,7,0)/100</f>
        <v>38175.160000000003</v>
      </c>
      <c r="V9" s="37">
        <f>VLOOKUP(I9,负债!$A:$P,9,0)/100</f>
        <v>2391.63</v>
      </c>
      <c r="W9" s="37">
        <f>VLOOKUP(I9,负债!$A:$P,6,0)/100</f>
        <v>4165.8500000000004</v>
      </c>
      <c r="X9" s="11">
        <f>VLOOKUP(I9,负债!$A:$P,2,0)/100</f>
        <v>41282.050000000003</v>
      </c>
      <c r="Y9" s="11">
        <f t="shared" si="0"/>
        <v>35109.590000000004</v>
      </c>
    </row>
    <row r="10" spans="1:26" x14ac:dyDescent="0.35">
      <c r="A10" s="11">
        <v>3</v>
      </c>
      <c r="C10" s="22" t="s">
        <v>74</v>
      </c>
      <c r="D10" s="23">
        <f>VLOOKUP($C$1,资产!$A:$AF,8,0)/100</f>
        <v>44577.120000000003</v>
      </c>
      <c r="E10" s="14"/>
      <c r="F10" s="20" t="s">
        <v>138</v>
      </c>
      <c r="G10" s="21">
        <f>VLOOKUP($C$1,负债!$A:$P,8,0)/100</f>
        <v>2464.38</v>
      </c>
      <c r="I10" s="24">
        <v>43873</v>
      </c>
      <c r="J10" s="11">
        <f>VLOOKUP(I10,资产!$A:$AF,8,0)/100</f>
        <v>24426.21</v>
      </c>
      <c r="K10" s="11">
        <f>VLOOKUP(I10,资产!$A:$AF,9,0)/100</f>
        <v>2580.38</v>
      </c>
      <c r="L10" s="11">
        <f>VLOOKUP(I10,资产!$A:$AF,10,0)/100</f>
        <v>20280.77</v>
      </c>
      <c r="M10" s="11">
        <f>(VLOOKUP(I10,资产!$A:$AF,13,0)+VLOOKUP(I10,资产!$A:$AF,14,0)+VLOOKUP(I10,资产!$A:$AF,15,0))/100</f>
        <v>5576.77</v>
      </c>
      <c r="N10" s="11">
        <f>VLOOKUP(I10,资产!$A:$AF,16,0)/100</f>
        <v>9183.5</v>
      </c>
      <c r="O10" s="11">
        <f>VLOOKUP(I10,资产!$A:$AF,17,0)/100</f>
        <v>3193.15</v>
      </c>
      <c r="P10" s="11">
        <f>VLOOKUP(I10,资产!$A:$AF,18,0)/100</f>
        <v>6472.78</v>
      </c>
      <c r="Q10" s="11">
        <f>VLOOKUP(I10,资产!$A:$AF,20,0)/100</f>
        <v>13915.26</v>
      </c>
      <c r="R10" s="35">
        <f>VLOOKUP(I10,负债!$A:$P,5,0)/100</f>
        <v>16950.82</v>
      </c>
      <c r="S10" s="35">
        <f>VLOOKUP(I10,负债!$A:$P,6,0)/100</f>
        <v>4043.41</v>
      </c>
      <c r="T10" s="37">
        <f>VLOOKUP(I10,资产!$A:$AF,2,0)/100</f>
        <v>41826.89</v>
      </c>
      <c r="U10" s="37">
        <f>VLOOKUP(I10,资产!$A:$AF,7,0)/100</f>
        <v>38364.94</v>
      </c>
      <c r="V10" s="37">
        <f>VLOOKUP(I10,负债!$A:$P,9,0)/100</f>
        <v>2238.29</v>
      </c>
      <c r="W10" s="37">
        <f>VLOOKUP(I10,负债!$A:$P,6,0)/100</f>
        <v>4043.41</v>
      </c>
      <c r="X10" s="11">
        <f>VLOOKUP(I10,负债!$A:$P,2,0)/100</f>
        <v>41441.69</v>
      </c>
      <c r="Y10" s="11">
        <f t="shared" si="0"/>
        <v>35545.19</v>
      </c>
    </row>
    <row r="11" spans="1:26" x14ac:dyDescent="0.35">
      <c r="A11" s="11">
        <v>3</v>
      </c>
      <c r="C11" s="22" t="s">
        <v>86</v>
      </c>
      <c r="D11" s="23">
        <f>VLOOKUP($C$1,资产!$A:$AF,19,0)/100</f>
        <v>23.47</v>
      </c>
      <c r="E11" s="14"/>
      <c r="F11" s="18" t="s">
        <v>131</v>
      </c>
      <c r="G11" s="19">
        <f>VLOOKUP($C$1,负债!$A:$P,9,0)/100</f>
        <v>3426.28</v>
      </c>
      <c r="I11" s="24">
        <v>43880</v>
      </c>
      <c r="J11" s="11">
        <f>VLOOKUP(I11,资产!$A:$AF,8,0)/100</f>
        <v>24516.880000000001</v>
      </c>
      <c r="K11" s="11">
        <f>VLOOKUP(I11,资产!$A:$AF,9,0)/100</f>
        <v>2655.39</v>
      </c>
      <c r="L11" s="11">
        <f>VLOOKUP(I11,资产!$A:$AF,10,0)/100</f>
        <v>20296.78</v>
      </c>
      <c r="M11" s="11">
        <f>(VLOOKUP(I11,资产!$A:$AF,13,0)+VLOOKUP(I11,资产!$A:$AF,14,0)+VLOOKUP(I11,资产!$A:$AF,15,0))/100</f>
        <v>5639.9</v>
      </c>
      <c r="N11" s="11">
        <f>VLOOKUP(I11,资产!$A:$AF,16,0)/100</f>
        <v>9065.8799999999992</v>
      </c>
      <c r="O11" s="11">
        <f>VLOOKUP(I11,资产!$A:$AF,17,0)/100</f>
        <v>3253.96</v>
      </c>
      <c r="P11" s="11">
        <f>VLOOKUP(I11,资产!$A:$AF,18,0)/100</f>
        <v>6557.15</v>
      </c>
      <c r="Q11" s="11">
        <f>VLOOKUP(I11,资产!$A:$AF,20,0)/100</f>
        <v>13857.84</v>
      </c>
      <c r="R11" s="35">
        <f>VLOOKUP(I11,负债!$A:$P,5,0)/100</f>
        <v>16590.21</v>
      </c>
      <c r="S11" s="35">
        <f>VLOOKUP(I11,负债!$A:$P,6,0)/100</f>
        <v>4210.51</v>
      </c>
      <c r="T11" s="37">
        <f>VLOOKUP(I11,资产!$A:$AF,2,0)/100</f>
        <v>41715.699999999997</v>
      </c>
      <c r="U11" s="37">
        <f>VLOOKUP(I11,资产!$A:$AF,7,0)/100</f>
        <v>38398.19</v>
      </c>
      <c r="V11" s="37">
        <f>VLOOKUP(I11,负债!$A:$P,9,0)/100</f>
        <v>2269.64</v>
      </c>
      <c r="W11" s="37">
        <f>VLOOKUP(I11,负债!$A:$P,6,0)/100</f>
        <v>4210.51</v>
      </c>
      <c r="X11" s="11">
        <f>VLOOKUP(I11,负债!$A:$P,2,0)/100</f>
        <v>41330.25</v>
      </c>
      <c r="Y11" s="11">
        <f t="shared" si="0"/>
        <v>35235.549999999996</v>
      </c>
    </row>
    <row r="12" spans="1:26" x14ac:dyDescent="0.35">
      <c r="A12" s="11">
        <v>3</v>
      </c>
      <c r="C12" s="22" t="s">
        <v>87</v>
      </c>
      <c r="D12" s="23">
        <f>VLOOKUP($C$1,资产!$A:$AF,20,0)/100</f>
        <v>19776.61</v>
      </c>
      <c r="E12" s="14"/>
      <c r="F12" s="18" t="s">
        <v>132</v>
      </c>
      <c r="G12" s="19">
        <f>VLOOKUP($C$1,负债!$A:$P,10,0)/100</f>
        <v>24103.79</v>
      </c>
      <c r="I12" s="24">
        <v>43887</v>
      </c>
      <c r="J12" s="11">
        <f>VLOOKUP(I12,资产!$A:$AF,8,0)/100</f>
        <v>24740.6</v>
      </c>
      <c r="K12" s="11">
        <f>VLOOKUP(I12,资产!$A:$AF,9,0)/100</f>
        <v>2805.41</v>
      </c>
      <c r="L12" s="11">
        <f>VLOOKUP(I12,资产!$A:$AF,10,0)/100</f>
        <v>20370.82</v>
      </c>
      <c r="M12" s="11">
        <f>(VLOOKUP(I12,资产!$A:$AF,13,0)+VLOOKUP(I12,资产!$A:$AF,14,0)+VLOOKUP(I12,资产!$A:$AF,15,0))/100</f>
        <v>5795.76</v>
      </c>
      <c r="N12" s="11">
        <f>VLOOKUP(I12,资产!$A:$AF,16,0)/100</f>
        <v>9133.98</v>
      </c>
      <c r="O12" s="11">
        <f>VLOOKUP(I12,资产!$A:$AF,17,0)/100</f>
        <v>3253.82</v>
      </c>
      <c r="P12" s="11">
        <f>VLOOKUP(I12,资产!$A:$AF,18,0)/100</f>
        <v>6557.02</v>
      </c>
      <c r="Q12" s="11">
        <f>VLOOKUP(I12,资产!$A:$AF,20,0)/100</f>
        <v>13718.43</v>
      </c>
      <c r="R12" s="35">
        <f>VLOOKUP(I12,负债!$A:$P,5,0)/100</f>
        <v>16800.7</v>
      </c>
      <c r="S12" s="35">
        <f>VLOOKUP(I12,负债!$A:$P,6,0)/100</f>
        <v>3876.15</v>
      </c>
      <c r="T12" s="37">
        <f>VLOOKUP(I12,资产!$A:$AF,2,0)/100</f>
        <v>41586.370000000003</v>
      </c>
      <c r="U12" s="37">
        <f>VLOOKUP(I12,资产!$A:$AF,7,0)/100</f>
        <v>38482.5</v>
      </c>
      <c r="V12" s="37">
        <f>VLOOKUP(I12,负债!$A:$P,9,0)/100</f>
        <v>2199.6799999999998</v>
      </c>
      <c r="W12" s="37">
        <f>VLOOKUP(I12,负债!$A:$P,6,0)/100</f>
        <v>3876.15</v>
      </c>
      <c r="X12" s="11">
        <f>VLOOKUP(I12,负债!$A:$P,2,0)/100</f>
        <v>41200.86</v>
      </c>
      <c r="Y12" s="11">
        <f t="shared" si="0"/>
        <v>35510.54</v>
      </c>
    </row>
    <row r="13" spans="1:26" x14ac:dyDescent="0.35">
      <c r="A13" s="11">
        <v>2</v>
      </c>
      <c r="C13" s="20" t="s">
        <v>88</v>
      </c>
      <c r="D13" s="21">
        <f>VLOOKUP($C$1,资产!$A:$AF,21,0)/100</f>
        <v>2165.1799999999998</v>
      </c>
      <c r="E13" s="14"/>
      <c r="F13" s="18" t="s">
        <v>133</v>
      </c>
      <c r="G13" s="19">
        <f>VLOOKUP($C$1,负债!$A:$P,11,0)/100</f>
        <v>3.16</v>
      </c>
      <c r="I13" s="24">
        <v>43894</v>
      </c>
      <c r="J13" s="11">
        <f>VLOOKUP(I13,资产!$A:$AF,8,0)/100</f>
        <v>25026.240000000002</v>
      </c>
      <c r="K13" s="11">
        <f>VLOOKUP(I13,资产!$A:$AF,9,0)/100</f>
        <v>3030.42</v>
      </c>
      <c r="L13" s="11">
        <f>VLOOKUP(I13,资产!$A:$AF,10,0)/100</f>
        <v>20430.810000000001</v>
      </c>
      <c r="M13" s="11">
        <f>(VLOOKUP(I13,资产!$A:$AF,13,0)+VLOOKUP(I13,资产!$A:$AF,14,0)+VLOOKUP(I13,资产!$A:$AF,15,0))/100</f>
        <v>6037.8</v>
      </c>
      <c r="N13" s="11">
        <f>VLOOKUP(I13,资产!$A:$AF,16,0)/100</f>
        <v>9143.39</v>
      </c>
      <c r="O13" s="11">
        <f>VLOOKUP(I13,资产!$A:$AF,17,0)/100</f>
        <v>3263.23</v>
      </c>
      <c r="P13" s="11">
        <f>VLOOKUP(I13,资产!$A:$AF,18,0)/100</f>
        <v>6581.81</v>
      </c>
      <c r="Q13" s="11">
        <f>VLOOKUP(I13,资产!$A:$AF,20,0)/100</f>
        <v>13718.46</v>
      </c>
      <c r="R13" s="35">
        <f>VLOOKUP(I13,负债!$A:$P,5,0)/100</f>
        <v>17350.060000000001</v>
      </c>
      <c r="S13" s="35">
        <f>VLOOKUP(I13,负债!$A:$P,6,0)/100</f>
        <v>3813.02</v>
      </c>
      <c r="T13" s="37">
        <f>VLOOKUP(I13,资产!$A:$AF,2,0)/100</f>
        <v>42415.07</v>
      </c>
      <c r="U13" s="37">
        <f>VLOOKUP(I13,资产!$A:$AF,7,0)/100</f>
        <v>38768.160000000003</v>
      </c>
      <c r="V13" s="37">
        <f>VLOOKUP(I13,负债!$A:$P,9,0)/100</f>
        <v>2367.02</v>
      </c>
      <c r="W13" s="37">
        <f>VLOOKUP(I13,负债!$A:$P,6,0)/100</f>
        <v>3813.02</v>
      </c>
      <c r="X13" s="11">
        <f>VLOOKUP(I13,负债!$A:$P,2,0)/100</f>
        <v>42029.49</v>
      </c>
      <c r="Y13" s="11">
        <f t="shared" si="0"/>
        <v>36235.030000000006</v>
      </c>
    </row>
    <row r="14" spans="1:26" x14ac:dyDescent="0.35">
      <c r="A14" s="11">
        <v>2</v>
      </c>
      <c r="C14" s="20" t="s">
        <v>89</v>
      </c>
      <c r="D14" s="21">
        <f>VLOOKUP($C$1,资产!$A:$AF,22,0)/100</f>
        <v>-256.14999999999998</v>
      </c>
      <c r="E14" s="14"/>
      <c r="F14" s="18" t="s">
        <v>134</v>
      </c>
      <c r="G14" s="19">
        <f>VLOOKUP($C$1,负债!$A:$P,12,0)/100</f>
        <v>8.2100000000000009</v>
      </c>
      <c r="I14" s="24">
        <v>43901</v>
      </c>
      <c r="J14" s="11">
        <f>VLOOKUP(I14,资产!$A:$AF,8,0)/100</f>
        <v>25230.31</v>
      </c>
      <c r="K14" s="11">
        <f>VLOOKUP(I14,资产!$A:$AF,9,0)/100</f>
        <v>3210.43</v>
      </c>
      <c r="L14" s="11">
        <f>VLOOKUP(I14,资产!$A:$AF,10,0)/100</f>
        <v>20434.82</v>
      </c>
      <c r="M14" s="11">
        <f>(VLOOKUP(I14,资产!$A:$AF,13,0)+VLOOKUP(I14,资产!$A:$AF,14,0)+VLOOKUP(I14,资产!$A:$AF,15,0))/100</f>
        <v>6217.91</v>
      </c>
      <c r="N14" s="11">
        <f>VLOOKUP(I14,资产!$A:$AF,16,0)/100</f>
        <v>9151.01</v>
      </c>
      <c r="O14" s="11">
        <f>VLOOKUP(I14,资产!$A:$AF,17,0)/100</f>
        <v>3279.06</v>
      </c>
      <c r="P14" s="11">
        <f>VLOOKUP(I14,资产!$A:$AF,18,0)/100</f>
        <v>6582.32</v>
      </c>
      <c r="Q14" s="11">
        <f>VLOOKUP(I14,资产!$A:$AF,20,0)/100</f>
        <v>13718.46</v>
      </c>
      <c r="R14" s="35">
        <f>VLOOKUP(I14,负债!$A:$P,5,0)/100</f>
        <v>17799.900000000001</v>
      </c>
      <c r="S14" s="35">
        <f>VLOOKUP(I14,负债!$A:$P,6,0)/100</f>
        <v>3723.37</v>
      </c>
      <c r="T14" s="37">
        <f>VLOOKUP(I14,资产!$A:$AF,2,0)/100</f>
        <v>43119.11</v>
      </c>
      <c r="U14" s="37">
        <f>VLOOKUP(I14,资产!$A:$AF,7,0)/100</f>
        <v>38972.239999999998</v>
      </c>
      <c r="V14" s="37">
        <f>VLOOKUP(I14,负债!$A:$P,9,0)/100</f>
        <v>2332.75</v>
      </c>
      <c r="W14" s="37">
        <f>VLOOKUP(I14,负债!$A:$P,6,0)/100</f>
        <v>3723.37</v>
      </c>
      <c r="X14" s="11">
        <f>VLOOKUP(I14,负债!$A:$P,2,0)/100</f>
        <v>42733.17</v>
      </c>
      <c r="Y14" s="11">
        <f t="shared" si="0"/>
        <v>37062.99</v>
      </c>
    </row>
    <row r="15" spans="1:26" x14ac:dyDescent="0.35">
      <c r="A15" s="11">
        <v>2</v>
      </c>
      <c r="C15" s="20" t="s">
        <v>90</v>
      </c>
      <c r="D15" s="21">
        <f>VLOOKUP($C$1,资产!$A:$AF,23,0)/100</f>
        <v>7.0000000000000007E-2</v>
      </c>
      <c r="E15" s="14"/>
      <c r="F15" s="18" t="s">
        <v>135</v>
      </c>
      <c r="G15" s="19">
        <f>VLOOKUP($C$1,负债!$A:$P,13,0)/100</f>
        <v>-2323.14</v>
      </c>
      <c r="I15" s="24">
        <v>43908</v>
      </c>
      <c r="J15" s="11">
        <f>VLOOKUP(I15,资产!$A:$AF,8,0)/100</f>
        <v>26407.71</v>
      </c>
      <c r="K15" s="11">
        <f>VLOOKUP(I15,资产!$A:$AF,9,0)/100</f>
        <v>3210.43</v>
      </c>
      <c r="L15" s="11">
        <f>VLOOKUP(I15,资产!$A:$AF,10,0)/100</f>
        <v>21544.959999999999</v>
      </c>
      <c r="M15" s="11">
        <f>(VLOOKUP(I15,资产!$A:$AF,13,0)+VLOOKUP(I15,资产!$A:$AF,14,0)+VLOOKUP(I15,资产!$A:$AF,15,0))/100</f>
        <v>6343.52</v>
      </c>
      <c r="N15" s="11">
        <f>VLOOKUP(I15,资产!$A:$AF,16,0)/100</f>
        <v>9667.6200000000008</v>
      </c>
      <c r="O15" s="11">
        <f>VLOOKUP(I15,资产!$A:$AF,17,0)/100</f>
        <v>3576.66</v>
      </c>
      <c r="P15" s="11">
        <f>VLOOKUP(I15,资产!$A:$AF,18,0)/100</f>
        <v>6819.91</v>
      </c>
      <c r="Q15" s="11">
        <f>VLOOKUP(I15,资产!$A:$AF,20,0)/100</f>
        <v>13666.76</v>
      </c>
      <c r="R15" s="35">
        <f>VLOOKUP(I15,负债!$A:$P,5,0)/100</f>
        <v>19453.939999999999</v>
      </c>
      <c r="S15" s="35">
        <f>VLOOKUP(I15,负债!$A:$P,6,0)/100</f>
        <v>4013.54</v>
      </c>
      <c r="T15" s="37">
        <f>VLOOKUP(I15,资产!$A:$AF,2,0)/100</f>
        <v>46682.12</v>
      </c>
      <c r="U15" s="37">
        <f>VLOOKUP(I15,资产!$A:$AF,7,0)/100</f>
        <v>40097.94</v>
      </c>
      <c r="V15" s="37">
        <f>VLOOKUP(I15,负债!$A:$P,9,0)/100</f>
        <v>2339.46</v>
      </c>
      <c r="W15" s="37">
        <f>VLOOKUP(I15,负债!$A:$P,6,0)/100</f>
        <v>4013.54</v>
      </c>
      <c r="X15" s="11">
        <f>VLOOKUP(I15,负债!$A:$P,2,0)/100</f>
        <v>46296.04</v>
      </c>
      <c r="Y15" s="11">
        <f t="shared" si="0"/>
        <v>40329.120000000003</v>
      </c>
    </row>
    <row r="16" spans="1:26" x14ac:dyDescent="0.35">
      <c r="A16" s="11">
        <v>2</v>
      </c>
      <c r="C16" s="20" t="s">
        <v>91</v>
      </c>
      <c r="D16" s="21">
        <f>VLOOKUP($C$1,资产!$A:$AF,24,0)/100</f>
        <v>56.37</v>
      </c>
      <c r="E16" s="14"/>
      <c r="F16" s="13"/>
      <c r="G16" s="15"/>
      <c r="I16" s="24">
        <v>43915</v>
      </c>
      <c r="J16" s="11">
        <f>VLOOKUP(I16,资产!$A:$AF,8,0)/100</f>
        <v>29783.72</v>
      </c>
      <c r="K16" s="11">
        <f>VLOOKUP(I16,资产!$A:$AF,9,0)/100</f>
        <v>3260.44</v>
      </c>
      <c r="L16" s="11">
        <f>VLOOKUP(I16,资产!$A:$AF,10,0)/100</f>
        <v>24561.25</v>
      </c>
      <c r="M16" s="11">
        <f>(VLOOKUP(I16,资产!$A:$AF,13,0)+VLOOKUP(I16,资产!$A:$AF,14,0)+VLOOKUP(I16,资产!$A:$AF,15,0))/100</f>
        <v>6951.55</v>
      </c>
      <c r="N16" s="11">
        <f>VLOOKUP(I16,资产!$A:$AF,16,0)/100</f>
        <v>11111.45</v>
      </c>
      <c r="O16" s="11">
        <f>VLOOKUP(I16,资产!$A:$AF,17,0)/100</f>
        <v>4363.18</v>
      </c>
      <c r="P16" s="11">
        <f>VLOOKUP(I16,资产!$A:$AF,18,0)/100</f>
        <v>7357.54</v>
      </c>
      <c r="Q16" s="11">
        <f>VLOOKUP(I16,资产!$A:$AF,20,0)/100</f>
        <v>13845.63</v>
      </c>
      <c r="R16" s="35">
        <f>VLOOKUP(I16,负债!$A:$P,5,0)/100</f>
        <v>23477.47</v>
      </c>
      <c r="S16" s="35">
        <f>VLOOKUP(I16,负债!$A:$P,6,0)/100</f>
        <v>3848.9</v>
      </c>
      <c r="T16" s="37">
        <f>VLOOKUP(I16,资产!$A:$AF,2,0)/100</f>
        <v>52542.78</v>
      </c>
      <c r="U16" s="37">
        <f>VLOOKUP(I16,资产!$A:$AF,7,0)/100</f>
        <v>43652.82</v>
      </c>
      <c r="V16" s="37">
        <f>VLOOKUP(I16,负债!$A:$P,9,0)/100</f>
        <v>3591.14</v>
      </c>
      <c r="W16" s="37">
        <f>VLOOKUP(I16,负债!$A:$P,6,0)/100</f>
        <v>3848.9</v>
      </c>
      <c r="X16" s="11">
        <f>VLOOKUP(I16,负债!$A:$P,2,0)/100</f>
        <v>52154.83</v>
      </c>
      <c r="Y16" s="11">
        <f t="shared" si="0"/>
        <v>45102.74</v>
      </c>
    </row>
    <row r="17" spans="1:25" x14ac:dyDescent="0.35">
      <c r="A17" s="11">
        <v>1</v>
      </c>
      <c r="C17" s="18" t="s">
        <v>92</v>
      </c>
      <c r="D17" s="19">
        <f>VLOOKUP($C$1,资产!$A:$AF,25,0)/100</f>
        <v>14.2</v>
      </c>
      <c r="E17" s="14"/>
      <c r="I17" s="24">
        <v>43922</v>
      </c>
      <c r="J17" s="11">
        <f>VLOOKUP(I17,资产!$A:$AF,8,0)/100</f>
        <v>33408.32</v>
      </c>
      <c r="K17" s="11">
        <f>VLOOKUP(I17,资产!$A:$AF,9,0)/100</f>
        <v>3260.44</v>
      </c>
      <c r="L17" s="11">
        <f>VLOOKUP(I17,资产!$A:$AF,10,0)/100</f>
        <v>27918.6</v>
      </c>
      <c r="M17" s="11">
        <f>(VLOOKUP(I17,资产!$A:$AF,13,0)+VLOOKUP(I17,资产!$A:$AF,14,0)+VLOOKUP(I17,资产!$A:$AF,15,0))/100</f>
        <v>7373.1</v>
      </c>
      <c r="N17" s="11">
        <f>VLOOKUP(I17,资产!$A:$AF,16,0)/100</f>
        <v>12983.45</v>
      </c>
      <c r="O17" s="11">
        <f>VLOOKUP(I17,资产!$A:$AF,17,0)/100</f>
        <v>5092.28</v>
      </c>
      <c r="P17" s="11">
        <f>VLOOKUP(I17,资产!$A:$AF,18,0)/100</f>
        <v>7959.49</v>
      </c>
      <c r="Q17" s="11">
        <f>VLOOKUP(I17,资产!$A:$AF,20,0)/100</f>
        <v>14577.21</v>
      </c>
      <c r="R17" s="35">
        <f>VLOOKUP(I17,负债!$A:$P,5,0)/100</f>
        <v>26843.98</v>
      </c>
      <c r="S17" s="35">
        <f>VLOOKUP(I17,负债!$A:$P,6,0)/100</f>
        <v>5069.33</v>
      </c>
      <c r="T17" s="37">
        <f>VLOOKUP(I17,资产!$A:$AF,2,0)/100</f>
        <v>58116.07</v>
      </c>
      <c r="U17" s="37">
        <f>VLOOKUP(I17,资产!$A:$AF,7,0)/100</f>
        <v>48009.01</v>
      </c>
      <c r="V17" s="37">
        <f>VLOOKUP(I17,负债!$A:$P,9,0)/100</f>
        <v>4944.2700000000004</v>
      </c>
      <c r="W17" s="37">
        <f>VLOOKUP(I17,负债!$A:$P,6,0)/100</f>
        <v>5069.33</v>
      </c>
      <c r="X17" s="11">
        <f>VLOOKUP(I17,负债!$A:$P,2,0)/100</f>
        <v>57727.8</v>
      </c>
      <c r="Y17" s="11">
        <f t="shared" si="0"/>
        <v>48102.47</v>
      </c>
    </row>
    <row r="18" spans="1:25" x14ac:dyDescent="0.35">
      <c r="A18" s="11">
        <v>1</v>
      </c>
      <c r="C18" s="18" t="s">
        <v>93</v>
      </c>
      <c r="D18" s="19">
        <f>VLOOKUP($C$1,资产!$A:$AF,26,0)/100</f>
        <v>0</v>
      </c>
      <c r="E18" s="14"/>
      <c r="F18" s="39" t="s">
        <v>145</v>
      </c>
      <c r="G18" s="17">
        <f>VLOOKUP($C$1,负债!$A:$Q,17,0)/100</f>
        <v>472.36</v>
      </c>
      <c r="I18" s="24">
        <v>43929</v>
      </c>
      <c r="J18" s="11">
        <f>VLOOKUP(I18,资产!$A:$AF,8,0)/100</f>
        <v>36343.86</v>
      </c>
      <c r="K18" s="11">
        <f>VLOOKUP(I18,资产!$A:$AF,9,0)/100</f>
        <v>3260.44</v>
      </c>
      <c r="L18" s="11">
        <f>VLOOKUP(I18,资产!$A:$AF,10,0)/100</f>
        <v>30648.6</v>
      </c>
      <c r="M18" s="11">
        <f>(VLOOKUP(I18,资产!$A:$AF,13,0)+VLOOKUP(I18,资产!$A:$AF,14,0)+VLOOKUP(I18,资产!$A:$AF,15,0))/100</f>
        <v>7811.16</v>
      </c>
      <c r="N18" s="11">
        <f>VLOOKUP(I18,资产!$A:$AF,16,0)/100</f>
        <v>14322.06</v>
      </c>
      <c r="O18" s="11">
        <f>VLOOKUP(I18,资产!$A:$AF,17,0)/100</f>
        <v>5769.18</v>
      </c>
      <c r="P18" s="11">
        <f>VLOOKUP(I18,资产!$A:$AF,18,0)/100</f>
        <v>8441.4599999999991</v>
      </c>
      <c r="Q18" s="11">
        <f>VLOOKUP(I18,资产!$A:$AF,20,0)/100</f>
        <v>14597.01</v>
      </c>
      <c r="R18" s="35">
        <f>VLOOKUP(I18,负债!$A:$P,5,0)/100</f>
        <v>27745.06</v>
      </c>
      <c r="S18" s="35">
        <f>VLOOKUP(I18,负债!$A:$P,6,0)/100</f>
        <v>8271.7800000000007</v>
      </c>
      <c r="T18" s="37">
        <f>VLOOKUP(I18,资产!$A:$AF,2,0)/100</f>
        <v>60831.41</v>
      </c>
      <c r="U18" s="37">
        <f>VLOOKUP(I18,资产!$A:$AF,7,0)/100</f>
        <v>50964.34</v>
      </c>
      <c r="V18" s="37">
        <f>VLOOKUP(I18,负债!$A:$P,9,0)/100</f>
        <v>3344.88</v>
      </c>
      <c r="W18" s="37">
        <f>VLOOKUP(I18,负债!$A:$P,6,0)/100</f>
        <v>8271.7800000000007</v>
      </c>
      <c r="X18" s="11">
        <f>VLOOKUP(I18,负债!$A:$P,2,0)/100</f>
        <v>60443.09</v>
      </c>
      <c r="Y18" s="11">
        <f t="shared" si="0"/>
        <v>49214.750000000007</v>
      </c>
    </row>
    <row r="19" spans="1:25" x14ac:dyDescent="0.35">
      <c r="A19" s="11">
        <v>1</v>
      </c>
      <c r="C19" s="18" t="s">
        <v>94</v>
      </c>
      <c r="D19" s="19">
        <f>VLOOKUP($C$1,资产!$A:$AF,27,0)/100</f>
        <v>0</v>
      </c>
      <c r="E19" s="14"/>
      <c r="F19" s="18" t="s">
        <v>139</v>
      </c>
      <c r="G19" s="19">
        <f>VLOOKUP($C$1,负债!$A:$P,14,0)/100</f>
        <v>404.51</v>
      </c>
      <c r="I19" s="24">
        <v>43936</v>
      </c>
      <c r="J19" s="11">
        <f>VLOOKUP(I19,资产!$A:$AF,8,0)/100</f>
        <v>37888.58</v>
      </c>
      <c r="K19" s="11">
        <f>VLOOKUP(I19,资产!$A:$AF,9,0)/100</f>
        <v>3260.44</v>
      </c>
      <c r="L19" s="11">
        <f>VLOOKUP(I19,资产!$A:$AF,10,0)/100</f>
        <v>32061.439999999999</v>
      </c>
      <c r="M19" s="11">
        <f>(VLOOKUP(I19,资产!$A:$AF,13,0)+VLOOKUP(I19,资产!$A:$AF,14,0)+VLOOKUP(I19,资产!$A:$AF,15,0))/100</f>
        <v>8112.8</v>
      </c>
      <c r="N19" s="11">
        <f>VLOOKUP(I19,资产!$A:$AF,16,0)/100</f>
        <v>14933.36</v>
      </c>
      <c r="O19" s="11">
        <f>VLOOKUP(I19,资产!$A:$AF,17,0)/100</f>
        <v>6212.55</v>
      </c>
      <c r="P19" s="11">
        <f>VLOOKUP(I19,资产!$A:$AF,18,0)/100</f>
        <v>8629.8700000000008</v>
      </c>
      <c r="Q19" s="11">
        <f>VLOOKUP(I19,资产!$A:$AF,20,0)/100</f>
        <v>15681.71</v>
      </c>
      <c r="R19" s="35">
        <f>VLOOKUP(I19,负债!$A:$P,5,0)/100</f>
        <v>30698.74</v>
      </c>
      <c r="S19" s="35">
        <f>VLOOKUP(I19,负债!$A:$P,6,0)/100</f>
        <v>8561.5499999999993</v>
      </c>
      <c r="T19" s="37">
        <f>VLOOKUP(I19,资产!$A:$AF,2,0)/100</f>
        <v>63678.87</v>
      </c>
      <c r="U19" s="37">
        <f>VLOOKUP(I19,资产!$A:$AF,7,0)/100</f>
        <v>53593.760000000002</v>
      </c>
      <c r="V19" s="37">
        <f>VLOOKUP(I19,负债!$A:$P,9,0)/100</f>
        <v>2795.84</v>
      </c>
      <c r="W19" s="37">
        <f>VLOOKUP(I19,负债!$A:$P,6,0)/100</f>
        <v>8561.5499999999993</v>
      </c>
      <c r="X19" s="11">
        <f>VLOOKUP(I19,负债!$A:$P,2,0)/100</f>
        <v>63290.55</v>
      </c>
      <c r="Y19" s="11">
        <f t="shared" si="0"/>
        <v>52321.479999999996</v>
      </c>
    </row>
    <row r="20" spans="1:25" x14ac:dyDescent="0.35">
      <c r="A20" s="11">
        <v>1</v>
      </c>
      <c r="C20" s="18" t="s">
        <v>95</v>
      </c>
      <c r="D20" s="19">
        <f>VLOOKUP($C$1,资产!$A:$AF,28,0)/100</f>
        <v>0.53</v>
      </c>
      <c r="E20" s="14"/>
      <c r="F20" s="18" t="s">
        <v>140</v>
      </c>
      <c r="G20" s="19">
        <f>VLOOKUP($C$1,负债!$A:$P,15,0)/100</f>
        <v>67.849999999999994</v>
      </c>
      <c r="I20" s="24">
        <v>43943</v>
      </c>
      <c r="J20" s="11">
        <f>VLOOKUP(I20,资产!$A:$AF,8,0)/100</f>
        <v>39093.519999999997</v>
      </c>
      <c r="K20" s="11">
        <f>VLOOKUP(I20,资产!$A:$AF,9,0)/100</f>
        <v>3260.44</v>
      </c>
      <c r="L20" s="11">
        <f>VLOOKUP(I20,资产!$A:$AF,10,0)/100</f>
        <v>33146.44</v>
      </c>
      <c r="M20" s="11">
        <f>(VLOOKUP(I20,资产!$A:$AF,13,0)+VLOOKUP(I20,资产!$A:$AF,14,0)+VLOOKUP(I20,资产!$A:$AF,15,0))/100</f>
        <v>8306.5300000000007</v>
      </c>
      <c r="N20" s="11">
        <f>VLOOKUP(I20,资产!$A:$AF,16,0)/100</f>
        <v>15363.92</v>
      </c>
      <c r="O20" s="11">
        <f>VLOOKUP(I20,资产!$A:$AF,17,0)/100</f>
        <v>6593.09</v>
      </c>
      <c r="P20" s="11">
        <f>VLOOKUP(I20,资产!$A:$AF,18,0)/100</f>
        <v>8829.9699999999993</v>
      </c>
      <c r="Q20" s="11">
        <f>VLOOKUP(I20,资产!$A:$AF,20,0)/100</f>
        <v>16224.87</v>
      </c>
      <c r="R20" s="35">
        <f>VLOOKUP(I20,负债!$A:$P,5,0)/100</f>
        <v>30999.8</v>
      </c>
      <c r="S20" s="35">
        <f>VLOOKUP(I20,负债!$A:$P,6,0)/100</f>
        <v>9499.99</v>
      </c>
      <c r="T20" s="37">
        <f>VLOOKUP(I20,资产!$A:$AF,2,0)/100</f>
        <v>65731.360000000001</v>
      </c>
      <c r="U20" s="37">
        <f>VLOOKUP(I20,资产!$A:$AF,7,0)/100</f>
        <v>55341.86</v>
      </c>
      <c r="V20" s="37">
        <f>VLOOKUP(I20,负债!$A:$P,9,0)/100</f>
        <v>2892.92</v>
      </c>
      <c r="W20" s="37">
        <f>VLOOKUP(I20,负债!$A:$P,6,0)/100</f>
        <v>9499.99</v>
      </c>
      <c r="X20" s="11">
        <f>VLOOKUP(I20,负债!$A:$P,2,0)/100</f>
        <v>65343.040000000001</v>
      </c>
      <c r="Y20" s="11">
        <f t="shared" si="0"/>
        <v>53338.450000000004</v>
      </c>
    </row>
    <row r="21" spans="1:25" x14ac:dyDescent="0.35">
      <c r="A21" s="11">
        <v>1</v>
      </c>
      <c r="C21" s="18" t="s">
        <v>96</v>
      </c>
      <c r="D21" s="19">
        <f>VLOOKUP($C$1,资产!$A:$AF,29,0)/100</f>
        <v>6.69</v>
      </c>
      <c r="E21" s="14"/>
      <c r="F21" s="18" t="s">
        <v>141</v>
      </c>
      <c r="G21" s="19">
        <f>VLOOKUP($C$1,负债!$A:$P,16,0)/100</f>
        <v>0</v>
      </c>
      <c r="I21" s="24">
        <v>43950</v>
      </c>
      <c r="J21" s="11">
        <f>VLOOKUP(I21,资产!$A:$AF,8,0)/100</f>
        <v>39714.19</v>
      </c>
      <c r="K21" s="11">
        <f>VLOOKUP(I21,资产!$A:$AF,9,0)/100</f>
        <v>3260.44</v>
      </c>
      <c r="L21" s="11">
        <f>VLOOKUP(I21,资产!$A:$AF,10,0)/100</f>
        <v>33670.47</v>
      </c>
      <c r="M21" s="11">
        <f>(VLOOKUP(I21,资产!$A:$AF,13,0)+VLOOKUP(I21,资产!$A:$AF,14,0)+VLOOKUP(I21,资产!$A:$AF,15,0))/100</f>
        <v>8409.7099999999991</v>
      </c>
      <c r="N21" s="11">
        <f>VLOOKUP(I21,资产!$A:$AF,16,0)/100</f>
        <v>15724.72</v>
      </c>
      <c r="O21" s="11">
        <f>VLOOKUP(I21,资产!$A:$AF,17,0)/100</f>
        <v>6655.96</v>
      </c>
      <c r="P21" s="11">
        <f>VLOOKUP(I21,资产!$A:$AF,18,0)/100</f>
        <v>8923.81</v>
      </c>
      <c r="Q21" s="11">
        <f>VLOOKUP(I21,资产!$A:$AF,20,0)/100</f>
        <v>16047.2</v>
      </c>
      <c r="R21" s="35">
        <f>VLOOKUP(I21,负债!$A:$P,5,0)/100</f>
        <v>31635.13</v>
      </c>
      <c r="S21" s="35">
        <f>VLOOKUP(I21,负债!$A:$P,6,0)/100</f>
        <v>10762.32</v>
      </c>
      <c r="T21" s="37">
        <f>VLOOKUP(I21,资产!$A:$AF,2,0)/100</f>
        <v>66559.289999999994</v>
      </c>
      <c r="U21" s="37">
        <f>VLOOKUP(I21,资产!$A:$AF,7,0)/100</f>
        <v>55784.86</v>
      </c>
      <c r="V21" s="37">
        <f>VLOOKUP(I21,负债!$A:$P,9,0)/100</f>
        <v>2691.06</v>
      </c>
      <c r="W21" s="37">
        <f>VLOOKUP(I21,负债!$A:$P,6,0)/100</f>
        <v>10762.32</v>
      </c>
      <c r="X21" s="11">
        <f>VLOOKUP(I21,负债!$A:$P,2,0)/100</f>
        <v>66170.91</v>
      </c>
      <c r="Y21" s="11">
        <f t="shared" si="0"/>
        <v>53105.909999999996</v>
      </c>
    </row>
    <row r="22" spans="1:25" x14ac:dyDescent="0.35">
      <c r="A22" s="11">
        <v>1</v>
      </c>
      <c r="C22" s="18" t="s">
        <v>97</v>
      </c>
      <c r="D22" s="19">
        <f>VLOOKUP($C$1,资产!$A:$AF,30,0)/100</f>
        <v>0.16</v>
      </c>
      <c r="E22" s="14"/>
      <c r="I22" s="24">
        <v>43957</v>
      </c>
      <c r="J22" s="11">
        <f>VLOOKUP(I22,资产!$A:$AF,8,0)/100</f>
        <v>40201.910000000003</v>
      </c>
      <c r="K22" s="11">
        <f>VLOOKUP(I22,资产!$A:$AF,9,0)/100</f>
        <v>3260.44</v>
      </c>
      <c r="L22" s="11">
        <f>VLOOKUP(I22,资产!$A:$AF,10,0)/100</f>
        <v>34095.160000000003</v>
      </c>
      <c r="M22" s="11">
        <f>(VLOOKUP(I22,资产!$A:$AF,13,0)+VLOOKUP(I22,资产!$A:$AF,14,0)+VLOOKUP(I22,资产!$A:$AF,15,0))/100</f>
        <v>8769.1299999999992</v>
      </c>
      <c r="N22" s="11">
        <f>VLOOKUP(I22,资产!$A:$AF,16,0)/100</f>
        <v>15685.84</v>
      </c>
      <c r="O22" s="11">
        <f>VLOOKUP(I22,资产!$A:$AF,17,0)/100</f>
        <v>6758.1</v>
      </c>
      <c r="P22" s="11">
        <f>VLOOKUP(I22,资产!$A:$AF,18,0)/100</f>
        <v>8988.85</v>
      </c>
      <c r="Q22" s="11">
        <f>VLOOKUP(I22,资产!$A:$AF,20,0)/100</f>
        <v>16053.8</v>
      </c>
      <c r="R22" s="35">
        <f>VLOOKUP(I22,负债!$A:$P,5,0)/100</f>
        <v>31656.06</v>
      </c>
      <c r="S22" s="35">
        <f>VLOOKUP(I22,负债!$A:$P,6,0)/100</f>
        <v>11432.68</v>
      </c>
      <c r="T22" s="37">
        <f>VLOOKUP(I22,资产!$A:$AF,2,0)/100</f>
        <v>67214.2</v>
      </c>
      <c r="U22" s="37">
        <f>VLOOKUP(I22,资产!$A:$AF,7,0)/100</f>
        <v>56279.18</v>
      </c>
      <c r="V22" s="37">
        <f>VLOOKUP(I22,负债!$A:$P,9,0)/100</f>
        <v>2652.06</v>
      </c>
      <c r="W22" s="37">
        <f>VLOOKUP(I22,负债!$A:$P,6,0)/100</f>
        <v>11432.68</v>
      </c>
      <c r="X22" s="11">
        <f>VLOOKUP(I22,负债!$A:$P,2,0)/100</f>
        <v>66825.490000000005</v>
      </c>
      <c r="Y22" s="11">
        <f t="shared" si="0"/>
        <v>53129.46</v>
      </c>
    </row>
    <row r="23" spans="1:25" x14ac:dyDescent="0.35">
      <c r="A23" s="11">
        <v>1</v>
      </c>
      <c r="C23" s="18" t="s">
        <v>98</v>
      </c>
      <c r="D23" s="19">
        <f>VLOOKUP($C$1,资产!$A:$AF,31,0)/100</f>
        <v>192.43</v>
      </c>
      <c r="E23" s="14"/>
      <c r="I23" s="24">
        <v>43964</v>
      </c>
      <c r="J23" s="11">
        <f>VLOOKUP(I23,资产!$A:$AF,8,0)/100</f>
        <v>40572.68</v>
      </c>
      <c r="K23" s="11">
        <f>VLOOKUP(I23,资产!$A:$AF,9,0)/100</f>
        <v>3260.44</v>
      </c>
      <c r="L23" s="11">
        <f>VLOOKUP(I23,资产!$A:$AF,10,0)/100</f>
        <v>34426.160000000003</v>
      </c>
      <c r="M23" s="11">
        <f>(VLOOKUP(I23,资产!$A:$AF,13,0)+VLOOKUP(I23,资产!$A:$AF,14,0)+VLOOKUP(I23,资产!$A:$AF,15,0))/100</f>
        <v>8817.85</v>
      </c>
      <c r="N23" s="11">
        <f>VLOOKUP(I23,资产!$A:$AF,16,0)/100</f>
        <v>15844.94</v>
      </c>
      <c r="O23" s="11">
        <f>VLOOKUP(I23,资产!$A:$AF,17,0)/100</f>
        <v>6866.28</v>
      </c>
      <c r="P23" s="11">
        <f>VLOOKUP(I23,资产!$A:$AF,18,0)/100</f>
        <v>9043.61</v>
      </c>
      <c r="Q23" s="11">
        <f>VLOOKUP(I23,资产!$A:$AF,20,0)/100</f>
        <v>17837.61</v>
      </c>
      <c r="R23" s="35">
        <f>VLOOKUP(I23,负债!$A:$P,5,0)/100</f>
        <v>32634.31</v>
      </c>
      <c r="S23" s="35">
        <f>VLOOKUP(I23,负债!$A:$P,6,0)/100</f>
        <v>11381.72</v>
      </c>
      <c r="T23" s="37">
        <f>VLOOKUP(I23,资产!$A:$AF,2,0)/100</f>
        <v>69342.27</v>
      </c>
      <c r="U23" s="37">
        <f>VLOOKUP(I23,资产!$A:$AF,7,0)/100</f>
        <v>58433.760000000002</v>
      </c>
      <c r="V23" s="37">
        <f>VLOOKUP(I23,负债!$A:$P,9,0)/100</f>
        <v>2811.5</v>
      </c>
      <c r="W23" s="37">
        <f>VLOOKUP(I23,负债!$A:$P,6,0)/100</f>
        <v>11381.72</v>
      </c>
      <c r="X23" s="11">
        <f>VLOOKUP(I23,负债!$A:$P,2,0)/100</f>
        <v>68953.36</v>
      </c>
      <c r="Y23" s="11">
        <f t="shared" si="0"/>
        <v>55149.05</v>
      </c>
    </row>
    <row r="24" spans="1:25" x14ac:dyDescent="0.35">
      <c r="A24" s="11">
        <v>1</v>
      </c>
      <c r="C24" s="18" t="s">
        <v>99</v>
      </c>
      <c r="D24" s="19">
        <f>VLOOKUP($C$1,资产!$A:$AF,32,0)/100</f>
        <v>303.33</v>
      </c>
      <c r="E24" s="14"/>
      <c r="I24" s="24">
        <v>43971</v>
      </c>
      <c r="J24" s="11">
        <f>VLOOKUP(I24,资产!$A:$AF,8,0)/100</f>
        <v>40893.31</v>
      </c>
      <c r="K24" s="11">
        <f>VLOOKUP(I24,资产!$A:$AF,9,0)/100</f>
        <v>3260.44</v>
      </c>
      <c r="L24" s="11">
        <f>VLOOKUP(I24,资产!$A:$AF,10,0)/100</f>
        <v>34712.239999999998</v>
      </c>
      <c r="M24" s="11">
        <f>(VLOOKUP(I24,资产!$A:$AF,13,0)+VLOOKUP(I24,资产!$A:$AF,14,0)+VLOOKUP(I24,资产!$A:$AF,15,0))/100</f>
        <v>8988.77</v>
      </c>
      <c r="N24" s="11">
        <f>VLOOKUP(I24,资产!$A:$AF,16,0)/100</f>
        <v>15680.66</v>
      </c>
      <c r="O24" s="11">
        <f>VLOOKUP(I24,资产!$A:$AF,17,0)/100</f>
        <v>7112.58</v>
      </c>
      <c r="P24" s="11">
        <f>VLOOKUP(I24,资产!$A:$AF,18,0)/100</f>
        <v>9111.2999999999993</v>
      </c>
      <c r="Q24" s="11">
        <f>VLOOKUP(I24,资产!$A:$AF,20,0)/100</f>
        <v>18628.41</v>
      </c>
      <c r="R24" s="35">
        <f>VLOOKUP(I24,负债!$A:$P,5,0)/100</f>
        <v>33042.21</v>
      </c>
      <c r="S24" s="35">
        <f>VLOOKUP(I24,负债!$A:$P,6,0)/100</f>
        <v>11932.97</v>
      </c>
      <c r="T24" s="37">
        <f>VLOOKUP(I24,资产!$A:$AF,2,0)/100</f>
        <v>70372.58</v>
      </c>
      <c r="U24" s="37">
        <f>VLOOKUP(I24,资产!$A:$AF,7,0)/100</f>
        <v>59545.18</v>
      </c>
      <c r="V24" s="37">
        <f>VLOOKUP(I24,负债!$A:$P,9,0)/100</f>
        <v>2666.49</v>
      </c>
      <c r="W24" s="37">
        <f>VLOOKUP(I24,负债!$A:$P,6,0)/100</f>
        <v>11932.97</v>
      </c>
      <c r="X24" s="11">
        <f>VLOOKUP(I24,负债!$A:$P,2,0)/100</f>
        <v>69983.649999999994</v>
      </c>
      <c r="Y24" s="11">
        <f t="shared" si="0"/>
        <v>55773.119999999995</v>
      </c>
    </row>
    <row r="25" spans="1:25" x14ac:dyDescent="0.35">
      <c r="I25" s="24">
        <v>43978</v>
      </c>
      <c r="J25" s="11">
        <f>VLOOKUP(I25,资产!$A:$AF,8,0)/100</f>
        <v>41095.120000000003</v>
      </c>
      <c r="K25" s="11">
        <f>VLOOKUP(I25,资产!$A:$AF,9,0)/100</f>
        <v>3260.44</v>
      </c>
      <c r="L25" s="11">
        <f>VLOOKUP(I25,资产!$A:$AF,10,0)/100</f>
        <v>34891.74</v>
      </c>
      <c r="M25" s="11">
        <f>(VLOOKUP(I25,资产!$A:$AF,13,0)+VLOOKUP(I25,资产!$A:$AF,14,0)+VLOOKUP(I25,资产!$A:$AF,15,0))/100</f>
        <v>8988.67</v>
      </c>
      <c r="N25" s="11">
        <f>VLOOKUP(I25,资产!$A:$AF,16,0)/100</f>
        <v>15775.52</v>
      </c>
      <c r="O25" s="11">
        <f>VLOOKUP(I25,资产!$A:$AF,17,0)/100</f>
        <v>7199.15</v>
      </c>
      <c r="P25" s="11">
        <f>VLOOKUP(I25,资产!$A:$AF,18,0)/100</f>
        <v>9131.77</v>
      </c>
      <c r="Q25" s="11">
        <f>VLOOKUP(I25,资产!$A:$AF,20,0)/100</f>
        <v>18351.099999999999</v>
      </c>
      <c r="R25" s="35">
        <f>VLOOKUP(I25,负债!$A:$P,5,0)/100</f>
        <v>33176.879999999997</v>
      </c>
      <c r="S25" s="35">
        <f>VLOOKUP(I25,负债!$A:$P,6,0)/100</f>
        <v>13268.97</v>
      </c>
      <c r="T25" s="37">
        <f>VLOOKUP(I25,资产!$A:$AF,2,0)/100</f>
        <v>70973.16</v>
      </c>
      <c r="U25" s="37">
        <f>VLOOKUP(I25,资产!$A:$AF,7,0)/100</f>
        <v>59469.69</v>
      </c>
      <c r="V25" s="37">
        <f>VLOOKUP(I25,负债!$A:$P,9,0)/100</f>
        <v>2439.7600000000002</v>
      </c>
      <c r="W25" s="37">
        <f>VLOOKUP(I25,负债!$A:$P,6,0)/100</f>
        <v>13268.97</v>
      </c>
      <c r="X25" s="11">
        <f>VLOOKUP(I25,负债!$A:$P,2,0)/100</f>
        <v>70584.02</v>
      </c>
      <c r="Y25" s="11">
        <f t="shared" si="0"/>
        <v>55264.430000000008</v>
      </c>
    </row>
    <row r="26" spans="1:25" x14ac:dyDescent="0.35">
      <c r="I26" s="24">
        <v>43985</v>
      </c>
      <c r="J26" s="11">
        <f>VLOOKUP(I26,资产!$A:$AF,8,0)/100</f>
        <v>41343.56</v>
      </c>
      <c r="K26" s="11">
        <f>VLOOKUP(I26,资产!$A:$AF,9,0)/100</f>
        <v>3260.44</v>
      </c>
      <c r="L26" s="11">
        <f>VLOOKUP(I26,资产!$A:$AF,10,0)/100</f>
        <v>35124.239999999998</v>
      </c>
      <c r="M26" s="11">
        <f>(VLOOKUP(I26,资产!$A:$AF,13,0)+VLOOKUP(I26,资产!$A:$AF,14,0)+VLOOKUP(I26,资产!$A:$AF,15,0))/100</f>
        <v>9224.49</v>
      </c>
      <c r="N26" s="11">
        <f>VLOOKUP(I26,资产!$A:$AF,16,0)/100</f>
        <v>15751.73</v>
      </c>
      <c r="O26" s="11">
        <f>VLOOKUP(I26,资产!$A:$AF,17,0)/100</f>
        <v>7193.93</v>
      </c>
      <c r="P26" s="11">
        <f>VLOOKUP(I26,资产!$A:$AF,18,0)/100</f>
        <v>9173.41</v>
      </c>
      <c r="Q26" s="11">
        <f>VLOOKUP(I26,资产!$A:$AF,20,0)/100</f>
        <v>18355.939999999999</v>
      </c>
      <c r="R26" s="35">
        <f>VLOOKUP(I26,负债!$A:$P,5,0)/100</f>
        <v>32574.35</v>
      </c>
      <c r="S26" s="35">
        <f>VLOOKUP(I26,负债!$A:$P,6,0)/100</f>
        <v>14314.62</v>
      </c>
      <c r="T26" s="37">
        <f>VLOOKUP(I26,资产!$A:$AF,2,0)/100</f>
        <v>71652.17</v>
      </c>
      <c r="U26" s="37">
        <f>VLOOKUP(I26,资产!$A:$AF,7,0)/100</f>
        <v>59722.97</v>
      </c>
      <c r="V26" s="37">
        <f>VLOOKUP(I26,负债!$A:$P,9,0)/100</f>
        <v>2460.54</v>
      </c>
      <c r="W26" s="37">
        <f>VLOOKUP(I26,负债!$A:$P,6,0)/100</f>
        <v>14314.62</v>
      </c>
      <c r="X26" s="11">
        <f>VLOOKUP(I26,负债!$A:$P,2,0)/100</f>
        <v>71263</v>
      </c>
      <c r="Y26" s="11">
        <f t="shared" si="0"/>
        <v>54877.01</v>
      </c>
    </row>
    <row r="27" spans="1:25" x14ac:dyDescent="0.35">
      <c r="I27" s="24">
        <v>43992</v>
      </c>
      <c r="J27" s="11">
        <f>VLOOKUP(I27,资产!$A:$AF,8,0)/100</f>
        <v>41504.089999999997</v>
      </c>
      <c r="K27" s="11">
        <f>VLOOKUP(I27,资产!$A:$AF,9,0)/100</f>
        <v>3260.44</v>
      </c>
      <c r="L27" s="11">
        <f>VLOOKUP(I27,资产!$A:$AF,10,0)/100</f>
        <v>35267.74</v>
      </c>
      <c r="M27" s="11">
        <f>(VLOOKUP(I27,资产!$A:$AF,13,0)+VLOOKUP(I27,资产!$A:$AF,14,0)+VLOOKUP(I27,资产!$A:$AF,15,0))/100</f>
        <v>9224.18</v>
      </c>
      <c r="N27" s="11">
        <f>VLOOKUP(I27,资产!$A:$AF,16,0)/100</f>
        <v>15810.35</v>
      </c>
      <c r="O27" s="11">
        <f>VLOOKUP(I27,资产!$A:$AF,17,0)/100</f>
        <v>7253.16</v>
      </c>
      <c r="P27" s="11">
        <f>VLOOKUP(I27,资产!$A:$AF,18,0)/100</f>
        <v>9216.4</v>
      </c>
      <c r="Q27" s="11">
        <f>VLOOKUP(I27,资产!$A:$AF,20,0)/100</f>
        <v>18355.95</v>
      </c>
      <c r="R27" s="35">
        <f>VLOOKUP(I27,负债!$A:$P,5,0)/100</f>
        <v>31906.54</v>
      </c>
      <c r="S27" s="35">
        <f>VLOOKUP(I27,负债!$A:$P,6,0)/100</f>
        <v>15045.69</v>
      </c>
      <c r="T27" s="37">
        <f>VLOOKUP(I27,资产!$A:$AF,2,0)/100</f>
        <v>71689.36</v>
      </c>
      <c r="U27" s="37">
        <f>VLOOKUP(I27,资产!$A:$AF,7,0)/100</f>
        <v>59883.51</v>
      </c>
      <c r="V27" s="37">
        <f>VLOOKUP(I27,负债!$A:$P,9,0)/100</f>
        <v>2408.14</v>
      </c>
      <c r="W27" s="37">
        <f>VLOOKUP(I27,负债!$A:$P,6,0)/100</f>
        <v>15045.69</v>
      </c>
      <c r="X27" s="11">
        <f>VLOOKUP(I27,负债!$A:$P,2,0)/100</f>
        <v>71300.210000000006</v>
      </c>
      <c r="Y27" s="11">
        <f t="shared" si="0"/>
        <v>54235.53</v>
      </c>
    </row>
    <row r="28" spans="1:25" x14ac:dyDescent="0.35">
      <c r="I28" s="24">
        <v>43999</v>
      </c>
      <c r="J28" s="11">
        <f>VLOOKUP(I28,资产!$A:$AF,8,0)/100</f>
        <v>41693.4</v>
      </c>
      <c r="K28" s="11">
        <f>VLOOKUP(I28,资产!$A:$AF,9,0)/100</f>
        <v>3260.44</v>
      </c>
      <c r="L28" s="11">
        <f>VLOOKUP(I28,资产!$A:$AF,10,0)/100</f>
        <v>35423.89</v>
      </c>
      <c r="M28" s="11">
        <f>(VLOOKUP(I28,资产!$A:$AF,13,0)+VLOOKUP(I28,资产!$A:$AF,14,0)+VLOOKUP(I28,资产!$A:$AF,15,0))/100</f>
        <v>9344.02</v>
      </c>
      <c r="N28" s="11">
        <f>VLOOKUP(I28,资产!$A:$AF,16,0)/100</f>
        <v>15817.75</v>
      </c>
      <c r="O28" s="11">
        <f>VLOOKUP(I28,资产!$A:$AF,17,0)/100</f>
        <v>7291.59</v>
      </c>
      <c r="P28" s="11">
        <f>VLOOKUP(I28,资产!$A:$AF,18,0)/100</f>
        <v>9240.06</v>
      </c>
      <c r="Q28" s="11">
        <f>VLOOKUP(I28,资产!$A:$AF,20,0)/100</f>
        <v>19187.41</v>
      </c>
      <c r="R28" s="35">
        <f>VLOOKUP(I28,负债!$A:$P,5,0)/100</f>
        <v>30694.39</v>
      </c>
      <c r="S28" s="35">
        <f>VLOOKUP(I28,负债!$A:$P,6,0)/100</f>
        <v>15653.06</v>
      </c>
      <c r="T28" s="37">
        <f>VLOOKUP(I28,资产!$A:$AF,2,0)/100</f>
        <v>70946.899999999994</v>
      </c>
      <c r="U28" s="37">
        <f>VLOOKUP(I28,资产!$A:$AF,7,0)/100</f>
        <v>60904.28</v>
      </c>
      <c r="V28" s="37">
        <f>VLOOKUP(I28,负债!$A:$P,9,0)/100</f>
        <v>2254.62</v>
      </c>
      <c r="W28" s="37">
        <f>VLOOKUP(I28,负债!$A:$P,6,0)/100</f>
        <v>15653.06</v>
      </c>
      <c r="X28" s="11">
        <f>VLOOKUP(I28,负债!$A:$P,2,0)/100</f>
        <v>70557.759999999995</v>
      </c>
      <c r="Y28" s="11">
        <f t="shared" si="0"/>
        <v>53039.22</v>
      </c>
    </row>
    <row r="29" spans="1:25" x14ac:dyDescent="0.35">
      <c r="I29" s="24">
        <v>44006</v>
      </c>
      <c r="J29" s="11">
        <f>VLOOKUP(I29,资产!$A:$AF,8,0)/100</f>
        <v>41974.04</v>
      </c>
      <c r="K29" s="11">
        <f>VLOOKUP(I29,资产!$A:$AF,9,0)/100</f>
        <v>3260.44</v>
      </c>
      <c r="L29" s="11">
        <f>VLOOKUP(I29,资产!$A:$AF,10,0)/100</f>
        <v>35709.24</v>
      </c>
      <c r="M29" s="11">
        <f>(VLOOKUP(I29,资产!$A:$AF,13,0)+VLOOKUP(I29,资产!$A:$AF,14,0)+VLOOKUP(I29,资产!$A:$AF,15,0))/100</f>
        <v>9434.58</v>
      </c>
      <c r="N29" s="11">
        <f>VLOOKUP(I29,资产!$A:$AF,16,0)/100</f>
        <v>15924.47</v>
      </c>
      <c r="O29" s="11">
        <f>VLOOKUP(I29,资产!$A:$AF,17,0)/100</f>
        <v>7358.83</v>
      </c>
      <c r="P29" s="11">
        <f>VLOOKUP(I29,资产!$A:$AF,18,0)/100</f>
        <v>9256.17</v>
      </c>
      <c r="Q29" s="11">
        <f>VLOOKUP(I29,资产!$A:$AF,20,0)/100</f>
        <v>19434.41</v>
      </c>
      <c r="R29" s="35">
        <f>VLOOKUP(I29,负债!$A:$P,5,0)/100</f>
        <v>29376.57</v>
      </c>
      <c r="S29" s="35">
        <f>VLOOKUP(I29,负债!$A:$P,6,0)/100</f>
        <v>15865.73</v>
      </c>
      <c r="T29" s="37">
        <f>VLOOKUP(I29,资产!$A:$AF,2,0)/100</f>
        <v>70823.02</v>
      </c>
      <c r="U29" s="37">
        <f>VLOOKUP(I29,资产!$A:$AF,7,0)/100</f>
        <v>61431.93</v>
      </c>
      <c r="V29" s="37">
        <f>VLOOKUP(I29,负债!$A:$P,9,0)/100</f>
        <v>2203.62</v>
      </c>
      <c r="W29" s="37">
        <f>VLOOKUP(I29,负债!$A:$P,6,0)/100</f>
        <v>15865.73</v>
      </c>
      <c r="X29" s="11">
        <f>VLOOKUP(I29,负债!$A:$P,2,0)/100</f>
        <v>70433.91</v>
      </c>
      <c r="Y29" s="11">
        <f t="shared" si="0"/>
        <v>52753.670000000013</v>
      </c>
    </row>
    <row r="30" spans="1:25" x14ac:dyDescent="0.35">
      <c r="I30" s="24">
        <v>44013</v>
      </c>
      <c r="J30" s="11">
        <f>VLOOKUP(I30,资产!$A:$AF,8,0)/100</f>
        <v>42132.2</v>
      </c>
      <c r="K30" s="11">
        <f>VLOOKUP(I30,资产!$A:$AF,9,0)/100</f>
        <v>3260.44</v>
      </c>
      <c r="L30" s="11">
        <f>VLOOKUP(I30,资产!$A:$AF,10,0)/100</f>
        <v>35811.39</v>
      </c>
      <c r="M30" s="11">
        <f>(VLOOKUP(I30,资产!$A:$AF,13,0)+VLOOKUP(I30,资产!$A:$AF,14,0)+VLOOKUP(I30,资产!$A:$AF,15,0))/100</f>
        <v>9507.51</v>
      </c>
      <c r="N30" s="11">
        <f>VLOOKUP(I30,资产!$A:$AF,16,0)/100</f>
        <v>15979.28</v>
      </c>
      <c r="O30" s="11">
        <f>VLOOKUP(I30,资产!$A:$AF,17,0)/100</f>
        <v>7321.5</v>
      </c>
      <c r="P30" s="11">
        <f>VLOOKUP(I30,资产!$A:$AF,18,0)/100</f>
        <v>9323.91</v>
      </c>
      <c r="Q30" s="11">
        <f>VLOOKUP(I30,资产!$A:$AF,20,0)/100</f>
        <v>19113.810000000001</v>
      </c>
      <c r="R30" s="35">
        <f>VLOOKUP(I30,负债!$A:$P,5,0)/100</f>
        <v>28631.96</v>
      </c>
      <c r="S30" s="35">
        <f>VLOOKUP(I30,负债!$A:$P,6,0)/100</f>
        <v>16567.47</v>
      </c>
      <c r="T30" s="37">
        <f>VLOOKUP(I30,资产!$A:$AF,2,0)/100</f>
        <v>70090.399999999994</v>
      </c>
      <c r="U30" s="37">
        <f>VLOOKUP(I30,资产!$A:$AF,7,0)/100</f>
        <v>61269.48</v>
      </c>
      <c r="V30" s="37">
        <f>VLOOKUP(I30,负债!$A:$P,9,0)/100</f>
        <v>2272.36</v>
      </c>
      <c r="W30" s="37">
        <f>VLOOKUP(I30,负债!$A:$P,6,0)/100</f>
        <v>16567.47</v>
      </c>
      <c r="X30" s="11">
        <f>VLOOKUP(I30,负债!$A:$P,2,0)/100</f>
        <v>69701.95</v>
      </c>
      <c r="Y30" s="11">
        <f t="shared" si="0"/>
        <v>51250.569999999992</v>
      </c>
    </row>
    <row r="31" spans="1:25" x14ac:dyDescent="0.35">
      <c r="I31" s="24">
        <v>44020</v>
      </c>
      <c r="J31" s="11">
        <f>VLOOKUP(I31,资产!$A:$AF,8,0)/100</f>
        <v>42313.55</v>
      </c>
      <c r="K31" s="11">
        <f>VLOOKUP(I31,资产!$A:$AF,9,0)/100</f>
        <v>3260.44</v>
      </c>
      <c r="L31" s="11">
        <f>VLOOKUP(I31,资产!$A:$AF,10,0)/100</f>
        <v>35992.730000000003</v>
      </c>
      <c r="M31" s="11">
        <f>(VLOOKUP(I31,资产!$A:$AF,13,0)+VLOOKUP(I31,资产!$A:$AF,14,0)+VLOOKUP(I31,资产!$A:$AF,15,0))/100</f>
        <v>9542.42</v>
      </c>
      <c r="N31" s="11">
        <f>VLOOKUP(I31,资产!$A:$AF,16,0)/100</f>
        <v>16072.39</v>
      </c>
      <c r="O31" s="11">
        <f>VLOOKUP(I31,资产!$A:$AF,17,0)/100</f>
        <v>7354.26</v>
      </c>
      <c r="P31" s="11">
        <f>VLOOKUP(I31,资产!$A:$AF,18,0)/100</f>
        <v>9344.48</v>
      </c>
      <c r="Q31" s="11">
        <f>VLOOKUP(I31,资产!$A:$AF,20,0)/100</f>
        <v>19114.009999999998</v>
      </c>
      <c r="R31" s="35">
        <f>VLOOKUP(I31,负债!$A:$P,5,0)/100</f>
        <v>28132.959999999999</v>
      </c>
      <c r="S31" s="35">
        <f>VLOOKUP(I31,负债!$A:$P,6,0)/100</f>
        <v>16244.04</v>
      </c>
      <c r="T31" s="37">
        <f>VLOOKUP(I31,资产!$A:$AF,2,0)/100</f>
        <v>69207.16</v>
      </c>
      <c r="U31" s="37">
        <f>VLOOKUP(I31,资产!$A:$AF,7,0)/100</f>
        <v>61451.03</v>
      </c>
      <c r="V31" s="37">
        <f>VLOOKUP(I31,负债!$A:$P,9,0)/100</f>
        <v>2248.6</v>
      </c>
      <c r="W31" s="37">
        <f>VLOOKUP(I31,负债!$A:$P,6,0)/100</f>
        <v>16244.04</v>
      </c>
      <c r="X31" s="11">
        <f>VLOOKUP(I31,负债!$A:$P,2,0)/100</f>
        <v>68819.55</v>
      </c>
      <c r="Y31" s="11">
        <f t="shared" si="0"/>
        <v>50714.52</v>
      </c>
    </row>
    <row r="32" spans="1:25" x14ac:dyDescent="0.35">
      <c r="I32" s="24">
        <v>44027</v>
      </c>
      <c r="J32" s="11">
        <f>VLOOKUP(I32,资产!$A:$AF,8,0)/100</f>
        <v>42532.29</v>
      </c>
      <c r="K32" s="11">
        <f>VLOOKUP(I32,资产!$A:$AF,9,0)/100</f>
        <v>3260.44</v>
      </c>
      <c r="L32" s="11">
        <f>VLOOKUP(I32,资产!$A:$AF,10,0)/100</f>
        <v>36250.89</v>
      </c>
      <c r="M32" s="11">
        <f>(VLOOKUP(I32,资产!$A:$AF,13,0)+VLOOKUP(I32,资产!$A:$AF,14,0)+VLOOKUP(I32,资产!$A:$AF,15,0))/100</f>
        <v>9716.59</v>
      </c>
      <c r="N32" s="11">
        <f>VLOOKUP(I32,资产!$A:$AF,16,0)/100</f>
        <v>16048.39</v>
      </c>
      <c r="O32" s="11">
        <f>VLOOKUP(I32,资产!$A:$AF,17,0)/100</f>
        <v>7381.29</v>
      </c>
      <c r="P32" s="11">
        <f>VLOOKUP(I32,资产!$A:$AF,18,0)/100</f>
        <v>9386.0400000000009</v>
      </c>
      <c r="Q32" s="11">
        <f>VLOOKUP(I32,资产!$A:$AF,20,0)/100</f>
        <v>19483.88</v>
      </c>
      <c r="R32" s="35">
        <f>VLOOKUP(I32,负债!$A:$P,5,0)/100</f>
        <v>27326.49</v>
      </c>
      <c r="S32" s="35">
        <f>VLOOKUP(I32,负债!$A:$P,6,0)/100</f>
        <v>17404.55</v>
      </c>
      <c r="T32" s="37">
        <f>VLOOKUP(I32,资产!$A:$AF,2,0)/100</f>
        <v>69586.039999999994</v>
      </c>
      <c r="U32" s="37">
        <f>VLOOKUP(I32,资产!$A:$AF,7,0)/100</f>
        <v>62039.65</v>
      </c>
      <c r="V32" s="37">
        <f>VLOOKUP(I32,负债!$A:$P,9,0)/100</f>
        <v>2242.29</v>
      </c>
      <c r="W32" s="37">
        <f>VLOOKUP(I32,负债!$A:$P,6,0)/100</f>
        <v>17404.55</v>
      </c>
      <c r="X32" s="11">
        <f>VLOOKUP(I32,负债!$A:$P,2,0)/100</f>
        <v>69198.429999999993</v>
      </c>
      <c r="Y32" s="11">
        <f t="shared" si="0"/>
        <v>49939.199999999997</v>
      </c>
    </row>
    <row r="33" spans="9:25" x14ac:dyDescent="0.35">
      <c r="I33" s="24">
        <v>44034</v>
      </c>
      <c r="J33" s="11">
        <f>VLOOKUP(I33,资产!$A:$AF,8,0)/100</f>
        <v>42658.78</v>
      </c>
      <c r="K33" s="11">
        <f>VLOOKUP(I33,资产!$A:$AF,9,0)/100</f>
        <v>3260.44</v>
      </c>
      <c r="L33" s="11">
        <f>VLOOKUP(I33,资产!$A:$AF,10,0)/100</f>
        <v>36364.25</v>
      </c>
      <c r="M33" s="11">
        <f>(VLOOKUP(I33,资产!$A:$AF,13,0)+VLOOKUP(I33,资产!$A:$AF,14,0)+VLOOKUP(I33,资产!$A:$AF,15,0))/100</f>
        <v>9716.58</v>
      </c>
      <c r="N33" s="11">
        <f>VLOOKUP(I33,资产!$A:$AF,16,0)/100</f>
        <v>16071.35</v>
      </c>
      <c r="O33" s="11">
        <f>VLOOKUP(I33,资产!$A:$AF,17,0)/100</f>
        <v>7458.67</v>
      </c>
      <c r="P33" s="11">
        <f>VLOOKUP(I33,资产!$A:$AF,18,0)/100</f>
        <v>9412.19</v>
      </c>
      <c r="Q33" s="11">
        <f>VLOOKUP(I33,资产!$A:$AF,20,0)/100</f>
        <v>19706</v>
      </c>
      <c r="R33" s="35">
        <f>VLOOKUP(I33,负债!$A:$P,5,0)/100</f>
        <v>26596.58</v>
      </c>
      <c r="S33" s="35">
        <f>VLOOKUP(I33,负债!$A:$P,6,0)/100</f>
        <v>17771.8</v>
      </c>
      <c r="T33" s="37">
        <f>VLOOKUP(I33,资产!$A:$AF,2,0)/100</f>
        <v>69647.55</v>
      </c>
      <c r="U33" s="37">
        <f>VLOOKUP(I33,资产!$A:$AF,7,0)/100</f>
        <v>62388.25</v>
      </c>
      <c r="V33" s="37">
        <f>VLOOKUP(I33,负债!$A:$P,9,0)/100</f>
        <v>2146.65</v>
      </c>
      <c r="W33" s="37">
        <f>VLOOKUP(I33,负债!$A:$P,6,0)/100</f>
        <v>17771.8</v>
      </c>
      <c r="X33" s="11">
        <f>VLOOKUP(I33,负债!$A:$P,2,0)/100</f>
        <v>69259.94</v>
      </c>
      <c r="Y33" s="11">
        <f t="shared" si="0"/>
        <v>49729.100000000006</v>
      </c>
    </row>
    <row r="34" spans="9:25" x14ac:dyDescent="0.35">
      <c r="I34" s="24">
        <v>44041</v>
      </c>
      <c r="J34" s="11">
        <f>VLOOKUP(I34,资产!$A:$AF,8,0)/100</f>
        <v>42935.63</v>
      </c>
      <c r="K34" s="11">
        <f>VLOOKUP(I34,资产!$A:$AF,9,0)/100</f>
        <v>3260.44</v>
      </c>
      <c r="L34" s="11">
        <f>VLOOKUP(I34,资产!$A:$AF,10,0)/100</f>
        <v>36614.92</v>
      </c>
      <c r="M34" s="11">
        <f>(VLOOKUP(I34,资产!$A:$AF,13,0)+VLOOKUP(I34,资产!$A:$AF,14,0)+VLOOKUP(I34,资产!$A:$AF,15,0))/100</f>
        <v>9755.0499999999993</v>
      </c>
      <c r="N34" s="11">
        <f>VLOOKUP(I34,资产!$A:$AF,16,0)/100</f>
        <v>16272.18</v>
      </c>
      <c r="O34" s="11">
        <f>VLOOKUP(I34,资产!$A:$AF,17,0)/100</f>
        <v>7461.56</v>
      </c>
      <c r="P34" s="11">
        <f>VLOOKUP(I34,资产!$A:$AF,18,0)/100</f>
        <v>9446.84</v>
      </c>
      <c r="Q34" s="11">
        <f>VLOOKUP(I34,资产!$A:$AF,20,0)/100</f>
        <v>19333.8</v>
      </c>
      <c r="R34" s="35">
        <f>VLOOKUP(I34,负债!$A:$P,5,0)/100</f>
        <v>26853.759999999998</v>
      </c>
      <c r="S34" s="35">
        <f>VLOOKUP(I34,负债!$A:$P,6,0)/100</f>
        <v>17924.34</v>
      </c>
      <c r="T34" s="37">
        <f>VLOOKUP(I34,资产!$A:$AF,2,0)/100</f>
        <v>69490.320000000007</v>
      </c>
      <c r="U34" s="37">
        <f>VLOOKUP(I34,资产!$A:$AF,7,0)/100</f>
        <v>62292.91</v>
      </c>
      <c r="V34" s="37">
        <f>VLOOKUP(I34,负债!$A:$P,9,0)/100</f>
        <v>2170.5300000000002</v>
      </c>
      <c r="W34" s="37">
        <f>VLOOKUP(I34,负债!$A:$P,6,0)/100</f>
        <v>17924.34</v>
      </c>
      <c r="X34" s="11">
        <f>VLOOKUP(I34,负债!$A:$P,2,0)/100</f>
        <v>69102.41</v>
      </c>
      <c r="Y34" s="11">
        <f t="shared" si="0"/>
        <v>49395.450000000012</v>
      </c>
    </row>
    <row r="35" spans="9:25" x14ac:dyDescent="0.35">
      <c r="I35" s="24">
        <v>44048</v>
      </c>
      <c r="J35" s="11">
        <f>VLOOKUP(I35,资产!$A:$AF,8,0)/100</f>
        <v>43056.51</v>
      </c>
      <c r="K35" s="11">
        <f>VLOOKUP(I35,资产!$A:$AF,9,0)/100</f>
        <v>3260.44</v>
      </c>
      <c r="L35" s="11">
        <f>VLOOKUP(I35,资产!$A:$AF,10,0)/100</f>
        <v>36704.35</v>
      </c>
      <c r="M35" s="11">
        <f>(VLOOKUP(I35,资产!$A:$AF,13,0)+VLOOKUP(I35,资产!$A:$AF,14,0)+VLOOKUP(I35,资产!$A:$AF,15,0))/100</f>
        <v>9716.66</v>
      </c>
      <c r="N35" s="11">
        <f>VLOOKUP(I35,资产!$A:$AF,16,0)/100</f>
        <v>16392.439999999999</v>
      </c>
      <c r="O35" s="11">
        <f>VLOOKUP(I35,资产!$A:$AF,17,0)/100</f>
        <v>7454.63</v>
      </c>
      <c r="P35" s="11">
        <f>VLOOKUP(I35,资产!$A:$AF,18,0)/100</f>
        <v>9492.7999999999993</v>
      </c>
      <c r="Q35" s="11">
        <f>VLOOKUP(I35,资产!$A:$AF,20,0)/100</f>
        <v>19334.66</v>
      </c>
      <c r="R35" s="35">
        <f>VLOOKUP(I35,负债!$A:$P,5,0)/100</f>
        <v>27535.31</v>
      </c>
      <c r="S35" s="35">
        <f>VLOOKUP(I35,负债!$A:$P,6,0)/100</f>
        <v>17066.37</v>
      </c>
      <c r="T35" s="37">
        <f>VLOOKUP(I35,资产!$A:$AF,2,0)/100</f>
        <v>69452.37</v>
      </c>
      <c r="U35" s="37">
        <f>VLOOKUP(I35,资产!$A:$AF,7,0)/100</f>
        <v>62414.64</v>
      </c>
      <c r="V35" s="37">
        <f>VLOOKUP(I35,负债!$A:$P,9,0)/100</f>
        <v>2124.48</v>
      </c>
      <c r="W35" s="37">
        <f>VLOOKUP(I35,负债!$A:$P,6,0)/100</f>
        <v>17066.37</v>
      </c>
      <c r="X35" s="11">
        <f>VLOOKUP(I35,负债!$A:$P,2,0)/100</f>
        <v>69063.62</v>
      </c>
      <c r="Y35" s="11">
        <f t="shared" si="0"/>
        <v>50261.520000000004</v>
      </c>
    </row>
    <row r="36" spans="9:25" x14ac:dyDescent="0.35">
      <c r="I36" s="24">
        <v>44055</v>
      </c>
      <c r="J36" s="11">
        <f>VLOOKUP(I36,资产!$A:$AF,8,0)/100</f>
        <v>43200.93</v>
      </c>
      <c r="K36" s="11">
        <f>VLOOKUP(I36,资产!$A:$AF,9,0)/100</f>
        <v>3260.44</v>
      </c>
      <c r="L36" s="11">
        <f>VLOOKUP(I36,资产!$A:$AF,10,0)/100</f>
        <v>36817.69</v>
      </c>
      <c r="M36" s="11">
        <f>(VLOOKUP(I36,资产!$A:$AF,13,0)+VLOOKUP(I36,资产!$A:$AF,14,0)+VLOOKUP(I36,资产!$A:$AF,15,0))/100</f>
        <v>9716.9500000000007</v>
      </c>
      <c r="N36" s="11">
        <f>VLOOKUP(I36,资产!$A:$AF,16,0)/100</f>
        <v>16425.29</v>
      </c>
      <c r="O36" s="11">
        <f>VLOOKUP(I36,资产!$A:$AF,17,0)/100</f>
        <v>7546.25</v>
      </c>
      <c r="P36" s="11">
        <f>VLOOKUP(I36,资产!$A:$AF,18,0)/100</f>
        <v>9512.44</v>
      </c>
      <c r="Q36" s="11">
        <f>VLOOKUP(I36,资产!$A:$AF,20,0)/100</f>
        <v>19335.48</v>
      </c>
      <c r="R36" s="35">
        <f>VLOOKUP(I36,负债!$A:$P,5,0)/100</f>
        <v>28281.7</v>
      </c>
      <c r="S36" s="35">
        <f>VLOOKUP(I36,负债!$A:$P,6,0)/100</f>
        <v>16351.43</v>
      </c>
      <c r="T36" s="37">
        <f>VLOOKUP(I36,资产!$A:$AF,2,0)/100</f>
        <v>69572.77</v>
      </c>
      <c r="U36" s="37">
        <f>VLOOKUP(I36,资产!$A:$AF,7,0)/100</f>
        <v>62559.88</v>
      </c>
      <c r="V36" s="37">
        <f>VLOOKUP(I36,负债!$A:$P,9,0)/100</f>
        <v>2183.46</v>
      </c>
      <c r="W36" s="37">
        <f>VLOOKUP(I36,负债!$A:$P,6,0)/100</f>
        <v>16351.43</v>
      </c>
      <c r="X36" s="11">
        <f>VLOOKUP(I36,负债!$A:$P,2,0)/100</f>
        <v>69183.91</v>
      </c>
      <c r="Y36" s="11">
        <f t="shared" si="0"/>
        <v>51037.88</v>
      </c>
    </row>
    <row r="37" spans="9:25" x14ac:dyDescent="0.35">
      <c r="I37" s="24">
        <v>44062</v>
      </c>
      <c r="J37" s="11">
        <f>VLOOKUP(I37,资产!$A:$AF,8,0)/100</f>
        <v>43455.44</v>
      </c>
      <c r="K37" s="11">
        <f>VLOOKUP(I37,资产!$A:$AF,9,0)/100</f>
        <v>3260.44</v>
      </c>
      <c r="L37" s="11">
        <f>VLOOKUP(I37,资产!$A:$AF,10,0)/100</f>
        <v>37068.35</v>
      </c>
      <c r="M37" s="11">
        <f>(VLOOKUP(I37,资产!$A:$AF,13,0)+VLOOKUP(I37,资产!$A:$AF,14,0)+VLOOKUP(I37,资产!$A:$AF,15,0))/100</f>
        <v>9650.8700000000008</v>
      </c>
      <c r="N37" s="11">
        <f>VLOOKUP(I37,资产!$A:$AF,16,0)/100</f>
        <v>16475.580000000002</v>
      </c>
      <c r="O37" s="11">
        <f>VLOOKUP(I37,资产!$A:$AF,17,0)/100</f>
        <v>7626.21</v>
      </c>
      <c r="P37" s="11">
        <f>VLOOKUP(I37,资产!$A:$AF,18,0)/100</f>
        <v>9702.7800000000007</v>
      </c>
      <c r="Q37" s="11">
        <f>VLOOKUP(I37,资产!$A:$AF,20,0)/100</f>
        <v>19778.97</v>
      </c>
      <c r="R37" s="35">
        <f>VLOOKUP(I37,负债!$A:$P,5,0)/100</f>
        <v>28218.53</v>
      </c>
      <c r="S37" s="35">
        <f>VLOOKUP(I37,负债!$A:$P,6,0)/100</f>
        <v>16363.93</v>
      </c>
      <c r="T37" s="37">
        <f>VLOOKUP(I37,资产!$A:$AF,2,0)/100</f>
        <v>70106.37</v>
      </c>
      <c r="U37" s="37">
        <f>VLOOKUP(I37,资产!$A:$AF,7,0)/100</f>
        <v>63257.88</v>
      </c>
      <c r="V37" s="37">
        <f>VLOOKUP(I37,负债!$A:$P,9,0)/100</f>
        <v>2113.42</v>
      </c>
      <c r="W37" s="37">
        <f>VLOOKUP(I37,负债!$A:$P,6,0)/100</f>
        <v>16363.93</v>
      </c>
      <c r="X37" s="11">
        <f>VLOOKUP(I37,负债!$A:$P,2,0)/100</f>
        <v>69717.600000000006</v>
      </c>
      <c r="Y37" s="11">
        <f t="shared" si="0"/>
        <v>51629.02</v>
      </c>
    </row>
    <row r="38" spans="9:25" x14ac:dyDescent="0.35">
      <c r="I38" s="24">
        <v>44069</v>
      </c>
      <c r="J38" s="11">
        <f>VLOOKUP(I38,资产!$A:$AF,8,0)/100</f>
        <v>43585.59</v>
      </c>
      <c r="K38" s="11">
        <f>VLOOKUP(I38,资产!$A:$AF,9,0)/100</f>
        <v>3260.44</v>
      </c>
      <c r="L38" s="11">
        <f>VLOOKUP(I38,资产!$A:$AF,10,0)/100</f>
        <v>37181.69</v>
      </c>
      <c r="M38" s="11">
        <f>(VLOOKUP(I38,资产!$A:$AF,13,0)+VLOOKUP(I38,资产!$A:$AF,14,0)+VLOOKUP(I38,资产!$A:$AF,15,0))/100</f>
        <v>9651.18</v>
      </c>
      <c r="N38" s="11">
        <f>VLOOKUP(I38,资产!$A:$AF,16,0)/100</f>
        <v>16486.5</v>
      </c>
      <c r="O38" s="11">
        <f>VLOOKUP(I38,资产!$A:$AF,17,0)/100</f>
        <v>7719.01</v>
      </c>
      <c r="P38" s="11">
        <f>VLOOKUP(I38,资产!$A:$AF,18,0)/100</f>
        <v>9728.89</v>
      </c>
      <c r="Q38" s="11">
        <f>VLOOKUP(I38,资产!$A:$AF,20,0)/100</f>
        <v>19492.28</v>
      </c>
      <c r="R38" s="35">
        <f>VLOOKUP(I38,负债!$A:$P,5,0)/100</f>
        <v>28754</v>
      </c>
      <c r="S38" s="35">
        <f>VLOOKUP(I38,负债!$A:$P,6,0)/100</f>
        <v>16074.49</v>
      </c>
      <c r="T38" s="37">
        <f>VLOOKUP(I38,资产!$A:$AF,2,0)/100</f>
        <v>69904.179999999993</v>
      </c>
      <c r="U38" s="37">
        <f>VLOOKUP(I38,资产!$A:$AF,7,0)/100</f>
        <v>63101.34</v>
      </c>
      <c r="V38" s="37">
        <f>VLOOKUP(I38,负债!$A:$P,9,0)/100</f>
        <v>2130.75</v>
      </c>
      <c r="W38" s="37">
        <f>VLOOKUP(I38,负债!$A:$P,6,0)/100</f>
        <v>16074.49</v>
      </c>
      <c r="X38" s="11">
        <f>VLOOKUP(I38,负债!$A:$P,2,0)/100</f>
        <v>69514.87</v>
      </c>
      <c r="Y38" s="11">
        <f t="shared" si="0"/>
        <v>51698.939999999995</v>
      </c>
    </row>
    <row r="39" spans="9:25" x14ac:dyDescent="0.35">
      <c r="I39" s="24">
        <v>44076</v>
      </c>
      <c r="J39" s="11">
        <f>VLOOKUP(I39,资产!$A:$AF,8,0)/100</f>
        <v>43866.37</v>
      </c>
      <c r="K39" s="11">
        <f>VLOOKUP(I39,资产!$A:$AF,9,0)/100</f>
        <v>3260.44</v>
      </c>
      <c r="L39" s="11">
        <f>VLOOKUP(I39,资产!$A:$AF,10,0)/100</f>
        <v>37426.29</v>
      </c>
      <c r="M39" s="11">
        <f>(VLOOKUP(I39,资产!$A:$AF,13,0)+VLOOKUP(I39,资产!$A:$AF,14,0)+VLOOKUP(I39,资产!$A:$AF,15,0))/100</f>
        <v>9783.82</v>
      </c>
      <c r="N39" s="11">
        <f>VLOOKUP(I39,资产!$A:$AF,16,0)/100</f>
        <v>16620.79</v>
      </c>
      <c r="O39" s="11">
        <f>VLOOKUP(I39,资产!$A:$AF,17,0)/100</f>
        <v>7669.33</v>
      </c>
      <c r="P39" s="11">
        <f>VLOOKUP(I39,资产!$A:$AF,18,0)/100</f>
        <v>9792.43</v>
      </c>
      <c r="Q39" s="11">
        <f>VLOOKUP(I39,资产!$A:$AF,20,0)/100</f>
        <v>19492.36</v>
      </c>
      <c r="R39" s="35">
        <f>VLOOKUP(I39,负债!$A:$P,5,0)/100</f>
        <v>28506</v>
      </c>
      <c r="S39" s="35">
        <f>VLOOKUP(I39,负债!$A:$P,6,0)/100</f>
        <v>16518.23</v>
      </c>
      <c r="T39" s="37">
        <f>VLOOKUP(I39,资产!$A:$AF,2,0)/100</f>
        <v>70174.92</v>
      </c>
      <c r="U39" s="37">
        <f>VLOOKUP(I39,资产!$A:$AF,7,0)/100</f>
        <v>63382.19</v>
      </c>
      <c r="V39" s="37">
        <f>VLOOKUP(I39,负债!$A:$P,9,0)/100</f>
        <v>2126.64</v>
      </c>
      <c r="W39" s="37">
        <f>VLOOKUP(I39,负债!$A:$P,6,0)/100</f>
        <v>16518.23</v>
      </c>
      <c r="X39" s="11">
        <f>VLOOKUP(I39,负债!$A:$P,2,0)/100</f>
        <v>69784.11</v>
      </c>
      <c r="Y39" s="11">
        <f t="shared" si="0"/>
        <v>51530.05</v>
      </c>
    </row>
    <row r="40" spans="9:25" x14ac:dyDescent="0.35">
      <c r="I40" s="24">
        <v>44083</v>
      </c>
      <c r="J40" s="11">
        <f>VLOOKUP(I40,资产!$A:$AF,8,0)/100</f>
        <v>43936.21</v>
      </c>
      <c r="K40" s="11">
        <f>VLOOKUP(I40,资产!$A:$AF,9,0)/100</f>
        <v>3260.44</v>
      </c>
      <c r="L40" s="11">
        <f>VLOOKUP(I40,资产!$A:$AF,10,0)/100</f>
        <v>37479.620000000003</v>
      </c>
      <c r="M40" s="11">
        <f>(VLOOKUP(I40,资产!$A:$AF,13,0)+VLOOKUP(I40,资产!$A:$AF,14,0)+VLOOKUP(I40,资产!$A:$AF,15,0))/100</f>
        <v>9784.11</v>
      </c>
      <c r="N40" s="11">
        <f>VLOOKUP(I40,资产!$A:$AF,16,0)/100</f>
        <v>16621.66</v>
      </c>
      <c r="O40" s="11">
        <f>VLOOKUP(I40,资产!$A:$AF,17,0)/100</f>
        <v>7709.51</v>
      </c>
      <c r="P40" s="11">
        <f>VLOOKUP(I40,资产!$A:$AF,18,0)/100</f>
        <v>9820.93</v>
      </c>
      <c r="Q40" s="11">
        <f>VLOOKUP(I40,资产!$A:$AF,20,0)/100</f>
        <v>19495.990000000002</v>
      </c>
      <c r="R40" s="35">
        <f>VLOOKUP(I40,负债!$A:$P,5,0)/100</f>
        <v>29068.54</v>
      </c>
      <c r="S40" s="35">
        <f>VLOOKUP(I40,负债!$A:$P,6,0)/100</f>
        <v>15705.33</v>
      </c>
      <c r="T40" s="37">
        <f>VLOOKUP(I40,资产!$A:$AF,2,0)/100</f>
        <v>70106.14</v>
      </c>
      <c r="U40" s="37">
        <f>VLOOKUP(I40,资产!$A:$AF,7,0)/100</f>
        <v>63455.67</v>
      </c>
      <c r="V40" s="37">
        <f>VLOOKUP(I40,负债!$A:$P,9,0)/100</f>
        <v>2039.65</v>
      </c>
      <c r="W40" s="37">
        <f>VLOOKUP(I40,负债!$A:$P,6,0)/100</f>
        <v>15705.33</v>
      </c>
      <c r="X40" s="11">
        <f>VLOOKUP(I40,负债!$A:$P,2,0)/100</f>
        <v>69715.22</v>
      </c>
      <c r="Y40" s="11">
        <f t="shared" si="0"/>
        <v>52361.16</v>
      </c>
    </row>
    <row r="41" spans="9:25" x14ac:dyDescent="0.35">
      <c r="I41" s="24">
        <v>44090</v>
      </c>
      <c r="J41" s="11">
        <f>VLOOKUP(I41,资产!$A:$AF,8,0)/100</f>
        <v>44070.05</v>
      </c>
      <c r="K41" s="11">
        <f>VLOOKUP(I41,资产!$A:$AF,9,0)/100</f>
        <v>3260.44</v>
      </c>
      <c r="L41" s="11">
        <f>VLOOKUP(I41,资产!$A:$AF,10,0)/100</f>
        <v>37556.949999999997</v>
      </c>
      <c r="M41" s="11">
        <f>(VLOOKUP(I41,资产!$A:$AF,13,0)+VLOOKUP(I41,资产!$A:$AF,14,0)+VLOOKUP(I41,资产!$A:$AF,15,0))/100</f>
        <v>9853.8799999999992</v>
      </c>
      <c r="N41" s="11">
        <f>VLOOKUP(I41,资产!$A:$AF,16,0)/100</f>
        <v>16585.04</v>
      </c>
      <c r="O41" s="11">
        <f>VLOOKUP(I41,资产!$A:$AF,17,0)/100</f>
        <v>7782.37</v>
      </c>
      <c r="P41" s="11">
        <f>VLOOKUP(I41,资产!$A:$AF,18,0)/100</f>
        <v>9848.76</v>
      </c>
      <c r="Q41" s="11">
        <f>VLOOKUP(I41,资产!$A:$AF,20,0)/100</f>
        <v>20050.349999999999</v>
      </c>
      <c r="R41" s="35">
        <f>VLOOKUP(I41,负债!$A:$P,5,0)/100</f>
        <v>28693.11</v>
      </c>
      <c r="S41" s="35">
        <f>VLOOKUP(I41,负债!$A:$P,6,0)/100</f>
        <v>16928.09</v>
      </c>
      <c r="T41" s="37">
        <f>VLOOKUP(I41,资产!$A:$AF,2,0)/100</f>
        <v>70644.75</v>
      </c>
      <c r="U41" s="37">
        <f>VLOOKUP(I41,资产!$A:$AF,7,0)/100</f>
        <v>64143.87</v>
      </c>
      <c r="V41" s="37">
        <f>VLOOKUP(I41,负债!$A:$P,9,0)/100</f>
        <v>1984.82</v>
      </c>
      <c r="W41" s="37">
        <f>VLOOKUP(I41,负债!$A:$P,6,0)/100</f>
        <v>16928.09</v>
      </c>
      <c r="X41" s="11">
        <f>VLOOKUP(I41,负债!$A:$P,2,0)/100</f>
        <v>70253.75</v>
      </c>
      <c r="Y41" s="11">
        <f t="shared" si="0"/>
        <v>51731.839999999997</v>
      </c>
    </row>
    <row r="42" spans="9:25" x14ac:dyDescent="0.35">
      <c r="I42" s="24">
        <v>44097</v>
      </c>
      <c r="J42" s="11">
        <f>VLOOKUP(I42,资产!$A:$AF,8,0)/100</f>
        <v>44315.23</v>
      </c>
      <c r="K42" s="11">
        <f>VLOOKUP(I42,资产!$A:$AF,9,0)/100</f>
        <v>3260.44</v>
      </c>
      <c r="L42" s="11">
        <f>VLOOKUP(I42,资产!$A:$AF,10,0)/100</f>
        <v>37798.31</v>
      </c>
      <c r="M42" s="11">
        <f>(VLOOKUP(I42,资产!$A:$AF,13,0)+VLOOKUP(I42,资产!$A:$AF,14,0)+VLOOKUP(I42,资产!$A:$AF,15,0))/100</f>
        <v>9921.82</v>
      </c>
      <c r="N42" s="11">
        <f>VLOOKUP(I42,资产!$A:$AF,16,0)/100</f>
        <v>16652.990000000002</v>
      </c>
      <c r="O42" s="11">
        <f>VLOOKUP(I42,资产!$A:$AF,17,0)/100</f>
        <v>7872.9</v>
      </c>
      <c r="P42" s="11">
        <f>VLOOKUP(I42,资产!$A:$AF,18,0)/100</f>
        <v>9867.52</v>
      </c>
      <c r="Q42" s="11">
        <f>VLOOKUP(I42,资产!$A:$AF,20,0)/100</f>
        <v>20248.68</v>
      </c>
      <c r="R42" s="35">
        <f>VLOOKUP(I42,负债!$A:$P,5,0)/100</f>
        <v>28480.85</v>
      </c>
      <c r="S42" s="35">
        <f>VLOOKUP(I42,负债!$A:$P,6,0)/100</f>
        <v>16617.32</v>
      </c>
      <c r="T42" s="37">
        <f>VLOOKUP(I42,资产!$A:$AF,2,0)/100</f>
        <v>70931.61</v>
      </c>
      <c r="U42" s="37">
        <f>VLOOKUP(I42,资产!$A:$AF,7,0)/100</f>
        <v>64587.38</v>
      </c>
      <c r="V42" s="37">
        <f>VLOOKUP(I42,负债!$A:$P,9,0)/100</f>
        <v>2043.52</v>
      </c>
      <c r="W42" s="37">
        <f>VLOOKUP(I42,负债!$A:$P,6,0)/100</f>
        <v>16617.32</v>
      </c>
      <c r="X42" s="11">
        <f>VLOOKUP(I42,负债!$A:$P,2,0)/100</f>
        <v>70540.53</v>
      </c>
      <c r="Y42" s="11">
        <f t="shared" si="0"/>
        <v>52270.77</v>
      </c>
    </row>
    <row r="43" spans="9:25" x14ac:dyDescent="0.35">
      <c r="I43" s="24">
        <v>44104</v>
      </c>
      <c r="J43" s="11">
        <f>VLOOKUP(I43,资产!$A:$AF,8,0)/100</f>
        <v>44454.77</v>
      </c>
      <c r="K43" s="11">
        <f>VLOOKUP(I43,资产!$A:$AF,9,0)/100</f>
        <v>3260.44</v>
      </c>
      <c r="L43" s="11">
        <f>VLOOKUP(I43,资产!$A:$AF,10,0)/100</f>
        <v>37904.53</v>
      </c>
      <c r="M43" s="11">
        <f>(VLOOKUP(I43,资产!$A:$AF,13,0)+VLOOKUP(I43,资产!$A:$AF,14,0)+VLOOKUP(I43,资产!$A:$AF,15,0))/100</f>
        <v>9892.99</v>
      </c>
      <c r="N43" s="11">
        <f>VLOOKUP(I43,资产!$A:$AF,16,0)/100</f>
        <v>16735.36</v>
      </c>
      <c r="O43" s="11">
        <f>VLOOKUP(I43,资产!$A:$AF,17,0)/100</f>
        <v>7888.68</v>
      </c>
      <c r="P43" s="11">
        <f>VLOOKUP(I43,资产!$A:$AF,18,0)/100</f>
        <v>9937.73</v>
      </c>
      <c r="Q43" s="11">
        <f>VLOOKUP(I43,资产!$A:$AF,20,0)/100</f>
        <v>19827.75</v>
      </c>
      <c r="R43" s="35">
        <f>VLOOKUP(I43,负债!$A:$P,5,0)/100</f>
        <v>27432.46</v>
      </c>
      <c r="S43" s="35">
        <f>VLOOKUP(I43,负债!$A:$P,6,0)/100</f>
        <v>17816.79</v>
      </c>
      <c r="T43" s="37">
        <f>VLOOKUP(I43,资产!$A:$AF,2,0)/100</f>
        <v>70561.289999999994</v>
      </c>
      <c r="U43" s="37">
        <f>VLOOKUP(I43,资产!$A:$AF,7,0)/100</f>
        <v>64305.99</v>
      </c>
      <c r="V43" s="37">
        <f>VLOOKUP(I43,负债!$A:$P,9,0)/100</f>
        <v>2052.33</v>
      </c>
      <c r="W43" s="37">
        <f>VLOOKUP(I43,负债!$A:$P,6,0)/100</f>
        <v>17816.79</v>
      </c>
      <c r="X43" s="11">
        <f>VLOOKUP(I43,负债!$A:$P,2,0)/100</f>
        <v>70169.119999999995</v>
      </c>
      <c r="Y43" s="11">
        <f t="shared" si="0"/>
        <v>50692.169999999991</v>
      </c>
    </row>
    <row r="44" spans="9:25" x14ac:dyDescent="0.35">
      <c r="I44" s="24">
        <v>44111</v>
      </c>
      <c r="J44" s="11">
        <f>VLOOKUP(I44,资产!$A:$AF,8,0)/100</f>
        <v>44698.48</v>
      </c>
      <c r="K44" s="11">
        <f>VLOOKUP(I44,资产!$A:$AF,9,0)/100</f>
        <v>3260.44</v>
      </c>
      <c r="L44" s="11">
        <f>VLOOKUP(I44,资产!$A:$AF,10,0)/100</f>
        <v>38145.9</v>
      </c>
      <c r="M44" s="11">
        <f>(VLOOKUP(I44,资产!$A:$AF,13,0)+VLOOKUP(I44,资产!$A:$AF,14,0)+VLOOKUP(I44,资产!$A:$AF,15,0))/100</f>
        <v>9903.84</v>
      </c>
      <c r="N44" s="11">
        <f>VLOOKUP(I44,资产!$A:$AF,16,0)/100</f>
        <v>16867.55</v>
      </c>
      <c r="O44" s="11">
        <f>VLOOKUP(I44,资产!$A:$AF,17,0)/100</f>
        <v>7971.12</v>
      </c>
      <c r="P44" s="11">
        <f>VLOOKUP(I44,资产!$A:$AF,18,0)/100</f>
        <v>9955.9699999999993</v>
      </c>
      <c r="Q44" s="11">
        <f>VLOOKUP(I44,资产!$A:$AF,20,0)/100</f>
        <v>19827.89</v>
      </c>
      <c r="R44" s="35">
        <f>VLOOKUP(I44,负债!$A:$P,5,0)/100</f>
        <v>28633.57</v>
      </c>
      <c r="S44" s="35">
        <f>VLOOKUP(I44,负债!$A:$P,6,0)/100</f>
        <v>16874.34</v>
      </c>
      <c r="T44" s="37">
        <f>VLOOKUP(I44,资产!$A:$AF,2,0)/100</f>
        <v>70746.490000000005</v>
      </c>
      <c r="U44" s="37">
        <f>VLOOKUP(I44,资产!$A:$AF,7,0)/100</f>
        <v>64549.84</v>
      </c>
      <c r="V44" s="37">
        <f>VLOOKUP(I44,负债!$A:$P,9,0)/100</f>
        <v>1885.43</v>
      </c>
      <c r="W44" s="37">
        <f>VLOOKUP(I44,负债!$A:$P,6,0)/100</f>
        <v>16874.34</v>
      </c>
      <c r="X44" s="11">
        <f>VLOOKUP(I44,负债!$A:$P,2,0)/100</f>
        <v>70354.31</v>
      </c>
      <c r="Y44" s="11">
        <f t="shared" si="0"/>
        <v>51986.720000000016</v>
      </c>
    </row>
    <row r="45" spans="9:25" x14ac:dyDescent="0.35">
      <c r="I45" s="24">
        <v>44118</v>
      </c>
      <c r="J45" s="11">
        <f>VLOOKUP(I45,资产!$A:$AF,8,0)/100</f>
        <v>44849.78</v>
      </c>
      <c r="K45" s="11">
        <f>VLOOKUP(I45,资产!$A:$AF,9,0)/100</f>
        <v>3260.44</v>
      </c>
      <c r="L45" s="11">
        <f>VLOOKUP(I45,资产!$A:$AF,10,0)/100</f>
        <v>38268.559999999998</v>
      </c>
      <c r="M45" s="11">
        <f>(VLOOKUP(I45,资产!$A:$AF,13,0)+VLOOKUP(I45,资产!$A:$AF,14,0)+VLOOKUP(I45,资产!$A:$AF,15,0))/100</f>
        <v>9904.02</v>
      </c>
      <c r="N45" s="11">
        <f>VLOOKUP(I45,资产!$A:$AF,16,0)/100</f>
        <v>16975.13</v>
      </c>
      <c r="O45" s="11">
        <f>VLOOKUP(I45,资产!$A:$AF,17,0)/100</f>
        <v>7979.37</v>
      </c>
      <c r="P45" s="11">
        <f>VLOOKUP(I45,资产!$A:$AF,18,0)/100</f>
        <v>9991.26</v>
      </c>
      <c r="Q45" s="11">
        <f>VLOOKUP(I45,资产!$A:$AF,20,0)/100</f>
        <v>20468.39</v>
      </c>
      <c r="R45" s="35">
        <f>VLOOKUP(I45,负债!$A:$P,5,0)/100</f>
        <v>29077.34</v>
      </c>
      <c r="S45" s="35">
        <f>VLOOKUP(I45,负债!$A:$P,6,0)/100</f>
        <v>16479.37</v>
      </c>
      <c r="T45" s="37">
        <f>VLOOKUP(I45,资产!$A:$AF,2,0)/100</f>
        <v>71514.259999999995</v>
      </c>
      <c r="U45" s="37">
        <f>VLOOKUP(I45,资产!$A:$AF,7,0)/100</f>
        <v>65341.64</v>
      </c>
      <c r="V45" s="37">
        <f>VLOOKUP(I45,负债!$A:$P,9,0)/100</f>
        <v>1958.28</v>
      </c>
      <c r="W45" s="37">
        <f>VLOOKUP(I45,负债!$A:$P,6,0)/100</f>
        <v>16479.37</v>
      </c>
      <c r="X45" s="11">
        <f>VLOOKUP(I45,负债!$A:$P,2,0)/100</f>
        <v>71122.039999999994</v>
      </c>
      <c r="Y45" s="11">
        <f t="shared" si="0"/>
        <v>53076.61</v>
      </c>
    </row>
    <row r="46" spans="9:25" x14ac:dyDescent="0.35">
      <c r="I46" s="24">
        <v>44125</v>
      </c>
      <c r="J46" s="11">
        <f>VLOOKUP(I46,资产!$A:$AF,8,0)/100</f>
        <v>45097.78</v>
      </c>
      <c r="K46" s="11">
        <f>VLOOKUP(I46,资产!$A:$AF,9,0)/100</f>
        <v>3260.44</v>
      </c>
      <c r="L46" s="11">
        <f>VLOOKUP(I46,资产!$A:$AF,10,0)/100</f>
        <v>38473.919999999998</v>
      </c>
      <c r="M46" s="11">
        <f>(VLOOKUP(I46,资产!$A:$AF,13,0)+VLOOKUP(I46,资产!$A:$AF,14,0)+VLOOKUP(I46,资产!$A:$AF,15,0))/100</f>
        <v>10008.65</v>
      </c>
      <c r="N46" s="11">
        <f>VLOOKUP(I46,资产!$A:$AF,16,0)/100</f>
        <v>17013.41</v>
      </c>
      <c r="O46" s="11">
        <f>VLOOKUP(I46,资产!$A:$AF,17,0)/100</f>
        <v>8052.91</v>
      </c>
      <c r="P46" s="11">
        <f>VLOOKUP(I46,资产!$A:$AF,18,0)/100</f>
        <v>10022.799999999999</v>
      </c>
      <c r="Q46" s="11">
        <f>VLOOKUP(I46,资产!$A:$AF,20,0)/100</f>
        <v>20472.349999999999</v>
      </c>
      <c r="R46" s="35">
        <f>VLOOKUP(I46,负债!$A:$P,5,0)/100</f>
        <v>28901.3</v>
      </c>
      <c r="S46" s="35">
        <f>VLOOKUP(I46,负债!$A:$P,6,0)/100</f>
        <v>16994.97</v>
      </c>
      <c r="T46" s="37">
        <f>VLOOKUP(I46,资产!$A:$AF,2,0)/100</f>
        <v>71772.649999999994</v>
      </c>
      <c r="U46" s="37">
        <f>VLOOKUP(I46,资产!$A:$AF,7,0)/100</f>
        <v>65593.600000000006</v>
      </c>
      <c r="V46" s="37">
        <f>VLOOKUP(I46,负债!$A:$P,9,0)/100</f>
        <v>1874.35</v>
      </c>
      <c r="W46" s="37">
        <f>VLOOKUP(I46,负债!$A:$P,6,0)/100</f>
        <v>16994.97</v>
      </c>
      <c r="X46" s="11">
        <f>VLOOKUP(I46,负债!$A:$P,2,0)/100</f>
        <v>71380.42</v>
      </c>
      <c r="Y46" s="11">
        <f t="shared" si="0"/>
        <v>52903.329999999987</v>
      </c>
    </row>
    <row r="47" spans="9:25" x14ac:dyDescent="0.35">
      <c r="I47" s="24">
        <v>44132</v>
      </c>
      <c r="J47" s="11">
        <f>VLOOKUP(I47,资产!$A:$AF,8,0)/100</f>
        <v>45271.86</v>
      </c>
      <c r="K47" s="11">
        <f>VLOOKUP(I47,资产!$A:$AF,9,0)/100</f>
        <v>3260.44</v>
      </c>
      <c r="L47" s="11">
        <f>VLOOKUP(I47,资产!$A:$AF,10,0)/100</f>
        <v>38632.629999999997</v>
      </c>
      <c r="M47" s="11">
        <f>(VLOOKUP(I47,资产!$A:$AF,13,0)+VLOOKUP(I47,资产!$A:$AF,14,0)+VLOOKUP(I47,资产!$A:$AF,15,0))/100</f>
        <v>10008.83</v>
      </c>
      <c r="N47" s="11">
        <f>VLOOKUP(I47,资产!$A:$AF,16,0)/100</f>
        <v>17102.009999999998</v>
      </c>
      <c r="O47" s="11">
        <f>VLOOKUP(I47,资产!$A:$AF,17,0)/100</f>
        <v>8093.23</v>
      </c>
      <c r="P47" s="11">
        <f>VLOOKUP(I47,资产!$A:$AF,18,0)/100</f>
        <v>10067.799999999999</v>
      </c>
      <c r="Q47" s="11">
        <f>VLOOKUP(I47,资产!$A:$AF,20,0)/100</f>
        <v>20003.05</v>
      </c>
      <c r="R47" s="35">
        <f>VLOOKUP(I47,负债!$A:$P,5,0)/100</f>
        <v>29472.560000000001</v>
      </c>
      <c r="S47" s="35">
        <f>VLOOKUP(I47,负债!$A:$P,6,0)/100</f>
        <v>16530.39</v>
      </c>
      <c r="T47" s="37">
        <f>VLOOKUP(I47,资产!$A:$AF,2,0)/100</f>
        <v>71463.06</v>
      </c>
      <c r="U47" s="37">
        <f>VLOOKUP(I47,资产!$A:$AF,7,0)/100</f>
        <v>65298.39</v>
      </c>
      <c r="V47" s="37">
        <f>VLOOKUP(I47,负债!$A:$P,9,0)/100</f>
        <v>2018.93</v>
      </c>
      <c r="W47" s="37">
        <f>VLOOKUP(I47,负债!$A:$P,6,0)/100</f>
        <v>16530.39</v>
      </c>
      <c r="X47" s="11">
        <f>VLOOKUP(I47,负债!$A:$P,2,0)/100</f>
        <v>71070.820000000007</v>
      </c>
      <c r="Y47" s="11">
        <f t="shared" si="0"/>
        <v>52913.740000000005</v>
      </c>
    </row>
    <row r="48" spans="9:25" x14ac:dyDescent="0.35">
      <c r="I48" s="24">
        <v>44139</v>
      </c>
      <c r="J48" s="11">
        <f>VLOOKUP(I48,资产!$A:$AF,8,0)/100</f>
        <v>45380.87</v>
      </c>
      <c r="K48" s="11">
        <f>VLOOKUP(I48,资产!$A:$AF,9,0)/100</f>
        <v>3260.44</v>
      </c>
      <c r="L48" s="11">
        <f>VLOOKUP(I48,资产!$A:$AF,10,0)/100</f>
        <v>38727.32</v>
      </c>
      <c r="M48" s="11">
        <f>(VLOOKUP(I48,资产!$A:$AF,13,0)+VLOOKUP(I48,资产!$A:$AF,14,0)+VLOOKUP(I48,资产!$A:$AF,15,0))/100</f>
        <v>9981.68</v>
      </c>
      <c r="N48" s="11">
        <f>VLOOKUP(I48,资产!$A:$AF,16,0)/100</f>
        <v>17143.009999999998</v>
      </c>
      <c r="O48" s="11">
        <f>VLOOKUP(I48,资产!$A:$AF,17,0)/100</f>
        <v>8124.04</v>
      </c>
      <c r="P48" s="11">
        <f>VLOOKUP(I48,资产!$A:$AF,18,0)/100</f>
        <v>10132.14</v>
      </c>
      <c r="Q48" s="11">
        <f>VLOOKUP(I48,资产!$A:$AF,20,0)/100</f>
        <v>20003.240000000002</v>
      </c>
      <c r="R48" s="35">
        <f>VLOOKUP(I48,负债!$A:$P,5,0)/100</f>
        <v>29795.37</v>
      </c>
      <c r="S48" s="35">
        <f>VLOOKUP(I48,负债!$A:$P,6,0)/100</f>
        <v>16185.68</v>
      </c>
      <c r="T48" s="37">
        <f>VLOOKUP(I48,资产!$A:$AF,2,0)/100</f>
        <v>71574.789999999994</v>
      </c>
      <c r="U48" s="37">
        <f>VLOOKUP(I48,资产!$A:$AF,7,0)/100</f>
        <v>65407.58</v>
      </c>
      <c r="V48" s="37">
        <f>VLOOKUP(I48,负债!$A:$P,9,0)/100</f>
        <v>1930.37</v>
      </c>
      <c r="W48" s="37">
        <f>VLOOKUP(I48,负债!$A:$P,6,0)/100</f>
        <v>16185.68</v>
      </c>
      <c r="X48" s="11">
        <f>VLOOKUP(I48,负债!$A:$P,2,0)/100</f>
        <v>71182.58</v>
      </c>
      <c r="Y48" s="11">
        <f t="shared" si="0"/>
        <v>53458.74</v>
      </c>
    </row>
    <row r="49" spans="1:25" x14ac:dyDescent="0.35">
      <c r="I49" s="24">
        <v>44146</v>
      </c>
      <c r="J49" s="11">
        <f>VLOOKUP(I49,资产!$A:$AF,8,0)/100</f>
        <v>45527.31</v>
      </c>
      <c r="K49" s="11">
        <f>VLOOKUP(I49,资产!$A:$AF,9,0)/100</f>
        <v>3260.44</v>
      </c>
      <c r="L49" s="11">
        <f>VLOOKUP(I49,资产!$A:$AF,10,0)/100</f>
        <v>38872.660000000003</v>
      </c>
      <c r="M49" s="11">
        <f>(VLOOKUP(I49,资产!$A:$AF,13,0)+VLOOKUP(I49,资产!$A:$AF,14,0)+VLOOKUP(I49,资产!$A:$AF,15,0))/100</f>
        <v>9994.73</v>
      </c>
      <c r="N49" s="11">
        <f>VLOOKUP(I49,资产!$A:$AF,16,0)/100</f>
        <v>17258.310000000001</v>
      </c>
      <c r="O49" s="11">
        <f>VLOOKUP(I49,资产!$A:$AF,17,0)/100</f>
        <v>8124.5</v>
      </c>
      <c r="P49" s="11">
        <f>VLOOKUP(I49,资产!$A:$AF,18,0)/100</f>
        <v>10149.77</v>
      </c>
      <c r="Q49" s="11">
        <f>VLOOKUP(I49,资产!$A:$AF,20,0)/100</f>
        <v>20003.68</v>
      </c>
      <c r="R49" s="35">
        <f>VLOOKUP(I49,负债!$A:$P,5,0)/100</f>
        <v>29920.99</v>
      </c>
      <c r="S49" s="35">
        <f>VLOOKUP(I49,负债!$A:$P,6,0)/100</f>
        <v>15707.68</v>
      </c>
      <c r="T49" s="37">
        <f>VLOOKUP(I49,资产!$A:$AF,2,0)/100</f>
        <v>71754.17</v>
      </c>
      <c r="U49" s="37">
        <f>VLOOKUP(I49,资产!$A:$AF,7,0)/100</f>
        <v>65554.460000000006</v>
      </c>
      <c r="V49" s="37">
        <f>VLOOKUP(I49,负债!$A:$P,9,0)/100</f>
        <v>1958.11</v>
      </c>
      <c r="W49" s="37">
        <f>VLOOKUP(I49,负债!$A:$P,6,0)/100</f>
        <v>15707.68</v>
      </c>
      <c r="X49" s="11">
        <f>VLOOKUP(I49,负债!$A:$P,2,0)/100</f>
        <v>71361.94</v>
      </c>
      <c r="Y49" s="11">
        <f t="shared" si="0"/>
        <v>54088.38</v>
      </c>
    </row>
    <row r="50" spans="1:25" x14ac:dyDescent="0.35">
      <c r="I50" s="24">
        <v>44153</v>
      </c>
      <c r="J50" s="11">
        <f>VLOOKUP(I50,资产!$A:$AF,8,0)/100</f>
        <v>45844.23</v>
      </c>
      <c r="K50" s="11">
        <f>VLOOKUP(I50,资产!$A:$AF,9,0)/100</f>
        <v>3260.44</v>
      </c>
      <c r="L50" s="11">
        <f>VLOOKUP(I50,资产!$A:$AF,10,0)/100</f>
        <v>39162.04</v>
      </c>
      <c r="M50" s="11">
        <f>(VLOOKUP(I50,资产!$A:$AF,13,0)+VLOOKUP(I50,资产!$A:$AF,14,0)+VLOOKUP(I50,资产!$A:$AF,15,0))/100</f>
        <v>10341.36</v>
      </c>
      <c r="N50" s="11">
        <f>VLOOKUP(I50,资产!$A:$AF,16,0)/100</f>
        <v>17008.39</v>
      </c>
      <c r="O50" s="11">
        <f>VLOOKUP(I50,资产!$A:$AF,17,0)/100</f>
        <v>8247.9699999999993</v>
      </c>
      <c r="P50" s="11">
        <f>VLOOKUP(I50,资产!$A:$AF,18,0)/100</f>
        <v>10246.51</v>
      </c>
      <c r="Q50" s="11">
        <f>VLOOKUP(I50,资产!$A:$AF,20,0)/100</f>
        <v>20511.759999999998</v>
      </c>
      <c r="R50" s="35">
        <f>VLOOKUP(I50,负债!$A:$P,5,0)/100</f>
        <v>30332.29</v>
      </c>
      <c r="S50" s="35">
        <f>VLOOKUP(I50,负债!$A:$P,6,0)/100</f>
        <v>15469.24</v>
      </c>
      <c r="T50" s="37">
        <f>VLOOKUP(I50,资产!$A:$AF,2,0)/100</f>
        <v>72430.8</v>
      </c>
      <c r="U50" s="37">
        <f>VLOOKUP(I50,资产!$A:$AF,7,0)/100</f>
        <v>66379.460000000006</v>
      </c>
      <c r="V50" s="37">
        <f>VLOOKUP(I50,负债!$A:$P,9,0)/100</f>
        <v>1902.37</v>
      </c>
      <c r="W50" s="37">
        <f>VLOOKUP(I50,负债!$A:$P,6,0)/100</f>
        <v>15469.24</v>
      </c>
      <c r="X50" s="11">
        <f>VLOOKUP(I50,负债!$A:$P,2,0)/100</f>
        <v>72038.55</v>
      </c>
      <c r="Y50" s="11">
        <f t="shared" si="0"/>
        <v>55059.19000000001</v>
      </c>
    </row>
    <row r="51" spans="1:25" x14ac:dyDescent="0.35">
      <c r="I51" s="24">
        <v>44160</v>
      </c>
      <c r="J51" s="11">
        <f>VLOOKUP(I51,资产!$A:$AF,8,0)/100</f>
        <v>46065.8</v>
      </c>
      <c r="K51" s="11">
        <f>VLOOKUP(I51,资产!$A:$AF,9,0)/100</f>
        <v>3260.44</v>
      </c>
      <c r="L51" s="11">
        <f>VLOOKUP(I51,资产!$A:$AF,10,0)/100</f>
        <v>39343.15</v>
      </c>
      <c r="M51" s="11">
        <f>(VLOOKUP(I51,资产!$A:$AF,13,0)+VLOOKUP(I51,资产!$A:$AF,14,0)+VLOOKUP(I51,资产!$A:$AF,15,0))/100</f>
        <v>10384.49</v>
      </c>
      <c r="N51" s="11">
        <f>VLOOKUP(I51,资产!$A:$AF,16,0)/100</f>
        <v>17118.95</v>
      </c>
      <c r="O51" s="11">
        <f>VLOOKUP(I51,资产!$A:$AF,17,0)/100</f>
        <v>8266.9699999999993</v>
      </c>
      <c r="P51" s="11">
        <f>VLOOKUP(I51,资产!$A:$AF,18,0)/100</f>
        <v>10295.39</v>
      </c>
      <c r="Q51" s="11">
        <f>VLOOKUP(I51,资产!$A:$AF,20,0)/100</f>
        <v>20035.919999999998</v>
      </c>
      <c r="R51" s="35">
        <f>VLOOKUP(I51,负债!$A:$P,5,0)/100</f>
        <v>31438.63</v>
      </c>
      <c r="S51" s="35">
        <f>VLOOKUP(I51,负债!$A:$P,6,0)/100</f>
        <v>14840.36</v>
      </c>
      <c r="T51" s="37">
        <f>VLOOKUP(I51,资产!$A:$AF,2,0)/100</f>
        <v>72164.800000000003</v>
      </c>
      <c r="U51" s="37">
        <f>VLOOKUP(I51,资产!$A:$AF,7,0)/100</f>
        <v>66125.179999999993</v>
      </c>
      <c r="V51" s="37">
        <f>VLOOKUP(I51,负债!$A:$P,9,0)/100</f>
        <v>1979.04</v>
      </c>
      <c r="W51" s="37">
        <f>VLOOKUP(I51,负债!$A:$P,6,0)/100</f>
        <v>14840.36</v>
      </c>
      <c r="X51" s="11">
        <f>VLOOKUP(I51,负债!$A:$P,2,0)/100</f>
        <v>71772.56</v>
      </c>
      <c r="Y51" s="11">
        <f t="shared" si="0"/>
        <v>55345.400000000009</v>
      </c>
    </row>
    <row r="52" spans="1:25" x14ac:dyDescent="0.35">
      <c r="I52" s="24">
        <v>44167</v>
      </c>
      <c r="J52" s="11">
        <f>VLOOKUP(I52,资产!$A:$AF,8,0)/100</f>
        <v>46144.1</v>
      </c>
      <c r="K52" s="11">
        <f>VLOOKUP(I52,资产!$A:$AF,9,0)/100</f>
        <v>3260.44</v>
      </c>
      <c r="L52" s="11">
        <f>VLOOKUP(I52,资产!$A:$AF,10,0)/100</f>
        <v>39403.82</v>
      </c>
      <c r="M52" s="11">
        <f>(VLOOKUP(I52,资产!$A:$AF,13,0)+VLOOKUP(I52,资产!$A:$AF,14,0)+VLOOKUP(I52,资产!$A:$AF,15,0))/100</f>
        <v>10234.74</v>
      </c>
      <c r="N52" s="11">
        <f>VLOOKUP(I52,资产!$A:$AF,16,0)/100</f>
        <v>17262.36</v>
      </c>
      <c r="O52" s="11">
        <f>VLOOKUP(I52,资产!$A:$AF,17,0)/100</f>
        <v>8296.64</v>
      </c>
      <c r="P52" s="11">
        <f>VLOOKUP(I52,资产!$A:$AF,18,0)/100</f>
        <v>10350.370000000001</v>
      </c>
      <c r="Q52" s="11">
        <f>VLOOKUP(I52,资产!$A:$AF,20,0)/100</f>
        <v>20036.21</v>
      </c>
      <c r="R52" s="35">
        <f>VLOOKUP(I52,负债!$A:$P,5,0)/100</f>
        <v>31012.35</v>
      </c>
      <c r="S52" s="35">
        <f>VLOOKUP(I52,负债!$A:$P,6,0)/100</f>
        <v>15572.39</v>
      </c>
      <c r="T52" s="37">
        <f>VLOOKUP(I52,资产!$A:$AF,2,0)/100</f>
        <v>72224.14</v>
      </c>
      <c r="U52" s="37">
        <f>VLOOKUP(I52,资产!$A:$AF,7,0)/100</f>
        <v>66203.78</v>
      </c>
      <c r="V52" s="37">
        <f>VLOOKUP(I52,负债!$A:$P,9,0)/100</f>
        <v>1855.37</v>
      </c>
      <c r="W52" s="37">
        <f>VLOOKUP(I52,负债!$A:$P,6,0)/100</f>
        <v>15572.39</v>
      </c>
      <c r="X52" s="11">
        <f>VLOOKUP(I52,负债!$A:$P,2,0)/100</f>
        <v>71831.87</v>
      </c>
      <c r="Y52" s="11">
        <f t="shared" si="0"/>
        <v>54796.380000000005</v>
      </c>
    </row>
    <row r="53" spans="1:25" x14ac:dyDescent="0.35">
      <c r="I53" s="24">
        <v>44174</v>
      </c>
      <c r="J53" s="11">
        <f>VLOOKUP(I53,资产!$A:$AF,8,0)/100</f>
        <v>46305.38</v>
      </c>
      <c r="K53" s="11">
        <f>VLOOKUP(I53,资产!$A:$AF,9,0)/100</f>
        <v>3260.44</v>
      </c>
      <c r="L53" s="11">
        <f>VLOOKUP(I53,资产!$A:$AF,10,0)/100</f>
        <v>39526.519999999997</v>
      </c>
      <c r="M53" s="11">
        <f>(VLOOKUP(I53,资产!$A:$AF,13,0)+VLOOKUP(I53,资产!$A:$AF,14,0)+VLOOKUP(I53,资产!$A:$AF,15,0))/100</f>
        <v>10234.76</v>
      </c>
      <c r="N53" s="11">
        <f>VLOOKUP(I53,资产!$A:$AF,16,0)/100</f>
        <v>17375.490000000002</v>
      </c>
      <c r="O53" s="11">
        <f>VLOOKUP(I53,资产!$A:$AF,17,0)/100</f>
        <v>8306.5</v>
      </c>
      <c r="P53" s="11">
        <f>VLOOKUP(I53,资产!$A:$AF,18,0)/100</f>
        <v>10388.64</v>
      </c>
      <c r="Q53" s="11">
        <f>VLOOKUP(I53,资产!$A:$AF,20,0)/100</f>
        <v>20036.560000000001</v>
      </c>
      <c r="R53" s="35">
        <f>VLOOKUP(I53,负债!$A:$P,5,0)/100</f>
        <v>31476.560000000001</v>
      </c>
      <c r="S53" s="35">
        <f>VLOOKUP(I53,负债!$A:$P,6,0)/100</f>
        <v>15023.61</v>
      </c>
      <c r="T53" s="37">
        <f>VLOOKUP(I53,资产!$A:$AF,2,0)/100</f>
        <v>72426.58</v>
      </c>
      <c r="U53" s="37">
        <f>VLOOKUP(I53,资产!$A:$AF,7,0)/100</f>
        <v>66365.41</v>
      </c>
      <c r="V53" s="37">
        <f>VLOOKUP(I53,负债!$A:$P,9,0)/100</f>
        <v>1922.57</v>
      </c>
      <c r="W53" s="37">
        <f>VLOOKUP(I53,负债!$A:$P,6,0)/100</f>
        <v>15023.61</v>
      </c>
      <c r="X53" s="11">
        <f>VLOOKUP(I53,负债!$A:$P,2,0)/100</f>
        <v>72034.28</v>
      </c>
      <c r="Y53" s="11">
        <f t="shared" si="0"/>
        <v>55480.399999999994</v>
      </c>
    </row>
    <row r="54" spans="1:25" x14ac:dyDescent="0.35">
      <c r="I54" s="24">
        <v>44181</v>
      </c>
      <c r="J54" s="11">
        <f>VLOOKUP(I54,资产!$A:$AF,8,0)/100</f>
        <v>46628.41</v>
      </c>
      <c r="K54" s="11">
        <f>VLOOKUP(I54,资产!$A:$AF,9,0)/100</f>
        <v>3260.44</v>
      </c>
      <c r="L54" s="11">
        <f>VLOOKUP(I54,资产!$A:$AF,10,0)/100</f>
        <v>39849.22</v>
      </c>
      <c r="M54" s="11">
        <f>(VLOOKUP(I54,资产!$A:$AF,13,0)+VLOOKUP(I54,资产!$A:$AF,14,0)+VLOOKUP(I54,资产!$A:$AF,15,0))/100</f>
        <v>10375.59</v>
      </c>
      <c r="N54" s="11">
        <f>VLOOKUP(I54,资产!$A:$AF,16,0)/100</f>
        <v>17424.38</v>
      </c>
      <c r="O54" s="11">
        <f>VLOOKUP(I54,资产!$A:$AF,17,0)/100</f>
        <v>8322.86</v>
      </c>
      <c r="P54" s="11">
        <f>VLOOKUP(I54,资产!$A:$AF,18,0)/100</f>
        <v>10505.59</v>
      </c>
      <c r="Q54" s="11">
        <f>VLOOKUP(I54,资产!$A:$AF,20,0)/100</f>
        <v>20790.93</v>
      </c>
      <c r="R54" s="35">
        <f>VLOOKUP(I54,负债!$A:$P,5,0)/100</f>
        <v>31688.26</v>
      </c>
      <c r="S54" s="35">
        <f>VLOOKUP(I54,负债!$A:$P,6,0)/100</f>
        <v>16158.73</v>
      </c>
      <c r="T54" s="37">
        <f>VLOOKUP(I54,资产!$A:$AF,2,0)/100</f>
        <v>73625.919999999998</v>
      </c>
      <c r="U54" s="37">
        <f>VLOOKUP(I54,资产!$A:$AF,7,0)/100</f>
        <v>67442.81</v>
      </c>
      <c r="V54" s="37">
        <f>VLOOKUP(I54,负债!$A:$P,9,0)/100</f>
        <v>1908.6</v>
      </c>
      <c r="W54" s="37">
        <f>VLOOKUP(I54,负债!$A:$P,6,0)/100</f>
        <v>16158.73</v>
      </c>
      <c r="X54" s="11">
        <f>VLOOKUP(I54,负债!$A:$P,2,0)/100</f>
        <v>73233.53</v>
      </c>
      <c r="Y54" s="11">
        <f t="shared" si="0"/>
        <v>55558.59</v>
      </c>
    </row>
    <row r="55" spans="1:25" x14ac:dyDescent="0.35">
      <c r="I55" s="24">
        <v>44188</v>
      </c>
      <c r="J55" s="11">
        <f>VLOOKUP(I55,资产!$A:$AF,8,0)/100</f>
        <v>46828.81</v>
      </c>
      <c r="K55" s="11">
        <f>VLOOKUP(I55,资产!$A:$AF,9,0)/100</f>
        <v>3260.44</v>
      </c>
      <c r="L55" s="11">
        <f>VLOOKUP(I55,资产!$A:$AF,10,0)/100</f>
        <v>40011.919999999998</v>
      </c>
      <c r="M55" s="11">
        <f>(VLOOKUP(I55,资产!$A:$AF,13,0)+VLOOKUP(I55,资产!$A:$AF,14,0)+VLOOKUP(I55,资产!$A:$AF,15,0))/100</f>
        <v>10395.18</v>
      </c>
      <c r="N55" s="11">
        <f>VLOOKUP(I55,资产!$A:$AF,16,0)/100</f>
        <v>17556.71</v>
      </c>
      <c r="O55" s="11">
        <f>VLOOKUP(I55,资产!$A:$AF,17,0)/100</f>
        <v>8332.43</v>
      </c>
      <c r="P55" s="11">
        <f>VLOOKUP(I55,资产!$A:$AF,18,0)/100</f>
        <v>10544.49</v>
      </c>
      <c r="Q55" s="11">
        <f>VLOOKUP(I55,资产!$A:$AF,20,0)/100</f>
        <v>20865.740000000002</v>
      </c>
      <c r="R55" s="35">
        <f>VLOOKUP(I55,负债!$A:$P,5,0)/100</f>
        <v>31773.1</v>
      </c>
      <c r="S55" s="35">
        <f>VLOOKUP(I55,负债!$A:$P,6,0)/100</f>
        <v>15833.08</v>
      </c>
      <c r="T55" s="37">
        <f>VLOOKUP(I55,资产!$A:$AF,2,0)/100</f>
        <v>74040.39</v>
      </c>
      <c r="U55" s="37">
        <f>VLOOKUP(I55,资产!$A:$AF,7,0)/100</f>
        <v>67718.03</v>
      </c>
      <c r="V55" s="37">
        <f>VLOOKUP(I55,负债!$A:$P,9,0)/100</f>
        <v>1985.24</v>
      </c>
      <c r="W55" s="37">
        <f>VLOOKUP(I55,负债!$A:$P,6,0)/100</f>
        <v>15833.08</v>
      </c>
      <c r="X55" s="11">
        <f>VLOOKUP(I55,负债!$A:$P,2,0)/100</f>
        <v>73648</v>
      </c>
      <c r="Y55" s="11">
        <f t="shared" si="0"/>
        <v>56222.069999999992</v>
      </c>
    </row>
    <row r="56" spans="1:25" x14ac:dyDescent="0.35">
      <c r="I56" s="24">
        <v>44195</v>
      </c>
      <c r="J56" s="11">
        <f>VLOOKUP(I56,资产!$A:$AF,8,0)/100</f>
        <v>46889.16</v>
      </c>
      <c r="K56" s="11">
        <f>VLOOKUP(I56,资产!$A:$AF,9,0)/100</f>
        <v>3260.44</v>
      </c>
      <c r="L56" s="11">
        <f>VLOOKUP(I56,资产!$A:$AF,10,0)/100</f>
        <v>40071.93</v>
      </c>
      <c r="M56" s="11">
        <f>(VLOOKUP(I56,资产!$A:$AF,13,0)+VLOOKUP(I56,资产!$A:$AF,14,0)+VLOOKUP(I56,资产!$A:$AF,15,0))/100</f>
        <v>10395.200000000001</v>
      </c>
      <c r="N56" s="11">
        <f>VLOOKUP(I56,资产!$A:$AF,16,0)/100</f>
        <v>17670.23</v>
      </c>
      <c r="O56" s="11">
        <f>VLOOKUP(I56,资产!$A:$AF,17,0)/100</f>
        <v>8279.14</v>
      </c>
      <c r="P56" s="11">
        <f>VLOOKUP(I56,资产!$A:$AF,18,0)/100</f>
        <v>10544.58</v>
      </c>
      <c r="Q56" s="11">
        <f>VLOOKUP(I56,资产!$A:$AF,20,0)/100</f>
        <v>20394.68</v>
      </c>
      <c r="R56" s="35">
        <f>VLOOKUP(I56,负债!$A:$P,5,0)/100</f>
        <v>31429.77</v>
      </c>
      <c r="S56" s="35">
        <f>VLOOKUP(I56,负债!$A:$P,6,0)/100</f>
        <v>16135.14</v>
      </c>
      <c r="T56" s="37">
        <f>VLOOKUP(I56,资产!$A:$AF,2,0)/100</f>
        <v>73633.509999999995</v>
      </c>
      <c r="U56" s="37">
        <f>VLOOKUP(I56,资产!$A:$AF,7,0)/100</f>
        <v>67307.31</v>
      </c>
      <c r="V56" s="37">
        <f>VLOOKUP(I56,负债!$A:$P,9,0)/100</f>
        <v>2097.63</v>
      </c>
      <c r="W56" s="37">
        <f>VLOOKUP(I56,负债!$A:$P,6,0)/100</f>
        <v>16135.14</v>
      </c>
      <c r="X56" s="11">
        <f>VLOOKUP(I56,负债!$A:$P,2,0)/100</f>
        <v>73241.5</v>
      </c>
      <c r="Y56" s="11">
        <f t="shared" si="0"/>
        <v>55400.739999999991</v>
      </c>
    </row>
    <row r="57" spans="1:25" x14ac:dyDescent="0.35">
      <c r="I57" s="24">
        <v>44202</v>
      </c>
      <c r="J57" s="11">
        <f>VLOOKUP(I57,资产!$A:$AF,8,0)/100</f>
        <v>46994.21</v>
      </c>
      <c r="K57" s="11">
        <f>VLOOKUP(I57,资产!$A:$AF,9,0)/100</f>
        <v>3260.44</v>
      </c>
      <c r="L57" s="11">
        <f>VLOOKUP(I57,资产!$A:$AF,10,0)/100</f>
        <v>40154.449999999997</v>
      </c>
      <c r="M57" s="11">
        <f>(VLOOKUP(I57,资产!$A:$AF,13,0)+VLOOKUP(I57,资产!$A:$AF,14,0)+VLOOKUP(I57,资产!$A:$AF,15,0))/100</f>
        <v>10341.86</v>
      </c>
      <c r="N57" s="11">
        <f>VLOOKUP(I57,资产!$A:$AF,16,0)/100</f>
        <v>17685.27</v>
      </c>
      <c r="O57" s="11">
        <f>VLOOKUP(I57,资产!$A:$AF,17,0)/100</f>
        <v>8368.76</v>
      </c>
      <c r="P57" s="11">
        <f>VLOOKUP(I57,资产!$A:$AF,18,0)/100</f>
        <v>10598.32</v>
      </c>
      <c r="Q57" s="11">
        <f>VLOOKUP(I57,资产!$A:$AF,20,0)/100</f>
        <v>20394.689999999999</v>
      </c>
      <c r="R57" s="35">
        <f>VLOOKUP(I57,负债!$A:$P,5,0)/100</f>
        <v>31637.79</v>
      </c>
      <c r="S57" s="35">
        <f>VLOOKUP(I57,负债!$A:$P,6,0)/100</f>
        <v>16073.96</v>
      </c>
      <c r="T57" s="37">
        <f>VLOOKUP(I57,资产!$A:$AF,2,0)/100</f>
        <v>73348.09</v>
      </c>
      <c r="U57" s="37">
        <f>VLOOKUP(I57,资产!$A:$AF,7,0)/100</f>
        <v>67412.37</v>
      </c>
      <c r="V57" s="37">
        <f>VLOOKUP(I57,负债!$A:$P,9,0)/100</f>
        <v>2063.35</v>
      </c>
      <c r="W57" s="37">
        <f>VLOOKUP(I57,负债!$A:$P,6,0)/100</f>
        <v>16073.96</v>
      </c>
      <c r="X57" s="11">
        <f>VLOOKUP(I57,负债!$A:$P,2,0)/100</f>
        <v>72956.039999999994</v>
      </c>
      <c r="Y57" s="11">
        <f t="shared" si="0"/>
        <v>55210.779999999992</v>
      </c>
    </row>
    <row r="58" spans="1:25" x14ac:dyDescent="0.35">
      <c r="I58" s="24">
        <v>44209</v>
      </c>
      <c r="J58" s="11">
        <f>VLOOKUP(I58,资产!$A:$AF,8,0)/100</f>
        <v>47237.33</v>
      </c>
      <c r="K58" s="11">
        <f>VLOOKUP(I58,资产!$A:$AF,9,0)/100</f>
        <v>3260.44</v>
      </c>
      <c r="L58" s="11">
        <f>VLOOKUP(I58,资产!$A:$AF,10,0)/100</f>
        <v>40359.81</v>
      </c>
      <c r="M58" s="11">
        <f>(VLOOKUP(I58,资产!$A:$AF,13,0)+VLOOKUP(I58,资产!$A:$AF,14,0)+VLOOKUP(I58,资产!$A:$AF,15,0))/100</f>
        <v>10370.82</v>
      </c>
      <c r="N58" s="11">
        <f>VLOOKUP(I58,资产!$A:$AF,16,0)/100</f>
        <v>17816.509999999998</v>
      </c>
      <c r="O58" s="11">
        <f>VLOOKUP(I58,资产!$A:$AF,17,0)/100</f>
        <v>8431.74</v>
      </c>
      <c r="P58" s="11">
        <f>VLOOKUP(I58,资产!$A:$AF,18,0)/100</f>
        <v>10618.26</v>
      </c>
      <c r="Q58" s="11">
        <f>VLOOKUP(I58,资产!$A:$AF,20,0)/100</f>
        <v>20395.419999999998</v>
      </c>
      <c r="R58" s="35">
        <f>VLOOKUP(I58,负债!$A:$P,5,0)/100</f>
        <v>32008.69</v>
      </c>
      <c r="S58" s="35">
        <f>VLOOKUP(I58,负债!$A:$P,6,0)/100</f>
        <v>15758.75</v>
      </c>
      <c r="T58" s="37">
        <f>VLOOKUP(I58,资产!$A:$AF,2,0)/100</f>
        <v>73339.679999999993</v>
      </c>
      <c r="U58" s="37">
        <f>VLOOKUP(I58,资产!$A:$AF,7,0)/100</f>
        <v>67656.22</v>
      </c>
      <c r="V58" s="37">
        <f>VLOOKUP(I58,负债!$A:$P,9,0)/100</f>
        <v>2141.73</v>
      </c>
      <c r="W58" s="37">
        <f>VLOOKUP(I58,负债!$A:$P,6,0)/100</f>
        <v>15758.75</v>
      </c>
      <c r="X58" s="11">
        <f>VLOOKUP(I58,负债!$A:$P,2,0)/100</f>
        <v>72947.63</v>
      </c>
      <c r="Y58" s="11">
        <f t="shared" si="0"/>
        <v>55439.199999999997</v>
      </c>
    </row>
    <row r="59" spans="1:25" x14ac:dyDescent="0.35">
      <c r="I59" s="24">
        <v>44216</v>
      </c>
      <c r="J59" s="11">
        <f>VLOOKUP(I59,资产!$A:$AF,8,0)/100</f>
        <v>47435.519999999997</v>
      </c>
      <c r="K59" s="11">
        <f>VLOOKUP(I59,资产!$A:$AF,9,0)/100</f>
        <v>3260.44</v>
      </c>
      <c r="L59" s="11">
        <f>VLOOKUP(I59,资产!$A:$AF,10,0)/100</f>
        <v>40614.31</v>
      </c>
      <c r="M59" s="11">
        <f>(VLOOKUP(I59,资产!$A:$AF,13,0)+VLOOKUP(I59,资产!$A:$AF,14,0)+VLOOKUP(I59,资产!$A:$AF,15,0))/100</f>
        <v>10437.99</v>
      </c>
      <c r="N59" s="11">
        <f>VLOOKUP(I59,资产!$A:$AF,16,0)/100</f>
        <v>18036.169999999998</v>
      </c>
      <c r="O59" s="11">
        <f>VLOOKUP(I59,资产!$A:$AF,17,0)/100</f>
        <v>8261.5</v>
      </c>
      <c r="P59" s="11">
        <f>VLOOKUP(I59,资产!$A:$AF,18,0)/100</f>
        <v>10699.86</v>
      </c>
      <c r="Q59" s="11">
        <f>VLOOKUP(I59,资产!$A:$AF,20,0)/100</f>
        <v>20998.49</v>
      </c>
      <c r="R59" s="35">
        <f>VLOOKUP(I59,负债!$A:$P,5,0)/100</f>
        <v>31498.07</v>
      </c>
      <c r="S59" s="35">
        <f>VLOOKUP(I59,负债!$A:$P,6,0)/100</f>
        <v>16383.31</v>
      </c>
      <c r="T59" s="37">
        <f>VLOOKUP(I59,资产!$A:$AF,2,0)/100</f>
        <v>74149.42</v>
      </c>
      <c r="U59" s="37">
        <f>VLOOKUP(I59,资产!$A:$AF,7,0)/100</f>
        <v>68457.48</v>
      </c>
      <c r="V59" s="37">
        <f>VLOOKUP(I59,负债!$A:$P,9,0)/100</f>
        <v>2066.3200000000002</v>
      </c>
      <c r="W59" s="37">
        <f>VLOOKUP(I59,负债!$A:$P,6,0)/100</f>
        <v>16383.31</v>
      </c>
      <c r="X59" s="11">
        <f>VLOOKUP(I59,负债!$A:$P,2,0)/100</f>
        <v>73757.37</v>
      </c>
      <c r="Y59" s="11">
        <f t="shared" si="0"/>
        <v>55699.789999999994</v>
      </c>
    </row>
    <row r="60" spans="1:25" x14ac:dyDescent="0.35">
      <c r="I60" s="24">
        <v>44223</v>
      </c>
      <c r="J60" s="11">
        <f>VLOOKUP(I60,资产!$A:$AF,8,0)/100</f>
        <v>47661.07</v>
      </c>
      <c r="K60" s="11">
        <f>VLOOKUP(I60,资产!$A:$AF,9,0)/100</f>
        <v>3260.44</v>
      </c>
      <c r="L60" s="11">
        <f>VLOOKUP(I60,资产!$A:$AF,10,0)/100</f>
        <v>40815.68</v>
      </c>
      <c r="M60" s="11">
        <f>(VLOOKUP(I60,资产!$A:$AF,13,0)+VLOOKUP(I60,资产!$A:$AF,14,0)+VLOOKUP(I60,资产!$A:$AF,15,0))/100</f>
        <v>10437.94</v>
      </c>
      <c r="N60" s="11">
        <f>VLOOKUP(I60,资产!$A:$AF,16,0)/100</f>
        <v>18158.189999999999</v>
      </c>
      <c r="O60" s="11">
        <f>VLOOKUP(I60,资产!$A:$AF,17,0)/100</f>
        <v>8342.2199999999993</v>
      </c>
      <c r="P60" s="11">
        <f>VLOOKUP(I60,资产!$A:$AF,18,0)/100</f>
        <v>10722.72</v>
      </c>
      <c r="Q60" s="11">
        <f>VLOOKUP(I60,资产!$A:$AF,20,0)/100</f>
        <v>20697.689999999999</v>
      </c>
      <c r="R60" s="35">
        <f>VLOOKUP(I60,负债!$A:$P,5,0)/100</f>
        <v>32287.51</v>
      </c>
      <c r="S60" s="35">
        <f>VLOOKUP(I60,负债!$A:$P,6,0)/100</f>
        <v>16133.77</v>
      </c>
      <c r="T60" s="37">
        <f>VLOOKUP(I60,资产!$A:$AF,2,0)/100</f>
        <v>74049.259999999995</v>
      </c>
      <c r="U60" s="37">
        <f>VLOOKUP(I60,资产!$A:$AF,7,0)/100</f>
        <v>68382.23</v>
      </c>
      <c r="V60" s="37">
        <f>VLOOKUP(I60,负债!$A:$P,9,0)/100</f>
        <v>2105.7800000000002</v>
      </c>
      <c r="W60" s="37">
        <f>VLOOKUP(I60,负债!$A:$P,6,0)/100</f>
        <v>16133.77</v>
      </c>
      <c r="X60" s="11">
        <f>VLOOKUP(I60,负债!$A:$P,2,0)/100</f>
        <v>73657.210000000006</v>
      </c>
      <c r="Y60" s="11">
        <f t="shared" si="0"/>
        <v>55809.709999999992</v>
      </c>
    </row>
    <row r="61" spans="1:25" x14ac:dyDescent="0.35">
      <c r="I61" s="24">
        <v>44230</v>
      </c>
      <c r="J61" s="11">
        <f>VLOOKUP(I61,资产!$A:$AF,8,0)/100</f>
        <v>47720.74</v>
      </c>
      <c r="K61" s="11">
        <f>VLOOKUP(I61,资产!$A:$AF,9,0)/100</f>
        <v>3260.44</v>
      </c>
      <c r="L61" s="11">
        <f>VLOOKUP(I61,资产!$A:$AF,10,0)/100</f>
        <v>40850.370000000003</v>
      </c>
      <c r="M61" s="11">
        <f>(VLOOKUP(I61,资产!$A:$AF,13,0)+VLOOKUP(I61,资产!$A:$AF,14,0)+VLOOKUP(I61,资产!$A:$AF,15,0))/100</f>
        <v>10421.89</v>
      </c>
      <c r="N61" s="11">
        <f>VLOOKUP(I61,资产!$A:$AF,16,0)/100</f>
        <v>18120.46</v>
      </c>
      <c r="O61" s="11">
        <f>VLOOKUP(I61,资产!$A:$AF,17,0)/100</f>
        <v>8368.02</v>
      </c>
      <c r="P61" s="11">
        <f>VLOOKUP(I61,资产!$A:$AF,18,0)/100</f>
        <v>10810.36</v>
      </c>
      <c r="Q61" s="11">
        <f>VLOOKUP(I61,资产!$A:$AF,20,0)/100</f>
        <v>20697.89</v>
      </c>
      <c r="R61" s="35">
        <f>VLOOKUP(I61,负债!$A:$P,5,0)/100</f>
        <v>32027.22</v>
      </c>
      <c r="S61" s="35">
        <f>VLOOKUP(I61,负债!$A:$P,6,0)/100</f>
        <v>16297.29</v>
      </c>
      <c r="T61" s="37">
        <f>VLOOKUP(I61,资产!$A:$AF,2,0)/100</f>
        <v>74105.98</v>
      </c>
      <c r="U61" s="37">
        <f>VLOOKUP(I61,资产!$A:$AF,7,0)/100</f>
        <v>68442.100000000006</v>
      </c>
      <c r="V61" s="37">
        <f>VLOOKUP(I61,负债!$A:$P,9,0)/100</f>
        <v>2089.33</v>
      </c>
      <c r="W61" s="37">
        <f>VLOOKUP(I61,负债!$A:$P,6,0)/100</f>
        <v>16297.29</v>
      </c>
      <c r="X61" s="11">
        <f>VLOOKUP(I61,负债!$A:$P,2,0)/100</f>
        <v>73713.95</v>
      </c>
      <c r="Y61" s="11">
        <f t="shared" si="0"/>
        <v>55719.359999999993</v>
      </c>
    </row>
    <row r="62" spans="1:25" s="12" customFormat="1" x14ac:dyDescent="0.35">
      <c r="I62" s="24">
        <v>44237</v>
      </c>
      <c r="J62" s="11">
        <f>VLOOKUP(I62,资产!$A:$AF,8,0)/100</f>
        <v>47989.01</v>
      </c>
      <c r="K62" s="11">
        <f>VLOOKUP(I62,资产!$A:$AF,9,0)/100</f>
        <v>3260.44</v>
      </c>
      <c r="L62" s="11">
        <f>VLOOKUP(I62,资产!$A:$AF,10,0)/100</f>
        <v>41091.72</v>
      </c>
      <c r="M62" s="11">
        <f>(VLOOKUP(I62,资产!$A:$AF,13,0)+VLOOKUP(I62,资产!$A:$AF,14,0)+VLOOKUP(I62,资产!$A:$AF,15,0))/100</f>
        <v>10441.459999999999</v>
      </c>
      <c r="N62" s="11">
        <f>VLOOKUP(I62,资产!$A:$AF,16,0)/100</f>
        <v>18260.919999999998</v>
      </c>
      <c r="O62" s="11">
        <f>VLOOKUP(I62,资产!$A:$AF,17,0)/100</f>
        <v>8456.58</v>
      </c>
      <c r="P62" s="11">
        <f>VLOOKUP(I62,资产!$A:$AF,18,0)/100</f>
        <v>10830.04</v>
      </c>
      <c r="Q62" s="11">
        <f>VLOOKUP(I62,资产!$A:$AF,20,0)/100</f>
        <v>20697.900000000001</v>
      </c>
      <c r="R62" s="35">
        <f>VLOOKUP(I62,负债!$A:$P,5,0)/100</f>
        <v>32986.39</v>
      </c>
      <c r="S62" s="35">
        <f>VLOOKUP(I62,负债!$A:$P,6,0)/100</f>
        <v>15767.44</v>
      </c>
      <c r="T62" s="37">
        <f>VLOOKUP(I62,资产!$A:$AF,2,0)/100</f>
        <v>74422.25</v>
      </c>
      <c r="U62" s="37">
        <f>VLOOKUP(I62,资产!$A:$AF,7,0)/100</f>
        <v>68710.38</v>
      </c>
      <c r="V62" s="37">
        <f>VLOOKUP(I62,负债!$A:$P,9,0)/100</f>
        <v>2120.31</v>
      </c>
      <c r="W62" s="37">
        <f>VLOOKUP(I62,负债!$A:$P,6,0)/100</f>
        <v>15767.44</v>
      </c>
      <c r="X62" s="11">
        <f>VLOOKUP(I62,负债!$A:$P,2,0)/100</f>
        <v>74030.429999999993</v>
      </c>
      <c r="Y62" s="11">
        <f t="shared" si="0"/>
        <v>56534.5</v>
      </c>
    </row>
    <row r="63" spans="1:25" s="12" customFormat="1" x14ac:dyDescent="0.35">
      <c r="A63" s="11"/>
      <c r="B63" s="11"/>
      <c r="C63" s="11"/>
      <c r="E63" s="11"/>
      <c r="F63" s="11"/>
      <c r="I63" s="24">
        <v>44244</v>
      </c>
      <c r="J63" s="11">
        <f>VLOOKUP(I63,资产!$A:$AF,8,0)/100</f>
        <v>48240.57</v>
      </c>
      <c r="K63" s="11">
        <f>VLOOKUP(I63,资产!$A:$AF,9,0)/100</f>
        <v>3260.44</v>
      </c>
      <c r="L63" s="11">
        <f>VLOOKUP(I63,资产!$A:$AF,10,0)/100</f>
        <v>41342.43</v>
      </c>
      <c r="M63" s="11">
        <f>(VLOOKUP(I63,资产!$A:$AF,13,0)+VLOOKUP(I63,资产!$A:$AF,14,0)+VLOOKUP(I63,资产!$A:$AF,15,0))/100</f>
        <v>10622.63</v>
      </c>
      <c r="N63" s="11">
        <f>VLOOKUP(I63,资产!$A:$AF,16,0)/100</f>
        <v>18219.88</v>
      </c>
      <c r="O63" s="11">
        <f>VLOOKUP(I63,资产!$A:$AF,17,0)/100</f>
        <v>8517.4699999999993</v>
      </c>
      <c r="P63" s="11">
        <f>VLOOKUP(I63,资产!$A:$AF,18,0)/100</f>
        <v>10880.59</v>
      </c>
      <c r="Q63" s="11">
        <f>VLOOKUP(I63,资产!$A:$AF,20,0)/100</f>
        <v>21705.62</v>
      </c>
      <c r="R63" s="35">
        <f>VLOOKUP(I63,负债!$A:$P,5,0)/100</f>
        <v>34078.71</v>
      </c>
      <c r="S63" s="35">
        <f>VLOOKUP(I63,负债!$A:$P,6,0)/100</f>
        <v>15688.93</v>
      </c>
      <c r="T63" s="37">
        <f>VLOOKUP(I63,资产!$A:$AF,2,0)/100</f>
        <v>75574.02</v>
      </c>
      <c r="U63" s="37">
        <f>VLOOKUP(I63,资产!$A:$AF,7,0)/100</f>
        <v>69969.66</v>
      </c>
      <c r="V63" s="37">
        <f>VLOOKUP(I63,负债!$A:$P,9,0)/100</f>
        <v>2017.19</v>
      </c>
      <c r="W63" s="37">
        <f>VLOOKUP(I63,负债!$A:$P,6,0)/100</f>
        <v>15688.93</v>
      </c>
      <c r="X63" s="11">
        <f>VLOOKUP(I63,负债!$A:$P,2,0)/100</f>
        <v>75182.05</v>
      </c>
      <c r="Y63" s="11">
        <f t="shared" si="0"/>
        <v>57867.9</v>
      </c>
    </row>
    <row r="64" spans="1:25" s="12" customFormat="1" x14ac:dyDescent="0.35">
      <c r="A64" s="11"/>
      <c r="B64" s="11"/>
      <c r="C64" s="11"/>
      <c r="E64" s="11"/>
      <c r="F64" s="11"/>
      <c r="I64" s="24">
        <v>44251</v>
      </c>
      <c r="J64" s="11">
        <f>VLOOKUP(I64,资产!$A:$AF,8,0)/100</f>
        <v>48445.74</v>
      </c>
      <c r="K64" s="11">
        <f>VLOOKUP(I64,资产!$A:$AF,9,0)/100</f>
        <v>3260.44</v>
      </c>
      <c r="L64" s="11">
        <f>VLOOKUP(I64,资产!$A:$AF,10,0)/100</f>
        <v>41507.79</v>
      </c>
      <c r="M64" s="11">
        <f>(VLOOKUP(I64,资产!$A:$AF,13,0)+VLOOKUP(I64,资产!$A:$AF,14,0)+VLOOKUP(I64,资产!$A:$AF,15,0))/100</f>
        <v>10622.71</v>
      </c>
      <c r="N64" s="11">
        <f>VLOOKUP(I64,资产!$A:$AF,16,0)/100</f>
        <v>18332.099999999999</v>
      </c>
      <c r="O64" s="11">
        <f>VLOOKUP(I64,资产!$A:$AF,17,0)/100</f>
        <v>8587.15</v>
      </c>
      <c r="P64" s="11">
        <f>VLOOKUP(I64,资产!$A:$AF,18,0)/100</f>
        <v>10903.79</v>
      </c>
      <c r="Q64" s="11">
        <f>VLOOKUP(I64,资产!$A:$AF,20,0)/100</f>
        <v>21806.78</v>
      </c>
      <c r="R64" s="35">
        <f>VLOOKUP(I64,负债!$A:$P,5,0)/100</f>
        <v>33842.620000000003</v>
      </c>
      <c r="S64" s="35">
        <f>VLOOKUP(I64,负债!$A:$P,6,0)/100</f>
        <v>14396.46</v>
      </c>
      <c r="T64" s="37">
        <f>VLOOKUP(I64,资产!$A:$AF,2,0)/100</f>
        <v>75901.11</v>
      </c>
      <c r="U64" s="37">
        <f>VLOOKUP(I64,资产!$A:$AF,7,0)/100</f>
        <v>70275.990000000005</v>
      </c>
      <c r="V64" s="37">
        <f>VLOOKUP(I64,负债!$A:$P,9,0)/100</f>
        <v>2053.73</v>
      </c>
      <c r="W64" s="37">
        <f>VLOOKUP(I64,负债!$A:$P,6,0)/100</f>
        <v>14396.46</v>
      </c>
      <c r="X64" s="11">
        <f>VLOOKUP(I64,负债!$A:$P,2,0)/100</f>
        <v>75509.17</v>
      </c>
      <c r="Y64" s="11">
        <f t="shared" si="0"/>
        <v>59450.920000000006</v>
      </c>
    </row>
    <row r="65" spans="1:25" s="12" customFormat="1" x14ac:dyDescent="0.35">
      <c r="A65" s="11">
        <v>0</v>
      </c>
      <c r="B65" s="11"/>
      <c r="C65" s="16" t="s">
        <v>67</v>
      </c>
      <c r="D65" s="17">
        <f>VLOOKUP($C$1,资产!$A:$AF,2,0)</f>
        <v>6713643</v>
      </c>
      <c r="E65" s="11"/>
      <c r="F65" s="16" t="s">
        <v>129</v>
      </c>
      <c r="G65" s="17">
        <f>VLOOKUP($C$1,负债!$A:$P,2,0)</f>
        <v>6666407</v>
      </c>
      <c r="I65" s="24">
        <v>44258</v>
      </c>
      <c r="J65" s="11">
        <f>VLOOKUP(I65,资产!$A:$AF,8,0)/100</f>
        <v>48672.79</v>
      </c>
      <c r="K65" s="11">
        <f>VLOOKUP(I65,资产!$A:$AF,9,0)/100</f>
        <v>3260.44</v>
      </c>
      <c r="L65" s="11">
        <f>VLOOKUP(I65,资产!$A:$AF,10,0)/100</f>
        <v>41706.5</v>
      </c>
      <c r="M65" s="11">
        <f>(VLOOKUP(I65,资产!$A:$AF,13,0)+VLOOKUP(I65,资产!$A:$AF,14,0)+VLOOKUP(I65,资产!$A:$AF,15,0))/100</f>
        <v>10459.040000000001</v>
      </c>
      <c r="N65" s="11">
        <f>VLOOKUP(I65,资产!$A:$AF,16,0)/100</f>
        <v>18518.55</v>
      </c>
      <c r="O65" s="11">
        <f>VLOOKUP(I65,资产!$A:$AF,17,0)/100</f>
        <v>8666.24</v>
      </c>
      <c r="P65" s="11">
        <f>VLOOKUP(I65,资产!$A:$AF,18,0)/100</f>
        <v>11028.96</v>
      </c>
      <c r="Q65" s="11">
        <f>VLOOKUP(I65,资产!$A:$AF,20,0)/100</f>
        <v>21334</v>
      </c>
      <c r="R65" s="35">
        <f>VLOOKUP(I65,负债!$A:$P,5,0)/100</f>
        <v>35648.5</v>
      </c>
      <c r="S65" s="35">
        <f>VLOOKUP(I65,负债!$A:$P,6,0)/100</f>
        <v>14202.38</v>
      </c>
      <c r="T65" s="37">
        <f>VLOOKUP(I65,资产!$A:$AF,2,0)/100</f>
        <v>75575.240000000005</v>
      </c>
      <c r="U65" s="37">
        <f>VLOOKUP(I65,资产!$A:$AF,7,0)/100</f>
        <v>70030.259999999995</v>
      </c>
      <c r="V65" s="37">
        <f>VLOOKUP(I65,负债!$A:$P,9,0)/100</f>
        <v>2033.39</v>
      </c>
      <c r="W65" s="37">
        <f>VLOOKUP(I65,负债!$A:$P,6,0)/100</f>
        <v>14202.38</v>
      </c>
      <c r="X65" s="11">
        <f>VLOOKUP(I65,负债!$A:$P,2,0)/100</f>
        <v>75183.23</v>
      </c>
      <c r="Y65" s="11">
        <f t="shared" si="0"/>
        <v>59339.470000000008</v>
      </c>
    </row>
    <row r="66" spans="1:25" s="12" customFormat="1" x14ac:dyDescent="0.35">
      <c r="A66" s="11">
        <v>1</v>
      </c>
      <c r="B66" s="11"/>
      <c r="C66" s="25" t="s">
        <v>69</v>
      </c>
      <c r="D66" s="26">
        <f>VLOOKUP($C$1,资产!$A:$AF,3,0)</f>
        <v>11037</v>
      </c>
      <c r="E66" s="11"/>
      <c r="F66" s="25" t="s">
        <v>130</v>
      </c>
      <c r="G66" s="26">
        <f>VLOOKUP($C$1,负债!$A:$P,3,0)</f>
        <v>4144576</v>
      </c>
      <c r="I66" s="24">
        <v>44265</v>
      </c>
      <c r="J66" s="11">
        <f>VLOOKUP(I66,资产!$A:$AF,8,0)/100</f>
        <v>48890.07</v>
      </c>
      <c r="K66" s="11">
        <f>VLOOKUP(I66,资产!$A:$AF,9,0)/100</f>
        <v>3260.44</v>
      </c>
      <c r="L66" s="11">
        <f>VLOOKUP(I66,资产!$A:$AF,10,0)/100</f>
        <v>41907.870000000003</v>
      </c>
      <c r="M66" s="11">
        <f>(VLOOKUP(I66,资产!$A:$AF,13,0)+VLOOKUP(I66,资产!$A:$AF,14,0)+VLOOKUP(I66,资产!$A:$AF,15,0))/100</f>
        <v>10459.32</v>
      </c>
      <c r="N66" s="11">
        <f>VLOOKUP(I66,资产!$A:$AF,16,0)/100</f>
        <v>18626.2</v>
      </c>
      <c r="O66" s="11">
        <f>VLOOKUP(I66,资产!$A:$AF,17,0)/100</f>
        <v>8709.02</v>
      </c>
      <c r="P66" s="11">
        <f>VLOOKUP(I66,资产!$A:$AF,18,0)/100</f>
        <v>11095.53</v>
      </c>
      <c r="Q66" s="11">
        <f>VLOOKUP(I66,资产!$A:$AF,20,0)/100</f>
        <v>21334.36</v>
      </c>
      <c r="R66" s="35">
        <f>VLOOKUP(I66,负债!$A:$P,5,0)/100</f>
        <v>36467.32</v>
      </c>
      <c r="S66" s="35">
        <f>VLOOKUP(I66,负债!$A:$P,6,0)/100</f>
        <v>13102.73</v>
      </c>
      <c r="T66" s="37">
        <f>VLOOKUP(I66,资产!$A:$AF,2,0)/100</f>
        <v>75799.009999999995</v>
      </c>
      <c r="U66" s="37">
        <f>VLOOKUP(I66,资产!$A:$AF,7,0)/100</f>
        <v>70247.899999999994</v>
      </c>
      <c r="V66" s="37">
        <f>VLOOKUP(I66,负债!$A:$P,9,0)/100</f>
        <v>1937.5</v>
      </c>
      <c r="W66" s="37">
        <f>VLOOKUP(I66,负债!$A:$P,6,0)/100</f>
        <v>13102.73</v>
      </c>
      <c r="X66" s="11">
        <f>VLOOKUP(I66,负债!$A:$P,2,0)/100</f>
        <v>75406.929999999993</v>
      </c>
      <c r="Y66" s="11">
        <f t="shared" si="0"/>
        <v>60758.78</v>
      </c>
    </row>
    <row r="67" spans="1:25" s="12" customFormat="1" x14ac:dyDescent="0.35">
      <c r="A67" s="11">
        <v>1</v>
      </c>
      <c r="B67" s="11"/>
      <c r="C67" s="25" t="s">
        <v>70</v>
      </c>
      <c r="D67" s="26">
        <f>VLOOKUP($C$1,资产!$A:$AF,4,0)</f>
        <v>15200</v>
      </c>
      <c r="E67" s="11"/>
      <c r="F67" s="27" t="s">
        <v>136</v>
      </c>
      <c r="G67" s="28">
        <f>VLOOKUP($C$1,负债!$A:$P,4,0)</f>
        <v>0</v>
      </c>
      <c r="I67" s="24">
        <v>44272</v>
      </c>
      <c r="J67" s="11">
        <f>VLOOKUP(I67,资产!$A:$AF,8,0)/100</f>
        <v>49116.33</v>
      </c>
      <c r="K67" s="11">
        <f>VLOOKUP(I67,资产!$A:$AF,9,0)/100</f>
        <v>3260.44</v>
      </c>
      <c r="L67" s="11">
        <f>VLOOKUP(I67,资产!$A:$AF,10,0)/100</f>
        <v>42130.559999999998</v>
      </c>
      <c r="M67" s="11">
        <f>(VLOOKUP(I67,资产!$A:$AF,13,0)+VLOOKUP(I67,资产!$A:$AF,14,0)+VLOOKUP(I67,资产!$A:$AF,15,0))/100</f>
        <v>10551.15</v>
      </c>
      <c r="N67" s="11">
        <f>VLOOKUP(I67,资产!$A:$AF,16,0)/100</f>
        <v>18647.990000000002</v>
      </c>
      <c r="O67" s="11">
        <f>VLOOKUP(I67,资产!$A:$AF,17,0)/100</f>
        <v>8771.15</v>
      </c>
      <c r="P67" s="11">
        <f>VLOOKUP(I67,资产!$A:$AF,18,0)/100</f>
        <v>11146.04</v>
      </c>
      <c r="Q67" s="11">
        <f>VLOOKUP(I67,资产!$A:$AF,20,0)/100</f>
        <v>22214.29</v>
      </c>
      <c r="R67" s="35">
        <f>VLOOKUP(I67,负债!$A:$P,5,0)/100</f>
        <v>38733.230000000003</v>
      </c>
      <c r="S67" s="35">
        <f>VLOOKUP(I67,负债!$A:$P,6,0)/100</f>
        <v>10895.01</v>
      </c>
      <c r="T67" s="37">
        <f>VLOOKUP(I67,资产!$A:$AF,2,0)/100</f>
        <v>76935.06</v>
      </c>
      <c r="U67" s="37">
        <f>VLOOKUP(I67,资产!$A:$AF,7,0)/100</f>
        <v>71354.09</v>
      </c>
      <c r="V67" s="37">
        <f>VLOOKUP(I67,负债!$A:$P,9,0)/100</f>
        <v>2055.16</v>
      </c>
      <c r="W67" s="37">
        <f>VLOOKUP(I67,负债!$A:$P,6,0)/100</f>
        <v>10895.01</v>
      </c>
      <c r="X67" s="11">
        <f>VLOOKUP(I67,负债!$A:$P,2,0)/100</f>
        <v>76542.87</v>
      </c>
      <c r="Y67" s="11">
        <f t="shared" si="0"/>
        <v>63984.889999999992</v>
      </c>
    </row>
    <row r="68" spans="1:25" s="12" customFormat="1" x14ac:dyDescent="0.35">
      <c r="A68" s="11">
        <v>1</v>
      </c>
      <c r="B68" s="11"/>
      <c r="C68" s="25" t="s">
        <v>71</v>
      </c>
      <c r="D68" s="26">
        <f>VLOOKUP($C$1,资产!$A:$AF,5,0)</f>
        <v>1405</v>
      </c>
      <c r="E68" s="11"/>
      <c r="F68" s="27" t="s">
        <v>153</v>
      </c>
      <c r="G68" s="28">
        <f>VLOOKUP($C$1,负债!$A:$P,5,0)</f>
        <v>3106716</v>
      </c>
      <c r="I68" s="24">
        <v>44279</v>
      </c>
      <c r="J68" s="11">
        <f>VLOOKUP(I68,资产!$A:$AF,8,0)/100</f>
        <v>49213.02</v>
      </c>
      <c r="K68" s="11">
        <f>VLOOKUP(I68,资产!$A:$AF,9,0)/100</f>
        <v>3260.44</v>
      </c>
      <c r="L68" s="11">
        <f>VLOOKUP(I68,资产!$A:$AF,10,0)/100</f>
        <v>42183.91</v>
      </c>
      <c r="M68" s="11">
        <f>(VLOOKUP(I68,资产!$A:$AF,13,0)+VLOOKUP(I68,资产!$A:$AF,14,0)+VLOOKUP(I68,资产!$A:$AF,15,0))/100</f>
        <v>10551.44</v>
      </c>
      <c r="N68" s="11">
        <f>VLOOKUP(I68,资产!$A:$AF,16,0)/100</f>
        <v>18669.98</v>
      </c>
      <c r="O68" s="11">
        <f>VLOOKUP(I68,资产!$A:$AF,17,0)/100</f>
        <v>8785.99</v>
      </c>
      <c r="P68" s="11">
        <f>VLOOKUP(I68,资产!$A:$AF,18,0)/100</f>
        <v>11205.62</v>
      </c>
      <c r="Q68" s="11">
        <f>VLOOKUP(I68,资产!$A:$AF,20,0)/100</f>
        <v>22348.07</v>
      </c>
      <c r="R68" s="35">
        <f>VLOOKUP(I68,负债!$A:$P,5,0)/100</f>
        <v>38091.39</v>
      </c>
      <c r="S68" s="35">
        <f>VLOOKUP(I68,负债!$A:$P,6,0)/100</f>
        <v>10319.08</v>
      </c>
      <c r="T68" s="37">
        <f>VLOOKUP(I68,资产!$A:$AF,2,0)/100</f>
        <v>77196.22</v>
      </c>
      <c r="U68" s="37">
        <f>VLOOKUP(I68,资产!$A:$AF,7,0)/100</f>
        <v>71584.56</v>
      </c>
      <c r="V68" s="37">
        <f>VLOOKUP(I68,负债!$A:$P,9,0)/100</f>
        <v>2344.44</v>
      </c>
      <c r="W68" s="37">
        <f>VLOOKUP(I68,负债!$A:$P,6,0)/100</f>
        <v>10319.08</v>
      </c>
      <c r="X68" s="11">
        <f>VLOOKUP(I68,负债!$A:$P,2,0)/100</f>
        <v>76804</v>
      </c>
      <c r="Y68" s="11">
        <f t="shared" si="0"/>
        <v>64532.7</v>
      </c>
    </row>
    <row r="69" spans="1:25" s="12" customFormat="1" x14ac:dyDescent="0.35">
      <c r="A69" s="11">
        <v>1</v>
      </c>
      <c r="B69" s="11"/>
      <c r="C69" s="25" t="s">
        <v>72</v>
      </c>
      <c r="D69" s="26">
        <f>VLOOKUP($C$1,资产!$A:$AF,6,0)</f>
        <v>6634267</v>
      </c>
      <c r="E69" s="11"/>
      <c r="F69" s="27" t="s">
        <v>142</v>
      </c>
      <c r="G69" s="28">
        <f>VLOOKUP($C$1,负债!$A:$P,6,0)</f>
        <v>781979</v>
      </c>
      <c r="I69" s="24">
        <v>44286</v>
      </c>
      <c r="J69" s="11">
        <f>VLOOKUP(I69,资产!$A:$AF,8,0)/100</f>
        <v>49422.77</v>
      </c>
      <c r="K69" s="11">
        <f>VLOOKUP(I69,资产!$A:$AF,9,0)/100</f>
        <v>3260.44</v>
      </c>
      <c r="L69" s="11">
        <f>VLOOKUP(I69,资产!$A:$AF,10,0)/100</f>
        <v>42353.93</v>
      </c>
      <c r="M69" s="11">
        <f>(VLOOKUP(I69,资产!$A:$AF,13,0)+VLOOKUP(I69,资产!$A:$AF,14,0)+VLOOKUP(I69,资产!$A:$AF,15,0))/100</f>
        <v>10444.120000000001</v>
      </c>
      <c r="N69" s="11">
        <f>VLOOKUP(I69,资产!$A:$AF,16,0)/100</f>
        <v>18815.34</v>
      </c>
      <c r="O69" s="11">
        <f>VLOOKUP(I69,资产!$A:$AF,17,0)/100</f>
        <v>8890.19</v>
      </c>
      <c r="P69" s="11">
        <f>VLOOKUP(I69,资产!$A:$AF,18,0)/100</f>
        <v>11273.12</v>
      </c>
      <c r="Q69" s="11">
        <f>VLOOKUP(I69,资产!$A:$AF,20,0)/100</f>
        <v>21846.83</v>
      </c>
      <c r="R69" s="35">
        <f>VLOOKUP(I69,负债!$A:$P,5,0)/100</f>
        <v>36727.019999999997</v>
      </c>
      <c r="S69" s="35">
        <f>VLOOKUP(I69,负债!$A:$P,6,0)/100</f>
        <v>11219.51</v>
      </c>
      <c r="T69" s="37">
        <f>VLOOKUP(I69,资产!$A:$AF,2,0)/100</f>
        <v>76889.88</v>
      </c>
      <c r="U69" s="37">
        <f>VLOOKUP(I69,资产!$A:$AF,7,0)/100</f>
        <v>71293.08</v>
      </c>
      <c r="V69" s="37">
        <f>VLOOKUP(I69,负债!$A:$P,9,0)/100</f>
        <v>3521.77</v>
      </c>
      <c r="W69" s="37">
        <f>VLOOKUP(I69,负债!$A:$P,6,0)/100</f>
        <v>11219.51</v>
      </c>
      <c r="X69" s="11">
        <f>VLOOKUP(I69,负债!$A:$P,2,0)/100</f>
        <v>76497.34</v>
      </c>
      <c r="Y69" s="11">
        <f t="shared" si="0"/>
        <v>62148.6</v>
      </c>
    </row>
    <row r="70" spans="1:25" s="12" customFormat="1" x14ac:dyDescent="0.35">
      <c r="A70" s="11">
        <v>2</v>
      </c>
      <c r="B70" s="11"/>
      <c r="C70" s="27" t="s">
        <v>73</v>
      </c>
      <c r="D70" s="28">
        <f>VLOOKUP($C$1,资产!$A:$AF,7,0)</f>
        <v>6437719</v>
      </c>
      <c r="E70" s="11"/>
      <c r="F70" s="27" t="s">
        <v>137</v>
      </c>
      <c r="G70" s="28">
        <f>VLOOKUP($C$1,负债!$A:$P,7,0)</f>
        <v>9443</v>
      </c>
      <c r="I70" s="24">
        <v>44293</v>
      </c>
      <c r="J70" s="11">
        <f>VLOOKUP(I70,资产!$A:$AF,8,0)/100</f>
        <v>49590.33</v>
      </c>
      <c r="K70" s="11">
        <f>VLOOKUP(I70,资产!$A:$AF,9,0)/100</f>
        <v>3260.44</v>
      </c>
      <c r="L70" s="11">
        <f>VLOOKUP(I70,资产!$A:$AF,10,0)/100</f>
        <v>42516.62</v>
      </c>
      <c r="M70" s="11">
        <f>(VLOOKUP(I70,资产!$A:$AF,13,0)+VLOOKUP(I70,资产!$A:$AF,14,0)+VLOOKUP(I70,资产!$A:$AF,15,0))/100</f>
        <v>10502.55</v>
      </c>
      <c r="N70" s="11">
        <f>VLOOKUP(I70,资产!$A:$AF,16,0)/100</f>
        <v>18886.84</v>
      </c>
      <c r="O70" s="11">
        <f>VLOOKUP(I70,资产!$A:$AF,17,0)/100</f>
        <v>8891.86</v>
      </c>
      <c r="P70" s="11">
        <f>VLOOKUP(I70,资产!$A:$AF,18,0)/100</f>
        <v>11309.08</v>
      </c>
      <c r="Q70" s="11">
        <f>VLOOKUP(I70,资产!$A:$AF,20,0)/100</f>
        <v>21846.84</v>
      </c>
      <c r="R70" s="35">
        <f>VLOOKUP(I70,负债!$A:$P,5,0)/100</f>
        <v>39440.550000000003</v>
      </c>
      <c r="S70" s="35">
        <f>VLOOKUP(I70,负债!$A:$P,6,0)/100</f>
        <v>9549.68</v>
      </c>
      <c r="T70" s="37">
        <f>VLOOKUP(I70,资产!$A:$AF,2,0)/100</f>
        <v>77088.820000000007</v>
      </c>
      <c r="U70" s="37">
        <f>VLOOKUP(I70,资产!$A:$AF,7,0)/100</f>
        <v>71460.639999999999</v>
      </c>
      <c r="V70" s="37">
        <f>VLOOKUP(I70,负债!$A:$P,9,0)/100</f>
        <v>2720.73</v>
      </c>
      <c r="W70" s="37">
        <f>VLOOKUP(I70,负债!$A:$P,6,0)/100</f>
        <v>9549.68</v>
      </c>
      <c r="X70" s="11">
        <f>VLOOKUP(I70,负债!$A:$P,2,0)/100</f>
        <v>76696.160000000003</v>
      </c>
      <c r="Y70" s="11">
        <f t="shared" ref="Y70:Y133" si="1">T70-V70-W70</f>
        <v>64818.410000000011</v>
      </c>
    </row>
    <row r="71" spans="1:25" s="12" customFormat="1" x14ac:dyDescent="0.35">
      <c r="A71" s="11">
        <v>3</v>
      </c>
      <c r="B71" s="11"/>
      <c r="C71" s="29" t="s">
        <v>74</v>
      </c>
      <c r="D71" s="30">
        <f>VLOOKUP($C$1,资产!$A:$AF,8,0)</f>
        <v>4457712</v>
      </c>
      <c r="E71" s="11"/>
      <c r="F71" s="27" t="s">
        <v>138</v>
      </c>
      <c r="G71" s="28">
        <f>VLOOKUP($C$1,负债!$A:$P,8,0)</f>
        <v>246438</v>
      </c>
      <c r="I71" s="24">
        <v>44300</v>
      </c>
      <c r="J71" s="11">
        <f>VLOOKUP(I71,资产!$A:$AF,8,0)/100</f>
        <v>49734.99</v>
      </c>
      <c r="K71" s="11">
        <f>VLOOKUP(I71,资产!$A:$AF,9,0)/100</f>
        <v>3260.44</v>
      </c>
      <c r="L71" s="11">
        <f>VLOOKUP(I71,资产!$A:$AF,10,0)/100</f>
        <v>42629.99</v>
      </c>
      <c r="M71" s="11">
        <f>(VLOOKUP(I71,资产!$A:$AF,13,0)+VLOOKUP(I71,资产!$A:$AF,14,0)+VLOOKUP(I71,资产!$A:$AF,15,0))/100</f>
        <v>10502.93</v>
      </c>
      <c r="N71" s="11">
        <f>VLOOKUP(I71,资产!$A:$AF,16,0)/100</f>
        <v>18926.259999999998</v>
      </c>
      <c r="O71" s="11">
        <f>VLOOKUP(I71,资产!$A:$AF,17,0)/100</f>
        <v>8942.08</v>
      </c>
      <c r="P71" s="11">
        <f>VLOOKUP(I71,资产!$A:$AF,18,0)/100</f>
        <v>11363.72</v>
      </c>
      <c r="Q71" s="11">
        <f>VLOOKUP(I71,资产!$A:$AF,20,0)/100</f>
        <v>22490.19</v>
      </c>
      <c r="R71" s="35">
        <f>VLOOKUP(I71,负债!$A:$P,5,0)/100</f>
        <v>39364.54</v>
      </c>
      <c r="S71" s="35">
        <f>VLOOKUP(I71,负债!$A:$P,6,0)/100</f>
        <v>9216.85</v>
      </c>
      <c r="T71" s="37">
        <f>VLOOKUP(I71,资产!$A:$AF,2,0)/100</f>
        <v>77931.039999999994</v>
      </c>
      <c r="U71" s="37">
        <f>VLOOKUP(I71,资产!$A:$AF,7,0)/100</f>
        <v>72248.649999999994</v>
      </c>
      <c r="V71" s="37">
        <f>VLOOKUP(I71,负债!$A:$P,9,0)/100</f>
        <v>2818.53</v>
      </c>
      <c r="W71" s="37">
        <f>VLOOKUP(I71,负债!$A:$P,6,0)/100</f>
        <v>9216.85</v>
      </c>
      <c r="X71" s="11">
        <f>VLOOKUP(I71,负债!$A:$P,2,0)/100</f>
        <v>77538.36</v>
      </c>
      <c r="Y71" s="11">
        <f t="shared" si="1"/>
        <v>65895.659999999989</v>
      </c>
    </row>
    <row r="72" spans="1:25" s="12" customFormat="1" x14ac:dyDescent="0.35">
      <c r="A72" s="11">
        <v>4</v>
      </c>
      <c r="B72" s="11"/>
      <c r="C72" s="31" t="s">
        <v>76</v>
      </c>
      <c r="D72" s="32">
        <f>VLOOKUP($C$1,资产!$A:$AF,9,0)</f>
        <v>459607</v>
      </c>
      <c r="E72" s="11"/>
      <c r="F72" s="25" t="s">
        <v>131</v>
      </c>
      <c r="G72" s="26">
        <f>VLOOKUP($C$1,负债!$A:$P,9,0)</f>
        <v>342628</v>
      </c>
      <c r="I72" s="24">
        <v>44307</v>
      </c>
      <c r="J72" s="11">
        <f>VLOOKUP(I72,资产!$A:$AF,8,0)/100</f>
        <v>50003.06</v>
      </c>
      <c r="K72" s="11">
        <f>VLOOKUP(I72,资产!$A:$AF,9,0)/100</f>
        <v>3260.44</v>
      </c>
      <c r="L72" s="11">
        <f>VLOOKUP(I72,资产!$A:$AF,10,0)/100</f>
        <v>42970.74</v>
      </c>
      <c r="M72" s="11">
        <f>(VLOOKUP(I72,资产!$A:$AF,13,0)+VLOOKUP(I72,资产!$A:$AF,14,0)+VLOOKUP(I72,资产!$A:$AF,15,0))/100</f>
        <v>10561.57</v>
      </c>
      <c r="N72" s="11">
        <f>VLOOKUP(I72,资产!$A:$AF,16,0)/100</f>
        <v>18990.3</v>
      </c>
      <c r="O72" s="11">
        <f>VLOOKUP(I72,资产!$A:$AF,17,0)/100</f>
        <v>9006.9699999999993</v>
      </c>
      <c r="P72" s="11">
        <f>VLOOKUP(I72,资产!$A:$AF,18,0)/100</f>
        <v>11444.23</v>
      </c>
      <c r="Q72" s="11">
        <f>VLOOKUP(I72,资产!$A:$AF,20,0)/100</f>
        <v>22469.89</v>
      </c>
      <c r="R72" s="35">
        <f>VLOOKUP(I72,负债!$A:$P,5,0)/100</f>
        <v>37674.54</v>
      </c>
      <c r="S72" s="35">
        <f>VLOOKUP(I72,负债!$A:$P,6,0)/100</f>
        <v>10034.43</v>
      </c>
      <c r="T72" s="37">
        <f>VLOOKUP(I72,资产!$A:$AF,2,0)/100</f>
        <v>78209.48</v>
      </c>
      <c r="U72" s="37">
        <f>VLOOKUP(I72,资产!$A:$AF,7,0)/100</f>
        <v>72496.42</v>
      </c>
      <c r="V72" s="37">
        <f>VLOOKUP(I72,负债!$A:$P,9,0)/100</f>
        <v>3027.9</v>
      </c>
      <c r="W72" s="37">
        <f>VLOOKUP(I72,负债!$A:$P,6,0)/100</f>
        <v>10034.43</v>
      </c>
      <c r="X72" s="11">
        <f>VLOOKUP(I72,负债!$A:$P,2,0)/100</f>
        <v>77816.789999999994</v>
      </c>
      <c r="Y72" s="11">
        <f t="shared" si="1"/>
        <v>65147.15</v>
      </c>
    </row>
    <row r="73" spans="1:25" s="12" customFormat="1" x14ac:dyDescent="0.35">
      <c r="A73" s="11">
        <v>4</v>
      </c>
      <c r="B73" s="11"/>
      <c r="C73" s="31" t="s">
        <v>77</v>
      </c>
      <c r="D73" s="32">
        <f>VLOOKUP($C$1,资产!$A:$AF,10,0)</f>
        <v>3615393</v>
      </c>
      <c r="E73" s="11"/>
      <c r="F73" s="25" t="s">
        <v>132</v>
      </c>
      <c r="G73" s="26">
        <f>VLOOKUP($C$1,负债!$A:$P,10,0)</f>
        <v>2410379</v>
      </c>
      <c r="I73" s="24">
        <v>44314</v>
      </c>
      <c r="J73" s="11">
        <f>VLOOKUP(I73,资产!$A:$AF,8,0)/100</f>
        <v>50147.62</v>
      </c>
      <c r="K73" s="11">
        <f>VLOOKUP(I73,资产!$A:$AF,9,0)/100</f>
        <v>3260.44</v>
      </c>
      <c r="L73" s="11">
        <f>VLOOKUP(I73,资产!$A:$AF,10,0)/100</f>
        <v>43084.11</v>
      </c>
      <c r="M73" s="11">
        <f>(VLOOKUP(I73,资产!$A:$AF,13,0)+VLOOKUP(I73,资产!$A:$AF,14,0)+VLOOKUP(I73,资产!$A:$AF,15,0))/100</f>
        <v>10561.97</v>
      </c>
      <c r="N73" s="11">
        <f>VLOOKUP(I73,资产!$A:$AF,16,0)/100</f>
        <v>19026.330000000002</v>
      </c>
      <c r="O73" s="11">
        <f>VLOOKUP(I73,资产!$A:$AF,17,0)/100</f>
        <v>9060.4699999999993</v>
      </c>
      <c r="P73" s="11">
        <f>VLOOKUP(I73,资产!$A:$AF,18,0)/100</f>
        <v>11498.86</v>
      </c>
      <c r="Q73" s="11">
        <f>VLOOKUP(I73,资产!$A:$AF,20,0)/100</f>
        <v>21913.05</v>
      </c>
      <c r="R73" s="35">
        <f>VLOOKUP(I73,负债!$A:$P,5,0)/100</f>
        <v>38890.18</v>
      </c>
      <c r="S73" s="35">
        <f>VLOOKUP(I73,负债!$A:$P,6,0)/100</f>
        <v>9322.8700000000008</v>
      </c>
      <c r="T73" s="37">
        <f>VLOOKUP(I73,资产!$A:$AF,2,0)/100</f>
        <v>77809.62</v>
      </c>
      <c r="U73" s="37">
        <f>VLOOKUP(I73,资产!$A:$AF,7,0)/100</f>
        <v>72084.14</v>
      </c>
      <c r="V73" s="37">
        <f>VLOOKUP(I73,负债!$A:$P,9,0)/100</f>
        <v>3828.91</v>
      </c>
      <c r="W73" s="37">
        <f>VLOOKUP(I73,负债!$A:$P,6,0)/100</f>
        <v>9322.8700000000008</v>
      </c>
      <c r="X73" s="11">
        <f>VLOOKUP(I73,负债!$A:$P,2,0)/100</f>
        <v>77416.929999999993</v>
      </c>
      <c r="Y73" s="11">
        <f t="shared" si="1"/>
        <v>64657.839999999989</v>
      </c>
    </row>
    <row r="74" spans="1:25" s="12" customFormat="1" x14ac:dyDescent="0.35">
      <c r="A74" s="11">
        <v>4</v>
      </c>
      <c r="B74" s="11"/>
      <c r="C74" s="31" t="s">
        <v>78</v>
      </c>
      <c r="D74" s="32">
        <f>VLOOKUP($C$1,资产!$A:$AF,11,0)</f>
        <v>279041</v>
      </c>
      <c r="E74" s="11"/>
      <c r="F74" s="25" t="s">
        <v>133</v>
      </c>
      <c r="G74" s="26">
        <f>VLOOKUP($C$1,负债!$A:$P,11,0)</f>
        <v>316</v>
      </c>
      <c r="I74" s="24">
        <v>44321</v>
      </c>
      <c r="J74" s="11">
        <f>VLOOKUP(I74,资产!$A:$AF,8,0)/100</f>
        <v>50404.18</v>
      </c>
      <c r="K74" s="11">
        <f>VLOOKUP(I74,资产!$A:$AF,9,0)/100</f>
        <v>3260.44</v>
      </c>
      <c r="L74" s="11">
        <f>VLOOKUP(I74,资产!$A:$AF,10,0)/100</f>
        <v>43300.43</v>
      </c>
      <c r="M74" s="11">
        <f>(VLOOKUP(I74,资产!$A:$AF,13,0)+VLOOKUP(I74,资产!$A:$AF,14,0)+VLOOKUP(I74,资产!$A:$AF,15,0))/100</f>
        <v>10334.17</v>
      </c>
      <c r="N74" s="11">
        <f>VLOOKUP(I74,资产!$A:$AF,16,0)/100</f>
        <v>19426.740000000002</v>
      </c>
      <c r="O74" s="11">
        <f>VLOOKUP(I74,资产!$A:$AF,17,0)/100</f>
        <v>9062.3799999999992</v>
      </c>
      <c r="P74" s="11">
        <f>VLOOKUP(I74,资产!$A:$AF,18,0)/100</f>
        <v>11580.9</v>
      </c>
      <c r="Q74" s="11">
        <f>VLOOKUP(I74,资产!$A:$AF,20,0)/100</f>
        <v>21913.25</v>
      </c>
      <c r="R74" s="35">
        <f>VLOOKUP(I74,负债!$A:$P,5,0)/100</f>
        <v>39008.03</v>
      </c>
      <c r="S74" s="35">
        <f>VLOOKUP(I74,负债!$A:$P,6,0)/100</f>
        <v>9461.34</v>
      </c>
      <c r="T74" s="37">
        <f>VLOOKUP(I74,资产!$A:$AF,2,0)/100</f>
        <v>78104.86</v>
      </c>
      <c r="U74" s="37">
        <f>VLOOKUP(I74,资产!$A:$AF,7,0)/100</f>
        <v>72340.899999999994</v>
      </c>
      <c r="V74" s="37">
        <f>VLOOKUP(I74,负债!$A:$P,9,0)/100</f>
        <v>3883.04</v>
      </c>
      <c r="W74" s="37">
        <f>VLOOKUP(I74,负债!$A:$P,6,0)/100</f>
        <v>9461.34</v>
      </c>
      <c r="X74" s="11">
        <f>VLOOKUP(I74,负债!$A:$P,2,0)/100</f>
        <v>77712.13</v>
      </c>
      <c r="Y74" s="11">
        <f t="shared" si="1"/>
        <v>64760.48000000001</v>
      </c>
    </row>
    <row r="75" spans="1:25" s="12" customFormat="1" x14ac:dyDescent="0.35">
      <c r="A75" s="11">
        <v>4</v>
      </c>
      <c r="B75" s="11"/>
      <c r="C75" s="31" t="s">
        <v>79</v>
      </c>
      <c r="D75" s="32">
        <f>VLOOKUP($C$1,资产!$A:$AF,12,0)</f>
        <v>103670</v>
      </c>
      <c r="E75" s="11"/>
      <c r="F75" s="25" t="s">
        <v>134</v>
      </c>
      <c r="G75" s="26">
        <f>VLOOKUP($C$1,负债!$A:$P,12,0)</f>
        <v>821</v>
      </c>
      <c r="I75" s="24">
        <v>44328</v>
      </c>
      <c r="J75" s="11">
        <f>VLOOKUP(I75,资产!$A:$AF,8,0)/100</f>
        <v>50543.95</v>
      </c>
      <c r="K75" s="11">
        <f>VLOOKUP(I75,资产!$A:$AF,9,0)/100</f>
        <v>3260.44</v>
      </c>
      <c r="L75" s="11">
        <f>VLOOKUP(I75,资产!$A:$AF,10,0)/100</f>
        <v>43396.45</v>
      </c>
      <c r="M75" s="11">
        <f>(VLOOKUP(I75,资产!$A:$AF,13,0)+VLOOKUP(I75,资产!$A:$AF,14,0)+VLOOKUP(I75,资产!$A:$AF,15,0))/100</f>
        <v>10334.66</v>
      </c>
      <c r="N75" s="11">
        <f>VLOOKUP(I75,资产!$A:$AF,16,0)/100</f>
        <v>19480.27</v>
      </c>
      <c r="O75" s="11">
        <f>VLOOKUP(I75,资产!$A:$AF,17,0)/100</f>
        <v>9109.43</v>
      </c>
      <c r="P75" s="11">
        <f>VLOOKUP(I75,资产!$A:$AF,18,0)/100</f>
        <v>11619.58</v>
      </c>
      <c r="Q75" s="11">
        <f>VLOOKUP(I75,资产!$A:$AF,20,0)/100</f>
        <v>21913.25</v>
      </c>
      <c r="R75" s="35">
        <f>VLOOKUP(I75,负债!$A:$P,5,0)/100</f>
        <v>39558.639999999999</v>
      </c>
      <c r="S75" s="35">
        <f>VLOOKUP(I75,负债!$A:$P,6,0)/100</f>
        <v>8642.5300000000007</v>
      </c>
      <c r="T75" s="37">
        <f>VLOOKUP(I75,资产!$A:$AF,2,0)/100</f>
        <v>78306.63</v>
      </c>
      <c r="U75" s="37">
        <f>VLOOKUP(I75,资产!$A:$AF,7,0)/100</f>
        <v>72480.67</v>
      </c>
      <c r="V75" s="37">
        <f>VLOOKUP(I75,负债!$A:$P,9,0)/100</f>
        <v>4288.32</v>
      </c>
      <c r="W75" s="37">
        <f>VLOOKUP(I75,负债!$A:$P,6,0)/100</f>
        <v>8642.5300000000007</v>
      </c>
      <c r="X75" s="11">
        <f>VLOOKUP(I75,负债!$A:$P,2,0)/100</f>
        <v>77912.72</v>
      </c>
      <c r="Y75" s="11">
        <f t="shared" si="1"/>
        <v>65375.78</v>
      </c>
    </row>
    <row r="76" spans="1:25" s="12" customFormat="1" x14ac:dyDescent="0.35">
      <c r="A76" s="11">
        <v>4</v>
      </c>
      <c r="B76" s="11"/>
      <c r="C76" s="31" t="s">
        <v>80</v>
      </c>
      <c r="D76" s="32">
        <f>VLOOKUP($C$1,资产!$A:$AF,13,0)</f>
        <v>88919</v>
      </c>
      <c r="E76" s="11"/>
      <c r="F76" s="25" t="s">
        <v>135</v>
      </c>
      <c r="G76" s="26">
        <f>VLOOKUP($C$1,负债!$A:$P,13,0)</f>
        <v>-232314</v>
      </c>
      <c r="I76" s="24">
        <v>44335</v>
      </c>
      <c r="J76" s="11">
        <f>VLOOKUP(I76,资产!$A:$AF,8,0)/100</f>
        <v>50718.21</v>
      </c>
      <c r="K76" s="11">
        <f>VLOOKUP(I76,资产!$A:$AF,9,0)/100</f>
        <v>3260.44</v>
      </c>
      <c r="L76" s="11">
        <f>VLOOKUP(I76,资产!$A:$AF,10,0)/100</f>
        <v>43551.82</v>
      </c>
      <c r="M76" s="11">
        <f>(VLOOKUP(I76,资产!$A:$AF,13,0)+VLOOKUP(I76,资产!$A:$AF,14,0)+VLOOKUP(I76,资产!$A:$AF,15,0))/100</f>
        <v>10395.89</v>
      </c>
      <c r="N76" s="11">
        <f>VLOOKUP(I76,资产!$A:$AF,16,0)/100</f>
        <v>19332.830000000002</v>
      </c>
      <c r="O76" s="11">
        <f>VLOOKUP(I76,资产!$A:$AF,17,0)/100</f>
        <v>9189.3799999999992</v>
      </c>
      <c r="P76" s="11">
        <f>VLOOKUP(I76,资产!$A:$AF,18,0)/100</f>
        <v>11800.11</v>
      </c>
      <c r="Q76" s="11">
        <f>VLOOKUP(I76,资产!$A:$AF,20,0)/100</f>
        <v>22775.61</v>
      </c>
      <c r="R76" s="35">
        <f>VLOOKUP(I76,负债!$A:$P,5,0)/100</f>
        <v>38239.81</v>
      </c>
      <c r="S76" s="35">
        <f>VLOOKUP(I76,负债!$A:$P,6,0)/100</f>
        <v>8608.33</v>
      </c>
      <c r="T76" s="37">
        <f>VLOOKUP(I76,资产!$A:$AF,2,0)/100</f>
        <v>79228.83</v>
      </c>
      <c r="U76" s="37">
        <f>VLOOKUP(I76,资产!$A:$AF,7,0)/100</f>
        <v>73517.289999999994</v>
      </c>
      <c r="V76" s="37">
        <f>VLOOKUP(I76,负债!$A:$P,9,0)/100</f>
        <v>5221.5600000000004</v>
      </c>
      <c r="W76" s="37">
        <f>VLOOKUP(I76,负债!$A:$P,6,0)/100</f>
        <v>8608.33</v>
      </c>
      <c r="X76" s="11">
        <f>VLOOKUP(I76,负债!$A:$P,2,0)/100</f>
        <v>78834.62</v>
      </c>
      <c r="Y76" s="11">
        <f t="shared" si="1"/>
        <v>65398.94</v>
      </c>
    </row>
    <row r="77" spans="1:25" s="12" customFormat="1" x14ac:dyDescent="0.35">
      <c r="A77" s="11">
        <v>4</v>
      </c>
      <c r="B77" s="11"/>
      <c r="C77" s="31" t="s">
        <v>81</v>
      </c>
      <c r="D77" s="32">
        <f>VLOOKUP($C$1,资产!$A:$AF,14,0)</f>
        <v>343911</v>
      </c>
      <c r="E77" s="11"/>
      <c r="F77" s="11"/>
      <c r="I77" s="24">
        <v>44342</v>
      </c>
      <c r="J77" s="11">
        <f>VLOOKUP(I77,资产!$A:$AF,8,0)/100</f>
        <v>50871.57</v>
      </c>
      <c r="K77" s="11">
        <f>VLOOKUP(I77,资产!$A:$AF,9,0)/100</f>
        <v>3260.44</v>
      </c>
      <c r="L77" s="11">
        <f>VLOOKUP(I77,资产!$A:$AF,10,0)/100</f>
        <v>43677.86</v>
      </c>
      <c r="M77" s="11">
        <f>(VLOOKUP(I77,资产!$A:$AF,13,0)+VLOOKUP(I77,资产!$A:$AF,14,0)+VLOOKUP(I77,资产!$A:$AF,15,0))/100</f>
        <v>10396.4</v>
      </c>
      <c r="N77" s="11">
        <f>VLOOKUP(I77,资产!$A:$AF,16,0)/100</f>
        <v>19373.8</v>
      </c>
      <c r="O77" s="11">
        <f>VLOOKUP(I77,资产!$A:$AF,17,0)/100</f>
        <v>9265.6200000000008</v>
      </c>
      <c r="P77" s="11">
        <f>VLOOKUP(I77,资产!$A:$AF,18,0)/100</f>
        <v>11835.76</v>
      </c>
      <c r="Q77" s="11">
        <f>VLOOKUP(I77,资产!$A:$AF,20,0)/100</f>
        <v>22442.65</v>
      </c>
      <c r="R77" s="35">
        <f>VLOOKUP(I77,负债!$A:$P,5,0)/100</f>
        <v>38516.230000000003</v>
      </c>
      <c r="S77" s="35">
        <f>VLOOKUP(I77,负债!$A:$P,6,0)/100</f>
        <v>7789.12</v>
      </c>
      <c r="T77" s="37">
        <f>VLOOKUP(I77,资产!$A:$AF,2,0)/100</f>
        <v>79035.41</v>
      </c>
      <c r="U77" s="37">
        <f>VLOOKUP(I77,资产!$A:$AF,7,0)/100</f>
        <v>73337.69</v>
      </c>
      <c r="V77" s="37">
        <f>VLOOKUP(I77,负债!$A:$P,9,0)/100</f>
        <v>6704.33</v>
      </c>
      <c r="W77" s="37">
        <f>VLOOKUP(I77,负债!$A:$P,6,0)/100</f>
        <v>7789.12</v>
      </c>
      <c r="X77" s="11">
        <f>VLOOKUP(I77,负债!$A:$P,2,0)/100</f>
        <v>78640.34</v>
      </c>
      <c r="Y77" s="11">
        <f t="shared" si="1"/>
        <v>64541.96</v>
      </c>
    </row>
    <row r="78" spans="1:25" s="12" customFormat="1" x14ac:dyDescent="0.35">
      <c r="A78" s="11">
        <v>4</v>
      </c>
      <c r="B78" s="11"/>
      <c r="C78" s="31" t="s">
        <v>82</v>
      </c>
      <c r="D78" s="32">
        <f>VLOOKUP($C$1,资产!$A:$AF,15,0)</f>
        <v>504852</v>
      </c>
      <c r="E78" s="11"/>
      <c r="F78" s="16" t="s">
        <v>145</v>
      </c>
      <c r="G78" s="17">
        <f>VLOOKUP($C$1,负债!$A:$Q,17,0)</f>
        <v>47236</v>
      </c>
      <c r="I78" s="24">
        <v>44349</v>
      </c>
      <c r="J78" s="11">
        <f>VLOOKUP(I78,资产!$A:$AF,8,0)/100</f>
        <v>51190.23</v>
      </c>
      <c r="K78" s="11">
        <f>VLOOKUP(I78,资产!$A:$AF,9,0)/100</f>
        <v>3260.44</v>
      </c>
      <c r="L78" s="11">
        <f>VLOOKUP(I78,资产!$A:$AF,10,0)/100</f>
        <v>43989.9</v>
      </c>
      <c r="M78" s="11">
        <f>(VLOOKUP(I78,资产!$A:$AF,13,0)+VLOOKUP(I78,资产!$A:$AF,14,0)+VLOOKUP(I78,资产!$A:$AF,15,0))/100</f>
        <v>10224.73</v>
      </c>
      <c r="N78" s="11">
        <f>VLOOKUP(I78,资产!$A:$AF,16,0)/100</f>
        <v>19768.060000000001</v>
      </c>
      <c r="O78" s="11">
        <f>VLOOKUP(I78,资产!$A:$AF,17,0)/100</f>
        <v>9287.5499999999993</v>
      </c>
      <c r="P78" s="11">
        <f>VLOOKUP(I78,资产!$A:$AF,18,0)/100</f>
        <v>11909.91</v>
      </c>
      <c r="Q78" s="11">
        <f>VLOOKUP(I78,资产!$A:$AF,20,0)/100</f>
        <v>22442.7</v>
      </c>
      <c r="R78" s="35">
        <f>VLOOKUP(I78,负债!$A:$P,5,0)/100</f>
        <v>38482.620000000003</v>
      </c>
      <c r="S78" s="35">
        <f>VLOOKUP(I78,负债!$A:$P,6,0)/100</f>
        <v>8120.87</v>
      </c>
      <c r="T78" s="37">
        <f>VLOOKUP(I78,资产!$A:$AF,2,0)/100</f>
        <v>79357.03</v>
      </c>
      <c r="U78" s="37">
        <f>VLOOKUP(I78,资产!$A:$AF,7,0)/100</f>
        <v>73656.41</v>
      </c>
      <c r="V78" s="37">
        <f>VLOOKUP(I78,负债!$A:$P,9,0)/100</f>
        <v>6729.06</v>
      </c>
      <c r="W78" s="37">
        <f>VLOOKUP(I78,负债!$A:$P,6,0)/100</f>
        <v>8120.87</v>
      </c>
      <c r="X78" s="11">
        <f>VLOOKUP(I78,负债!$A:$P,2,0)/100</f>
        <v>78961.95</v>
      </c>
      <c r="Y78" s="11">
        <f t="shared" si="1"/>
        <v>64507.1</v>
      </c>
    </row>
    <row r="79" spans="1:25" s="12" customFormat="1" x14ac:dyDescent="0.35">
      <c r="A79" s="11">
        <v>4</v>
      </c>
      <c r="B79" s="11"/>
      <c r="C79" s="31" t="s">
        <v>83</v>
      </c>
      <c r="D79" s="32">
        <f>VLOOKUP($C$1,资产!$A:$AF,16,0)</f>
        <v>1429880</v>
      </c>
      <c r="E79" s="11"/>
      <c r="F79" s="27" t="s">
        <v>139</v>
      </c>
      <c r="G79" s="28">
        <f>VLOOKUP($C$1,负债!$A:$P,14,0)</f>
        <v>40451</v>
      </c>
      <c r="I79" s="24">
        <v>44356</v>
      </c>
      <c r="J79" s="11">
        <f>VLOOKUP(I79,资产!$A:$AF,8,0)/100</f>
        <v>51298.91</v>
      </c>
      <c r="K79" s="11">
        <f>VLOOKUP(I79,资产!$A:$AF,9,0)/100</f>
        <v>3260.44</v>
      </c>
      <c r="L79" s="11">
        <f>VLOOKUP(I79,资产!$A:$AF,10,0)/100</f>
        <v>44055.68</v>
      </c>
      <c r="M79" s="11">
        <f>(VLOOKUP(I79,资产!$A:$AF,13,0)+VLOOKUP(I79,资产!$A:$AF,14,0)+VLOOKUP(I79,资产!$A:$AF,15,0))/100</f>
        <v>10225.32</v>
      </c>
      <c r="N79" s="11">
        <f>VLOOKUP(I79,资产!$A:$AF,16,0)/100</f>
        <v>19786.48</v>
      </c>
      <c r="O79" s="11">
        <f>VLOOKUP(I79,资产!$A:$AF,17,0)/100</f>
        <v>9339.34</v>
      </c>
      <c r="P79" s="11">
        <f>VLOOKUP(I79,资产!$A:$AF,18,0)/100</f>
        <v>11947.77</v>
      </c>
      <c r="Q79" s="11">
        <f>VLOOKUP(I79,资产!$A:$AF,20,0)/100</f>
        <v>22442.7</v>
      </c>
      <c r="R79" s="35">
        <f>VLOOKUP(I79,负债!$A:$P,5,0)/100</f>
        <v>39167.25</v>
      </c>
      <c r="S79" s="35">
        <f>VLOOKUP(I79,负债!$A:$P,6,0)/100</f>
        <v>6735.55</v>
      </c>
      <c r="T79" s="37">
        <f>VLOOKUP(I79,资产!$A:$AF,2,0)/100</f>
        <v>79523.27</v>
      </c>
      <c r="U79" s="37">
        <f>VLOOKUP(I79,资产!$A:$AF,7,0)/100</f>
        <v>73765.08</v>
      </c>
      <c r="V79" s="37">
        <f>VLOOKUP(I79,负债!$A:$P,9,0)/100</f>
        <v>7209.36</v>
      </c>
      <c r="W79" s="37">
        <f>VLOOKUP(I79,负债!$A:$P,6,0)/100</f>
        <v>6735.55</v>
      </c>
      <c r="X79" s="11">
        <f>VLOOKUP(I79,负债!$A:$P,2,0)/100</f>
        <v>79128.149999999994</v>
      </c>
      <c r="Y79" s="11">
        <f t="shared" si="1"/>
        <v>65578.36</v>
      </c>
    </row>
    <row r="80" spans="1:25" s="12" customFormat="1" x14ac:dyDescent="0.35">
      <c r="A80" s="11">
        <v>4</v>
      </c>
      <c r="B80" s="11"/>
      <c r="C80" s="31" t="s">
        <v>84</v>
      </c>
      <c r="D80" s="32">
        <f>VLOOKUP($C$1,资产!$A:$AF,17,0)</f>
        <v>481258</v>
      </c>
      <c r="E80" s="11"/>
      <c r="F80" s="27" t="s">
        <v>140</v>
      </c>
      <c r="G80" s="28">
        <f>VLOOKUP($C$1,负债!$A:$P,15,0)</f>
        <v>6785</v>
      </c>
      <c r="I80" s="24">
        <v>44363</v>
      </c>
      <c r="J80" s="11">
        <f>VLOOKUP(I80,资产!$A:$AF,8,0)/100</f>
        <v>51537.71</v>
      </c>
      <c r="K80" s="11">
        <f>VLOOKUP(I80,资产!$A:$AF,9,0)/100</f>
        <v>3260.44</v>
      </c>
      <c r="L80" s="11">
        <f>VLOOKUP(I80,资产!$A:$AF,10,0)/100</f>
        <v>44273.72</v>
      </c>
      <c r="M80" s="11">
        <f>(VLOOKUP(I80,资产!$A:$AF,13,0)+VLOOKUP(I80,资产!$A:$AF,14,0)+VLOOKUP(I80,资产!$A:$AF,15,0))/100</f>
        <v>10276.64</v>
      </c>
      <c r="N80" s="11">
        <f>VLOOKUP(I80,资产!$A:$AF,16,0)/100</f>
        <v>19820.400000000001</v>
      </c>
      <c r="O80" s="11">
        <f>VLOOKUP(I80,资产!$A:$AF,17,0)/100</f>
        <v>9432.49</v>
      </c>
      <c r="P80" s="11">
        <f>VLOOKUP(I80,资产!$A:$AF,18,0)/100</f>
        <v>12008.19</v>
      </c>
      <c r="Q80" s="11">
        <f>VLOOKUP(I80,资产!$A:$AF,20,0)/100</f>
        <v>23281.24</v>
      </c>
      <c r="R80" s="35">
        <f>VLOOKUP(I80,负债!$A:$P,5,0)/100</f>
        <v>39057.360000000001</v>
      </c>
      <c r="S80" s="35">
        <f>VLOOKUP(I80,负债!$A:$P,6,0)/100</f>
        <v>7651.14</v>
      </c>
      <c r="T80" s="37">
        <f>VLOOKUP(I80,资产!$A:$AF,2,0)/100</f>
        <v>80642.570000000007</v>
      </c>
      <c r="U80" s="37">
        <f>VLOOKUP(I80,资产!$A:$AF,7,0)/100</f>
        <v>74842.42</v>
      </c>
      <c r="V80" s="37">
        <f>VLOOKUP(I80,负债!$A:$P,9,0)/100</f>
        <v>7437.6</v>
      </c>
      <c r="W80" s="37">
        <f>VLOOKUP(I80,负债!$A:$P,6,0)/100</f>
        <v>7651.14</v>
      </c>
      <c r="X80" s="11">
        <f>VLOOKUP(I80,负债!$A:$P,2,0)/100</f>
        <v>80246.539999999994</v>
      </c>
      <c r="Y80" s="11">
        <f t="shared" si="1"/>
        <v>65553.83</v>
      </c>
    </row>
    <row r="81" spans="1:25" s="12" customFormat="1" x14ac:dyDescent="0.35">
      <c r="A81" s="11">
        <v>4</v>
      </c>
      <c r="B81" s="11"/>
      <c r="C81" s="31" t="s">
        <v>85</v>
      </c>
      <c r="D81" s="32">
        <f>VLOOKUP($C$1,资产!$A:$AF,18,0)</f>
        <v>1608892</v>
      </c>
      <c r="E81" s="11"/>
      <c r="F81" s="27" t="s">
        <v>141</v>
      </c>
      <c r="G81" s="28">
        <f>VLOOKUP($C$1,负债!$A:$P,16,0)</f>
        <v>0</v>
      </c>
      <c r="I81" s="24">
        <v>44370</v>
      </c>
      <c r="J81" s="11">
        <f>VLOOKUP(I81,资产!$A:$AF,8,0)/100</f>
        <v>51634.45</v>
      </c>
      <c r="K81" s="11">
        <f>VLOOKUP(I81,资产!$A:$AF,9,0)/100</f>
        <v>3260.44</v>
      </c>
      <c r="L81" s="11">
        <f>VLOOKUP(I81,资产!$A:$AF,10,0)/100</f>
        <v>44339.73</v>
      </c>
      <c r="M81" s="11">
        <f>(VLOOKUP(I81,资产!$A:$AF,13,0)+VLOOKUP(I81,资产!$A:$AF,14,0)+VLOOKUP(I81,资产!$A:$AF,15,0))/100</f>
        <v>10277.24</v>
      </c>
      <c r="N81" s="11">
        <f>VLOOKUP(I81,资产!$A:$AF,16,0)/100</f>
        <v>19837.09</v>
      </c>
      <c r="O81" s="11">
        <f>VLOOKUP(I81,资产!$A:$AF,17,0)/100</f>
        <v>9475.93</v>
      </c>
      <c r="P81" s="11">
        <f>VLOOKUP(I81,资产!$A:$AF,18,0)/100</f>
        <v>12044.18</v>
      </c>
      <c r="Q81" s="11">
        <f>VLOOKUP(I81,资产!$A:$AF,20,0)/100</f>
        <v>23541.55</v>
      </c>
      <c r="R81" s="35">
        <f>VLOOKUP(I81,负债!$A:$P,5,0)/100</f>
        <v>37657.14</v>
      </c>
      <c r="S81" s="35">
        <f>VLOOKUP(I81,负债!$A:$P,6,0)/100</f>
        <v>7338.77</v>
      </c>
      <c r="T81" s="37">
        <f>VLOOKUP(I81,资产!$A:$AF,2,0)/100</f>
        <v>81019.45</v>
      </c>
      <c r="U81" s="37">
        <f>VLOOKUP(I81,资产!$A:$AF,7,0)/100</f>
        <v>75199.47</v>
      </c>
      <c r="V81" s="37">
        <f>VLOOKUP(I81,负债!$A:$P,9,0)/100</f>
        <v>10559.31</v>
      </c>
      <c r="W81" s="37">
        <f>VLOOKUP(I81,负债!$A:$P,6,0)/100</f>
        <v>7338.77</v>
      </c>
      <c r="X81" s="11">
        <f>VLOOKUP(I81,负债!$A:$P,2,0)/100</f>
        <v>80623.41</v>
      </c>
      <c r="Y81" s="11">
        <f t="shared" si="1"/>
        <v>63121.369999999995</v>
      </c>
    </row>
    <row r="82" spans="1:25" s="12" customFormat="1" x14ac:dyDescent="0.35">
      <c r="A82" s="11">
        <v>3</v>
      </c>
      <c r="B82" s="11"/>
      <c r="C82" s="29" t="s">
        <v>86</v>
      </c>
      <c r="D82" s="30">
        <f>VLOOKUP($C$1,资产!$A:$AF,19,0)</f>
        <v>2347</v>
      </c>
      <c r="E82" s="11"/>
      <c r="F82" s="11"/>
      <c r="I82" s="24">
        <v>44377</v>
      </c>
      <c r="J82" s="11">
        <f>VLOOKUP(I82,资产!$A:$AF,8,0)/100</f>
        <v>51833.85</v>
      </c>
      <c r="K82" s="11">
        <f>VLOOKUP(I82,资产!$A:$AF,9,0)/100</f>
        <v>3260.44</v>
      </c>
      <c r="L82" s="11">
        <f>VLOOKUP(I82,资产!$A:$AF,10,0)/100</f>
        <v>44493.49</v>
      </c>
      <c r="M82" s="11">
        <f>(VLOOKUP(I82,资产!$A:$AF,13,0)+VLOOKUP(I82,资产!$A:$AF,14,0)+VLOOKUP(I82,资产!$A:$AF,15,0))/100</f>
        <v>10246.35</v>
      </c>
      <c r="N82" s="11">
        <f>VLOOKUP(I82,资产!$A:$AF,16,0)/100</f>
        <v>19957.09</v>
      </c>
      <c r="O82" s="11">
        <f>VLOOKUP(I82,资产!$A:$AF,17,0)/100</f>
        <v>9509.7199999999993</v>
      </c>
      <c r="P82" s="11">
        <f>VLOOKUP(I82,资产!$A:$AF,18,0)/100</f>
        <v>12120.68</v>
      </c>
      <c r="Q82" s="11">
        <f>VLOOKUP(I82,资产!$A:$AF,20,0)/100</f>
        <v>23196.37</v>
      </c>
      <c r="R82" s="35">
        <f>VLOOKUP(I82,负债!$A:$P,5,0)/100</f>
        <v>35116.300000000003</v>
      </c>
      <c r="S82" s="35">
        <f>VLOOKUP(I82,负债!$A:$P,6,0)/100</f>
        <v>8519.2900000000009</v>
      </c>
      <c r="T82" s="37">
        <f>VLOOKUP(I82,资产!$A:$AF,2,0)/100</f>
        <v>80785.440000000002</v>
      </c>
      <c r="U82" s="37">
        <f>VLOOKUP(I82,资产!$A:$AF,7,0)/100</f>
        <v>75053.69</v>
      </c>
      <c r="V82" s="37">
        <f>VLOOKUP(I82,负债!$A:$P,9,0)/100</f>
        <v>12609.25</v>
      </c>
      <c r="W82" s="37">
        <f>VLOOKUP(I82,负债!$A:$P,6,0)/100</f>
        <v>8519.2900000000009</v>
      </c>
      <c r="X82" s="11">
        <f>VLOOKUP(I82,负债!$A:$P,2,0)/100</f>
        <v>80389.399999999994</v>
      </c>
      <c r="Y82" s="11">
        <f t="shared" si="1"/>
        <v>59656.9</v>
      </c>
    </row>
    <row r="83" spans="1:25" s="12" customFormat="1" x14ac:dyDescent="0.35">
      <c r="A83" s="11">
        <v>3</v>
      </c>
      <c r="B83" s="11"/>
      <c r="C83" s="29" t="s">
        <v>87</v>
      </c>
      <c r="D83" s="30">
        <f>VLOOKUP($C$1,资产!$A:$AF,20,0)</f>
        <v>1977661</v>
      </c>
      <c r="E83" s="11"/>
      <c r="F83" s="11"/>
      <c r="I83" s="24">
        <v>44384</v>
      </c>
      <c r="J83" s="11">
        <f>VLOOKUP(I83,资产!$A:$AF,8,0)/100</f>
        <v>52017.25</v>
      </c>
      <c r="K83" s="11">
        <f>VLOOKUP(I83,资产!$A:$AF,9,0)/100</f>
        <v>3260.44</v>
      </c>
      <c r="L83" s="11">
        <f>VLOOKUP(I83,资产!$A:$AF,10,0)/100</f>
        <v>44669.5</v>
      </c>
      <c r="M83" s="11">
        <f>(VLOOKUP(I83,资产!$A:$AF,13,0)+VLOOKUP(I83,资产!$A:$AF,14,0)+VLOOKUP(I83,资产!$A:$AF,15,0))/100</f>
        <v>10305.129999999999</v>
      </c>
      <c r="N83" s="11">
        <f>VLOOKUP(I83,资产!$A:$AF,16,0)/100</f>
        <v>20025.23</v>
      </c>
      <c r="O83" s="11">
        <f>VLOOKUP(I83,资产!$A:$AF,17,0)/100</f>
        <v>9544.33</v>
      </c>
      <c r="P83" s="11">
        <f>VLOOKUP(I83,资产!$A:$AF,18,0)/100</f>
        <v>12142.56</v>
      </c>
      <c r="Q83" s="11">
        <f>VLOOKUP(I83,资产!$A:$AF,20,0)/100</f>
        <v>23196.37</v>
      </c>
      <c r="R83" s="35">
        <f>VLOOKUP(I83,负债!$A:$P,5,0)/100</f>
        <v>38562.03</v>
      </c>
      <c r="S83" s="35">
        <f>VLOOKUP(I83,负债!$A:$P,6,0)/100</f>
        <v>7248.98</v>
      </c>
      <c r="T83" s="37">
        <f>VLOOKUP(I83,资产!$A:$AF,2,0)/100</f>
        <v>80977.73</v>
      </c>
      <c r="U83" s="37">
        <f>VLOOKUP(I83,资产!$A:$AF,7,0)/100</f>
        <v>75237.09</v>
      </c>
      <c r="V83" s="37">
        <f>VLOOKUP(I83,负债!$A:$P,9,0)/100</f>
        <v>10493.32</v>
      </c>
      <c r="W83" s="37">
        <f>VLOOKUP(I83,负债!$A:$P,6,0)/100</f>
        <v>7248.98</v>
      </c>
      <c r="X83" s="11">
        <f>VLOOKUP(I83,负债!$A:$P,2,0)/100</f>
        <v>80581.7</v>
      </c>
      <c r="Y83" s="11">
        <f t="shared" si="1"/>
        <v>63235.430000000008</v>
      </c>
    </row>
    <row r="84" spans="1:25" s="12" customFormat="1" x14ac:dyDescent="0.35">
      <c r="A84" s="11">
        <v>2</v>
      </c>
      <c r="B84" s="11"/>
      <c r="C84" s="27" t="s">
        <v>88</v>
      </c>
      <c r="D84" s="28">
        <f>VLOOKUP($C$1,资产!$A:$AF,21,0)</f>
        <v>216518</v>
      </c>
      <c r="E84" s="11"/>
      <c r="F84" s="11"/>
      <c r="I84" s="24">
        <v>44391</v>
      </c>
      <c r="J84" s="11">
        <f>VLOOKUP(I84,资产!$A:$AF,8,0)/100</f>
        <v>52225.7</v>
      </c>
      <c r="K84" s="11">
        <f>VLOOKUP(I84,资产!$A:$AF,9,0)/100</f>
        <v>3260.44</v>
      </c>
      <c r="L84" s="11">
        <f>VLOOKUP(I84,资产!$A:$AF,10,0)/100</f>
        <v>44847.519999999997</v>
      </c>
      <c r="M84" s="11">
        <f>(VLOOKUP(I84,资产!$A:$AF,13,0)+VLOOKUP(I84,资产!$A:$AF,14,0)+VLOOKUP(I84,资产!$A:$AF,15,0))/100</f>
        <v>10305.69</v>
      </c>
      <c r="N84" s="11">
        <f>VLOOKUP(I84,资产!$A:$AF,16,0)/100</f>
        <v>20255.189999999999</v>
      </c>
      <c r="O84" s="11">
        <f>VLOOKUP(I84,资产!$A:$AF,17,0)/100</f>
        <v>9486.34</v>
      </c>
      <c r="P84" s="11">
        <f>VLOOKUP(I84,资产!$A:$AF,18,0)/100</f>
        <v>12178.47</v>
      </c>
      <c r="Q84" s="11">
        <f>VLOOKUP(I84,资产!$A:$AF,20,0)/100</f>
        <v>24023.62</v>
      </c>
      <c r="R84" s="35">
        <f>VLOOKUP(I84,负债!$A:$P,5,0)/100</f>
        <v>39447</v>
      </c>
      <c r="S84" s="35">
        <f>VLOOKUP(I84,负债!$A:$P,6,0)/100</f>
        <v>6575.42</v>
      </c>
      <c r="T84" s="37">
        <f>VLOOKUP(I84,资产!$A:$AF,2,0)/100</f>
        <v>82016.509999999995</v>
      </c>
      <c r="U84" s="37">
        <f>VLOOKUP(I84,资产!$A:$AF,7,0)/100</f>
        <v>76272.78</v>
      </c>
      <c r="V84" s="37">
        <f>VLOOKUP(I84,负债!$A:$P,9,0)/100</f>
        <v>11109.67</v>
      </c>
      <c r="W84" s="37">
        <f>VLOOKUP(I84,负债!$A:$P,6,0)/100</f>
        <v>6575.42</v>
      </c>
      <c r="X84" s="11">
        <f>VLOOKUP(I84,负债!$A:$P,2,0)/100</f>
        <v>81620.47</v>
      </c>
      <c r="Y84" s="11">
        <f t="shared" si="1"/>
        <v>64331.42</v>
      </c>
    </row>
    <row r="85" spans="1:25" s="12" customFormat="1" x14ac:dyDescent="0.35">
      <c r="A85" s="11">
        <v>2</v>
      </c>
      <c r="B85" s="11"/>
      <c r="C85" s="27" t="s">
        <v>89</v>
      </c>
      <c r="D85" s="28">
        <f>VLOOKUP($C$1,资产!$A:$AF,22,0)</f>
        <v>-25615</v>
      </c>
      <c r="E85" s="11"/>
      <c r="F85" s="11"/>
      <c r="I85" s="24">
        <v>44398</v>
      </c>
      <c r="J85" s="11">
        <f>VLOOKUP(I85,资产!$A:$AF,8,0)/100</f>
        <v>52429.87</v>
      </c>
      <c r="K85" s="11">
        <f>VLOOKUP(I85,资产!$A:$AF,9,0)/100</f>
        <v>3260.44</v>
      </c>
      <c r="L85" s="11">
        <f>VLOOKUP(I85,资产!$A:$AF,10,0)/100</f>
        <v>45140.27</v>
      </c>
      <c r="M85" s="11">
        <f>(VLOOKUP(I85,资产!$A:$AF,13,0)+VLOOKUP(I85,资产!$A:$AF,14,0)+VLOOKUP(I85,资产!$A:$AF,15,0))/100</f>
        <v>10382.07</v>
      </c>
      <c r="N85" s="11">
        <f>VLOOKUP(I85,资产!$A:$AF,16,0)/100</f>
        <v>20203.68</v>
      </c>
      <c r="O85" s="11">
        <f>VLOOKUP(I85,资产!$A:$AF,17,0)/100</f>
        <v>9594.14</v>
      </c>
      <c r="P85" s="11">
        <f>VLOOKUP(I85,资产!$A:$AF,18,0)/100</f>
        <v>12249.98</v>
      </c>
      <c r="Q85" s="11">
        <f>VLOOKUP(I85,资产!$A:$AF,20,0)/100</f>
        <v>24221.77</v>
      </c>
      <c r="R85" s="35">
        <f>VLOOKUP(I85,负债!$A:$P,5,0)/100</f>
        <v>39745.47</v>
      </c>
      <c r="S85" s="35">
        <f>VLOOKUP(I85,负债!$A:$P,6,0)/100</f>
        <v>6162.94</v>
      </c>
      <c r="T85" s="37">
        <f>VLOOKUP(I85,资产!$A:$AF,2,0)/100</f>
        <v>82405.3</v>
      </c>
      <c r="U85" s="37">
        <f>VLOOKUP(I85,资产!$A:$AF,7,0)/100</f>
        <v>76675.100000000006</v>
      </c>
      <c r="V85" s="37">
        <f>VLOOKUP(I85,负债!$A:$P,9,0)/100</f>
        <v>11368.78</v>
      </c>
      <c r="W85" s="37">
        <f>VLOOKUP(I85,负债!$A:$P,6,0)/100</f>
        <v>6162.94</v>
      </c>
      <c r="X85" s="11">
        <f>VLOOKUP(I85,负债!$A:$P,2,0)/100</f>
        <v>82009.240000000005</v>
      </c>
      <c r="Y85" s="11">
        <f t="shared" si="1"/>
        <v>64873.58</v>
      </c>
    </row>
    <row r="86" spans="1:25" s="12" customFormat="1" x14ac:dyDescent="0.35">
      <c r="A86" s="11">
        <v>2</v>
      </c>
      <c r="B86" s="11"/>
      <c r="C86" s="27" t="s">
        <v>90</v>
      </c>
      <c r="D86" s="28">
        <f>VLOOKUP($C$1,资产!$A:$AF,23,0)</f>
        <v>7</v>
      </c>
      <c r="E86" s="11"/>
      <c r="F86" s="11"/>
      <c r="I86" s="24">
        <v>44405</v>
      </c>
      <c r="J86" s="11">
        <f>VLOOKUP(I86,资产!$A:$AF,8,0)/100</f>
        <v>52637.4</v>
      </c>
      <c r="K86" s="11">
        <f>VLOOKUP(I86,资产!$A:$AF,9,0)/100</f>
        <v>3260.44</v>
      </c>
      <c r="L86" s="11">
        <f>VLOOKUP(I86,资产!$A:$AF,10,0)/100</f>
        <v>45318.31</v>
      </c>
      <c r="M86" s="11">
        <f>(VLOOKUP(I86,资产!$A:$AF,13,0)+VLOOKUP(I86,资产!$A:$AF,14,0)+VLOOKUP(I86,资产!$A:$AF,15,0))/100</f>
        <v>10382.65</v>
      </c>
      <c r="N86" s="11">
        <f>VLOOKUP(I86,资产!$A:$AF,16,0)/100</f>
        <v>20347.25</v>
      </c>
      <c r="O86" s="11">
        <f>VLOOKUP(I86,资产!$A:$AF,17,0)/100</f>
        <v>9621.61</v>
      </c>
      <c r="P86" s="11">
        <f>VLOOKUP(I86,资产!$A:$AF,18,0)/100</f>
        <v>12285.89</v>
      </c>
      <c r="Q86" s="11">
        <f>VLOOKUP(I86,资产!$A:$AF,20,0)/100</f>
        <v>23847.79</v>
      </c>
      <c r="R86" s="35">
        <f>VLOOKUP(I86,负债!$A:$P,5,0)/100</f>
        <v>40010.61</v>
      </c>
      <c r="S86" s="35">
        <f>VLOOKUP(I86,负债!$A:$P,6,0)/100</f>
        <v>5369.66</v>
      </c>
      <c r="T86" s="37">
        <f>VLOOKUP(I86,资产!$A:$AF,2,0)/100</f>
        <v>82214.73</v>
      </c>
      <c r="U86" s="37">
        <f>VLOOKUP(I86,资产!$A:$AF,7,0)/100</f>
        <v>76508.66</v>
      </c>
      <c r="V86" s="37">
        <f>VLOOKUP(I86,负债!$A:$P,9,0)/100</f>
        <v>12201.33</v>
      </c>
      <c r="W86" s="37">
        <f>VLOOKUP(I86,负债!$A:$P,6,0)/100</f>
        <v>5369.66</v>
      </c>
      <c r="X86" s="11">
        <f>VLOOKUP(I86,负债!$A:$P,2,0)/100</f>
        <v>81818.75</v>
      </c>
      <c r="Y86" s="11">
        <f t="shared" si="1"/>
        <v>64643.739999999991</v>
      </c>
    </row>
    <row r="87" spans="1:25" s="12" customFormat="1" x14ac:dyDescent="0.35">
      <c r="A87" s="11">
        <v>2</v>
      </c>
      <c r="B87" s="11"/>
      <c r="C87" s="27" t="s">
        <v>91</v>
      </c>
      <c r="D87" s="28">
        <f>VLOOKUP($C$1,资产!$A:$AF,24,0)</f>
        <v>5637</v>
      </c>
      <c r="E87" s="11"/>
      <c r="F87" s="11"/>
      <c r="I87" s="24">
        <v>44412</v>
      </c>
      <c r="J87" s="11">
        <f>VLOOKUP(I87,资产!$A:$AF,8,0)/100</f>
        <v>52776.35</v>
      </c>
      <c r="K87" s="11">
        <f>VLOOKUP(I87,资产!$A:$AF,9,0)/100</f>
        <v>3260.44</v>
      </c>
      <c r="L87" s="11">
        <f>VLOOKUP(I87,资产!$A:$AF,10,0)/100</f>
        <v>45436.34</v>
      </c>
      <c r="M87" s="11">
        <f>(VLOOKUP(I87,资产!$A:$AF,13,0)+VLOOKUP(I87,资产!$A:$AF,14,0)+VLOOKUP(I87,资产!$A:$AF,15,0))/100</f>
        <v>10438.780000000001</v>
      </c>
      <c r="N87" s="11">
        <f>VLOOKUP(I87,资产!$A:$AF,16,0)/100</f>
        <v>20382.689999999999</v>
      </c>
      <c r="O87" s="11">
        <f>VLOOKUP(I87,资产!$A:$AF,17,0)/100</f>
        <v>9600.16</v>
      </c>
      <c r="P87" s="11">
        <f>VLOOKUP(I87,资产!$A:$AF,18,0)/100</f>
        <v>12354.72</v>
      </c>
      <c r="Q87" s="11">
        <f>VLOOKUP(I87,资产!$A:$AF,20,0)/100</f>
        <v>23847.85</v>
      </c>
      <c r="R87" s="35">
        <f>VLOOKUP(I87,负债!$A:$P,5,0)/100</f>
        <v>40458.93</v>
      </c>
      <c r="S87" s="35">
        <f>VLOOKUP(I87,负债!$A:$P,6,0)/100</f>
        <v>5058.71</v>
      </c>
      <c r="T87" s="37">
        <f>VLOOKUP(I87,资产!$A:$AF,2,0)/100</f>
        <v>82350.73</v>
      </c>
      <c r="U87" s="37">
        <f>VLOOKUP(I87,资产!$A:$AF,7,0)/100</f>
        <v>76647.67</v>
      </c>
      <c r="V87" s="37">
        <f>VLOOKUP(I87,负债!$A:$P,9,0)/100</f>
        <v>12163.57</v>
      </c>
      <c r="W87" s="37">
        <f>VLOOKUP(I87,负债!$A:$P,6,0)/100</f>
        <v>5058.71</v>
      </c>
      <c r="X87" s="11">
        <f>VLOOKUP(I87,负债!$A:$P,2,0)/100</f>
        <v>81953.759999999995</v>
      </c>
      <c r="Y87" s="11">
        <f t="shared" si="1"/>
        <v>65128.450000000004</v>
      </c>
    </row>
    <row r="88" spans="1:25" s="12" customFormat="1" x14ac:dyDescent="0.35">
      <c r="A88" s="11">
        <v>1</v>
      </c>
      <c r="B88" s="11"/>
      <c r="C88" s="25" t="s">
        <v>92</v>
      </c>
      <c r="D88" s="26">
        <f>VLOOKUP($C$1,资产!$A:$AF,25,0)</f>
        <v>1420</v>
      </c>
      <c r="E88" s="11"/>
      <c r="F88" s="11"/>
      <c r="I88" s="24">
        <v>44419</v>
      </c>
      <c r="J88" s="11">
        <f>VLOOKUP(I88,资产!$A:$AF,8,0)/100</f>
        <v>53034.95</v>
      </c>
      <c r="K88" s="11">
        <f>VLOOKUP(I88,资产!$A:$AF,9,0)/100</f>
        <v>3260.44</v>
      </c>
      <c r="L88" s="11">
        <f>VLOOKUP(I88,资产!$A:$AF,10,0)/100</f>
        <v>45686.39</v>
      </c>
      <c r="M88" s="11">
        <f>(VLOOKUP(I88,资产!$A:$AF,13,0)+VLOOKUP(I88,资产!$A:$AF,14,0)+VLOOKUP(I88,资产!$A:$AF,15,0))/100</f>
        <v>10440.81</v>
      </c>
      <c r="N88" s="11">
        <f>VLOOKUP(I88,资产!$A:$AF,16,0)/100</f>
        <v>20523.28</v>
      </c>
      <c r="O88" s="11">
        <f>VLOOKUP(I88,资产!$A:$AF,17,0)/100</f>
        <v>9679.8700000000008</v>
      </c>
      <c r="P88" s="11">
        <f>VLOOKUP(I88,资产!$A:$AF,18,0)/100</f>
        <v>12390.97</v>
      </c>
      <c r="Q88" s="11">
        <f>VLOOKUP(I88,资产!$A:$AF,20,0)/100</f>
        <v>23847.85</v>
      </c>
      <c r="R88" s="35">
        <f>VLOOKUP(I88,负债!$A:$P,5,0)/100</f>
        <v>41272.9</v>
      </c>
      <c r="S88" s="35">
        <f>VLOOKUP(I88,负债!$A:$P,6,0)/100</f>
        <v>3897.47</v>
      </c>
      <c r="T88" s="37">
        <f>VLOOKUP(I88,资产!$A:$AF,2,0)/100</f>
        <v>82571.59</v>
      </c>
      <c r="U88" s="37">
        <f>VLOOKUP(I88,资产!$A:$AF,7,0)/100</f>
        <v>76906.27</v>
      </c>
      <c r="V88" s="37">
        <f>VLOOKUP(I88,负债!$A:$P,9,0)/100</f>
        <v>12679.98</v>
      </c>
      <c r="W88" s="37">
        <f>VLOOKUP(I88,负债!$A:$P,6,0)/100</f>
        <v>3897.47</v>
      </c>
      <c r="X88" s="11">
        <f>VLOOKUP(I88,负债!$A:$P,2,0)/100</f>
        <v>82174.25</v>
      </c>
      <c r="Y88" s="11">
        <f t="shared" si="1"/>
        <v>65994.14</v>
      </c>
    </row>
    <row r="89" spans="1:25" s="12" customFormat="1" x14ac:dyDescent="0.35">
      <c r="A89" s="11">
        <v>1</v>
      </c>
      <c r="B89" s="11"/>
      <c r="C89" s="25" t="s">
        <v>93</v>
      </c>
      <c r="D89" s="26">
        <f>VLOOKUP($C$1,资产!$A:$AF,26,0)</f>
        <v>0</v>
      </c>
      <c r="E89" s="11"/>
      <c r="F89" s="11"/>
      <c r="I89" s="24">
        <v>44426</v>
      </c>
      <c r="J89" s="11">
        <f>VLOOKUP(I89,资产!$A:$AF,8,0)/100</f>
        <v>53236.51</v>
      </c>
      <c r="K89" s="11">
        <f>VLOOKUP(I89,资产!$A:$AF,9,0)/100</f>
        <v>3260.44</v>
      </c>
      <c r="L89" s="11">
        <f>VLOOKUP(I89,资产!$A:$AF,10,0)/100</f>
        <v>45844.42</v>
      </c>
      <c r="M89" s="11">
        <f>(VLOOKUP(I89,资产!$A:$AF,13,0)+VLOOKUP(I89,资产!$A:$AF,14,0)+VLOOKUP(I89,资产!$A:$AF,15,0))/100</f>
        <v>10741.03</v>
      </c>
      <c r="N89" s="11">
        <f>VLOOKUP(I89,资产!$A:$AF,16,0)/100</f>
        <v>20212.45</v>
      </c>
      <c r="O89" s="11">
        <f>VLOOKUP(I89,资产!$A:$AF,17,0)/100</f>
        <v>9731.08</v>
      </c>
      <c r="P89" s="11">
        <f>VLOOKUP(I89,资产!$A:$AF,18,0)/100</f>
        <v>12551.94</v>
      </c>
      <c r="Q89" s="11">
        <f>VLOOKUP(I89,资产!$A:$AF,20,0)/100</f>
        <v>24656.38</v>
      </c>
      <c r="R89" s="35">
        <f>VLOOKUP(I89,负债!$A:$P,5,0)/100</f>
        <v>41621.65</v>
      </c>
      <c r="S89" s="35">
        <f>VLOOKUP(I89,负债!$A:$P,6,0)/100</f>
        <v>3136.51</v>
      </c>
      <c r="T89" s="37">
        <f>VLOOKUP(I89,资产!$A:$AF,2,0)/100</f>
        <v>83425.98</v>
      </c>
      <c r="U89" s="37">
        <f>VLOOKUP(I89,资产!$A:$AF,7,0)/100</f>
        <v>77916.36</v>
      </c>
      <c r="V89" s="37">
        <f>VLOOKUP(I89,负债!$A:$P,9,0)/100</f>
        <v>13854.01</v>
      </c>
      <c r="W89" s="37">
        <f>VLOOKUP(I89,负债!$A:$P,6,0)/100</f>
        <v>3136.51</v>
      </c>
      <c r="X89" s="11">
        <f>VLOOKUP(I89,负债!$A:$P,2,0)/100</f>
        <v>83028.56</v>
      </c>
      <c r="Y89" s="11">
        <f t="shared" si="1"/>
        <v>66435.460000000006</v>
      </c>
    </row>
    <row r="90" spans="1:25" s="12" customFormat="1" x14ac:dyDescent="0.35">
      <c r="A90" s="11">
        <v>1</v>
      </c>
      <c r="B90" s="11"/>
      <c r="C90" s="25" t="s">
        <v>94</v>
      </c>
      <c r="D90" s="26">
        <f>VLOOKUP($C$1,资产!$A:$AF,27,0)</f>
        <v>0</v>
      </c>
      <c r="E90" s="11"/>
      <c r="F90" s="11"/>
      <c r="I90" s="24">
        <v>44433</v>
      </c>
      <c r="J90" s="11">
        <f>VLOOKUP(I90,资产!$A:$AF,8,0)/100</f>
        <v>53463.72</v>
      </c>
      <c r="K90" s="11">
        <f>VLOOKUP(I90,资产!$A:$AF,9,0)/100</f>
        <v>3260.44</v>
      </c>
      <c r="L90" s="11">
        <f>VLOOKUP(I90,资产!$A:$AF,10,0)/100</f>
        <v>46040.44</v>
      </c>
      <c r="M90" s="11">
        <f>(VLOOKUP(I90,资产!$A:$AF,13,0)+VLOOKUP(I90,资产!$A:$AF,14,0)+VLOOKUP(I90,资产!$A:$AF,15,0))/100</f>
        <v>10741.71</v>
      </c>
      <c r="N90" s="11">
        <f>VLOOKUP(I90,资产!$A:$AF,16,0)/100</f>
        <v>20332.96</v>
      </c>
      <c r="O90" s="11">
        <f>VLOOKUP(I90,资产!$A:$AF,17,0)/100</f>
        <v>9814.8700000000008</v>
      </c>
      <c r="P90" s="11">
        <f>VLOOKUP(I90,资产!$A:$AF,18,0)/100</f>
        <v>12574.17</v>
      </c>
      <c r="Q90" s="11">
        <f>VLOOKUP(I90,资产!$A:$AF,20,0)/100</f>
        <v>24380.67</v>
      </c>
      <c r="R90" s="35">
        <f>VLOOKUP(I90,负债!$A:$P,5,0)/100</f>
        <v>42034.78</v>
      </c>
      <c r="S90" s="35">
        <f>VLOOKUP(I90,负债!$A:$P,6,0)/100</f>
        <v>2582</v>
      </c>
      <c r="T90" s="37">
        <f>VLOOKUP(I90,资产!$A:$AF,2,0)/100</f>
        <v>83327.429999999993</v>
      </c>
      <c r="U90" s="37">
        <f>VLOOKUP(I90,资产!$A:$AF,7,0)/100</f>
        <v>77867.850000000006</v>
      </c>
      <c r="V90" s="37">
        <f>VLOOKUP(I90,负债!$A:$P,9,0)/100</f>
        <v>14051.1</v>
      </c>
      <c r="W90" s="37">
        <f>VLOOKUP(I90,负债!$A:$P,6,0)/100</f>
        <v>2582</v>
      </c>
      <c r="X90" s="11">
        <f>VLOOKUP(I90,负债!$A:$P,2,0)/100</f>
        <v>82929.78</v>
      </c>
      <c r="Y90" s="11">
        <f t="shared" si="1"/>
        <v>66694.329999999987</v>
      </c>
    </row>
    <row r="91" spans="1:25" s="12" customFormat="1" x14ac:dyDescent="0.35">
      <c r="A91" s="11">
        <v>1</v>
      </c>
      <c r="B91" s="11"/>
      <c r="C91" s="25" t="s">
        <v>95</v>
      </c>
      <c r="D91" s="26">
        <f>VLOOKUP($C$1,资产!$A:$AF,28,0)</f>
        <v>53</v>
      </c>
      <c r="E91" s="11"/>
      <c r="F91" s="11"/>
      <c r="I91" s="24">
        <v>44440</v>
      </c>
      <c r="J91" s="11">
        <f>VLOOKUP(I91,资产!$A:$AF,8,0)/100</f>
        <v>53656.7</v>
      </c>
      <c r="K91" s="11">
        <f>VLOOKUP(I91,资产!$A:$AF,9,0)/100</f>
        <v>3260.44</v>
      </c>
      <c r="L91" s="11">
        <f>VLOOKUP(I91,资产!$A:$AF,10,0)/100</f>
        <v>46202.43</v>
      </c>
      <c r="M91" s="11">
        <f>(VLOOKUP(I91,资产!$A:$AF,13,0)+VLOOKUP(I91,资产!$A:$AF,14,0)+VLOOKUP(I91,资产!$A:$AF,15,0))/100</f>
        <v>10713.5</v>
      </c>
      <c r="N91" s="11">
        <f>VLOOKUP(I91,资产!$A:$AF,16,0)/100</f>
        <v>20492.68</v>
      </c>
      <c r="O91" s="11">
        <f>VLOOKUP(I91,资产!$A:$AF,17,0)/100</f>
        <v>9781.39</v>
      </c>
      <c r="P91" s="11">
        <f>VLOOKUP(I91,资产!$A:$AF,18,0)/100</f>
        <v>12669.13</v>
      </c>
      <c r="Q91" s="11">
        <f>VLOOKUP(I91,资产!$A:$AF,20,0)/100</f>
        <v>24380.68</v>
      </c>
      <c r="R91" s="35">
        <f>VLOOKUP(I91,负债!$A:$P,5,0)/100</f>
        <v>42064.49</v>
      </c>
      <c r="S91" s="35">
        <f>VLOOKUP(I91,负债!$A:$P,6,0)/100</f>
        <v>2969.34</v>
      </c>
      <c r="T91" s="37">
        <f>VLOOKUP(I91,资产!$A:$AF,2,0)/100</f>
        <v>83491.73</v>
      </c>
      <c r="U91" s="37">
        <f>VLOOKUP(I91,资产!$A:$AF,7,0)/100</f>
        <v>78060.850000000006</v>
      </c>
      <c r="V91" s="37">
        <f>VLOOKUP(I91,负债!$A:$P,9,0)/100</f>
        <v>13762.96</v>
      </c>
      <c r="W91" s="37">
        <f>VLOOKUP(I91,负债!$A:$P,6,0)/100</f>
        <v>2969.34</v>
      </c>
      <c r="X91" s="11">
        <f>VLOOKUP(I91,负债!$A:$P,2,0)/100</f>
        <v>83093.78</v>
      </c>
      <c r="Y91" s="11">
        <f t="shared" si="1"/>
        <v>66759.429999999993</v>
      </c>
    </row>
    <row r="92" spans="1:25" s="12" customFormat="1" x14ac:dyDescent="0.35">
      <c r="A92" s="11">
        <v>1</v>
      </c>
      <c r="B92" s="11"/>
      <c r="C92" s="25" t="s">
        <v>96</v>
      </c>
      <c r="D92" s="26">
        <f>VLOOKUP($C$1,资产!$A:$AF,29,0)</f>
        <v>669</v>
      </c>
      <c r="E92" s="11"/>
      <c r="F92" s="11"/>
      <c r="I92" s="24">
        <v>44447</v>
      </c>
      <c r="J92" s="11">
        <f>VLOOKUP(I92,资产!$A:$AF,8,0)/100</f>
        <v>53727.41</v>
      </c>
      <c r="K92" s="11">
        <f>VLOOKUP(I92,资产!$A:$AF,9,0)/100</f>
        <v>3260.44</v>
      </c>
      <c r="L92" s="11">
        <f>VLOOKUP(I92,资产!$A:$AF,10,0)/100</f>
        <v>46268.44</v>
      </c>
      <c r="M92" s="11">
        <f>(VLOOKUP(I92,资产!$A:$AF,13,0)+VLOOKUP(I92,资产!$A:$AF,14,0)+VLOOKUP(I92,资产!$A:$AF,15,0))/100</f>
        <v>10713.86</v>
      </c>
      <c r="N92" s="11">
        <f>VLOOKUP(I92,资产!$A:$AF,16,0)/100</f>
        <v>20494.2</v>
      </c>
      <c r="O92" s="11">
        <f>VLOOKUP(I92,资产!$A:$AF,17,0)/100</f>
        <v>9814.98</v>
      </c>
      <c r="P92" s="11">
        <f>VLOOKUP(I92,资产!$A:$AF,18,0)/100</f>
        <v>12704.37</v>
      </c>
      <c r="Q92" s="11">
        <f>VLOOKUP(I92,资产!$A:$AF,20,0)/100</f>
        <v>24380.68</v>
      </c>
      <c r="R92" s="35">
        <f>VLOOKUP(I92,负债!$A:$P,5,0)/100</f>
        <v>42596.03</v>
      </c>
      <c r="S92" s="35">
        <f>VLOOKUP(I92,负债!$A:$P,6,0)/100</f>
        <v>2007.02</v>
      </c>
      <c r="T92" s="37">
        <f>VLOOKUP(I92,资产!$A:$AF,2,0)/100</f>
        <v>83573.14</v>
      </c>
      <c r="U92" s="37">
        <f>VLOOKUP(I92,资产!$A:$AF,7,0)/100</f>
        <v>78131.56</v>
      </c>
      <c r="V92" s="37">
        <f>VLOOKUP(I92,负债!$A:$P,9,0)/100</f>
        <v>14105.38</v>
      </c>
      <c r="W92" s="37">
        <f>VLOOKUP(I92,负债!$A:$P,6,0)/100</f>
        <v>2007.02</v>
      </c>
      <c r="X92" s="11">
        <f>VLOOKUP(I92,负债!$A:$P,2,0)/100</f>
        <v>83174.28</v>
      </c>
      <c r="Y92" s="11">
        <f t="shared" si="1"/>
        <v>67460.739999999991</v>
      </c>
    </row>
    <row r="93" spans="1:25" s="12" customFormat="1" x14ac:dyDescent="0.35">
      <c r="A93" s="11">
        <v>1</v>
      </c>
      <c r="B93" s="11"/>
      <c r="C93" s="25" t="s">
        <v>97</v>
      </c>
      <c r="D93" s="26">
        <f>VLOOKUP($C$1,资产!$A:$AF,30,0)</f>
        <v>16</v>
      </c>
      <c r="E93" s="11"/>
      <c r="F93" s="11"/>
      <c r="I93" s="24">
        <v>44454</v>
      </c>
      <c r="J93" s="11">
        <f>VLOOKUP(I93,资产!$A:$AF,8,0)/100</f>
        <v>53918.720000000001</v>
      </c>
      <c r="K93" s="11">
        <f>VLOOKUP(I93,资产!$A:$AF,9,0)/100</f>
        <v>3260.44</v>
      </c>
      <c r="L93" s="11">
        <f>VLOOKUP(I93,资产!$A:$AF,10,0)/100</f>
        <v>46432.47</v>
      </c>
      <c r="M93" s="11">
        <f>(VLOOKUP(I93,资产!$A:$AF,13,0)+VLOOKUP(I93,资产!$A:$AF,14,0)+VLOOKUP(I93,资产!$A:$AF,15,0))/100</f>
        <v>10683.03</v>
      </c>
      <c r="N93" s="11">
        <f>VLOOKUP(I93,资产!$A:$AF,16,0)/100</f>
        <v>20579.599999999999</v>
      </c>
      <c r="O93" s="11">
        <f>VLOOKUP(I93,资产!$A:$AF,17,0)/100</f>
        <v>9904.94</v>
      </c>
      <c r="P93" s="11">
        <f>VLOOKUP(I93,资产!$A:$AF,18,0)/100</f>
        <v>12751.16</v>
      </c>
      <c r="Q93" s="11">
        <f>VLOOKUP(I93,资产!$A:$AF,20,0)/100</f>
        <v>25141.56</v>
      </c>
      <c r="R93" s="35">
        <f>VLOOKUP(I93,负债!$A:$P,5,0)/100</f>
        <v>42446.77</v>
      </c>
      <c r="S93" s="35">
        <f>VLOOKUP(I93,负债!$A:$P,6,0)/100</f>
        <v>3446.68</v>
      </c>
      <c r="T93" s="37">
        <f>VLOOKUP(I93,资产!$A:$AF,2,0)/100</f>
        <v>84487.7</v>
      </c>
      <c r="U93" s="37">
        <f>VLOOKUP(I93,资产!$A:$AF,7,0)/100</f>
        <v>79083.75</v>
      </c>
      <c r="V93" s="37">
        <f>VLOOKUP(I93,负债!$A:$P,9,0)/100</f>
        <v>13756.76</v>
      </c>
      <c r="W93" s="37">
        <f>VLOOKUP(I93,负债!$A:$P,6,0)/100</f>
        <v>3446.68</v>
      </c>
      <c r="X93" s="11">
        <f>VLOOKUP(I93,负债!$A:$P,2,0)/100</f>
        <v>84089.07</v>
      </c>
      <c r="Y93" s="11">
        <f t="shared" si="1"/>
        <v>67284.260000000009</v>
      </c>
    </row>
    <row r="94" spans="1:25" s="12" customFormat="1" x14ac:dyDescent="0.35">
      <c r="A94" s="11">
        <v>1</v>
      </c>
      <c r="B94" s="11"/>
      <c r="C94" s="25" t="s">
        <v>98</v>
      </c>
      <c r="D94" s="26">
        <f>VLOOKUP($C$1,资产!$A:$AF,31,0)</f>
        <v>19243</v>
      </c>
      <c r="E94" s="11"/>
      <c r="F94" s="11"/>
      <c r="I94" s="24">
        <v>44461</v>
      </c>
      <c r="J94" s="11">
        <f>VLOOKUP(I94,资产!$A:$AF,8,0)/100</f>
        <v>54133.74</v>
      </c>
      <c r="K94" s="11">
        <f>VLOOKUP(I94,资产!$A:$AF,9,0)/100</f>
        <v>3260.44</v>
      </c>
      <c r="L94" s="11">
        <f>VLOOKUP(I94,资产!$A:$AF,10,0)/100</f>
        <v>46608.480000000003</v>
      </c>
      <c r="M94" s="11">
        <f>(VLOOKUP(I94,资产!$A:$AF,13,0)+VLOOKUP(I94,资产!$A:$AF,14,0)+VLOOKUP(I94,资产!$A:$AF,15,0))/100</f>
        <v>10755.52</v>
      </c>
      <c r="N94" s="11">
        <f>VLOOKUP(I94,资产!$A:$AF,16,0)/100</f>
        <v>20653.32</v>
      </c>
      <c r="O94" s="11">
        <f>VLOOKUP(I94,资产!$A:$AF,17,0)/100</f>
        <v>9949.8799999999992</v>
      </c>
      <c r="P94" s="11">
        <f>VLOOKUP(I94,资产!$A:$AF,18,0)/100</f>
        <v>12775.02</v>
      </c>
      <c r="Q94" s="11">
        <f>VLOOKUP(I94,资产!$A:$AF,20,0)/100</f>
        <v>25365.57</v>
      </c>
      <c r="R94" s="35">
        <f>VLOOKUP(I94,负债!$A:$P,5,0)/100</f>
        <v>41379.19</v>
      </c>
      <c r="S94" s="35">
        <f>VLOOKUP(I94,负债!$A:$P,6,0)/100</f>
        <v>2726.79</v>
      </c>
      <c r="T94" s="37">
        <f>VLOOKUP(I94,资产!$A:$AF,2,0)/100</f>
        <v>84898.240000000005</v>
      </c>
      <c r="U94" s="37">
        <f>VLOOKUP(I94,资产!$A:$AF,7,0)/100</f>
        <v>79522.78</v>
      </c>
      <c r="V94" s="37">
        <f>VLOOKUP(I94,负债!$A:$P,9,0)/100</f>
        <v>15640.32</v>
      </c>
      <c r="W94" s="37">
        <f>VLOOKUP(I94,负债!$A:$P,6,0)/100</f>
        <v>2726.79</v>
      </c>
      <c r="X94" s="11">
        <f>VLOOKUP(I94,负债!$A:$P,2,0)/100</f>
        <v>84499.56</v>
      </c>
      <c r="Y94" s="11">
        <f t="shared" si="1"/>
        <v>66531.130000000019</v>
      </c>
    </row>
    <row r="95" spans="1:25" s="12" customFormat="1" x14ac:dyDescent="0.35">
      <c r="A95" s="11">
        <v>1</v>
      </c>
      <c r="B95" s="11"/>
      <c r="C95" s="25" t="s">
        <v>99</v>
      </c>
      <c r="D95" s="26">
        <f>VLOOKUP($C$1,资产!$A:$AF,32,0)</f>
        <v>30333</v>
      </c>
      <c r="E95" s="11"/>
      <c r="F95"/>
      <c r="G95" s="7"/>
      <c r="I95" s="24">
        <v>44468</v>
      </c>
      <c r="J95" s="11">
        <f>VLOOKUP(I95,资产!$A:$AF,8,0)/100</f>
        <v>54310.559999999998</v>
      </c>
      <c r="K95" s="11">
        <f>VLOOKUP(I95,资产!$A:$AF,9,0)/100</f>
        <v>3260.44</v>
      </c>
      <c r="L95" s="11">
        <f>VLOOKUP(I95,资产!$A:$AF,10,0)/100</f>
        <v>46780.52</v>
      </c>
      <c r="M95" s="11">
        <f>(VLOOKUP(I95,资产!$A:$AF,13,0)+VLOOKUP(I95,资产!$A:$AF,14,0)+VLOOKUP(I95,资产!$A:$AF,15,0))/100</f>
        <v>10755.88</v>
      </c>
      <c r="N95" s="11">
        <f>VLOOKUP(I95,资产!$A:$AF,16,0)/100</f>
        <v>20932.84</v>
      </c>
      <c r="O95" s="11">
        <f>VLOOKUP(I95,资产!$A:$AF,17,0)/100</f>
        <v>9817.56</v>
      </c>
      <c r="P95" s="11">
        <f>VLOOKUP(I95,资产!$A:$AF,18,0)/100</f>
        <v>12804.27</v>
      </c>
      <c r="Q95" s="11">
        <f>VLOOKUP(I95,资产!$A:$AF,20,0)/100</f>
        <v>24946.84</v>
      </c>
      <c r="R95" s="35">
        <f>VLOOKUP(I95,负债!$A:$P,5,0)/100</f>
        <v>40948.1</v>
      </c>
      <c r="S95" s="35">
        <f>VLOOKUP(I95,负债!$A:$P,6,0)/100</f>
        <v>1737.45</v>
      </c>
      <c r="T95" s="37">
        <f>VLOOKUP(I95,资产!$A:$AF,2,0)/100</f>
        <v>84479.81</v>
      </c>
      <c r="U95" s="37">
        <f>VLOOKUP(I95,资产!$A:$AF,7,0)/100</f>
        <v>79280.87</v>
      </c>
      <c r="V95" s="37">
        <f>VLOOKUP(I95,负债!$A:$P,9,0)/100</f>
        <v>17023.47</v>
      </c>
      <c r="W95" s="37">
        <f>VLOOKUP(I95,负债!$A:$P,6,0)/100</f>
        <v>1737.45</v>
      </c>
      <c r="X95" s="11">
        <f>VLOOKUP(I95,负债!$A:$P,2,0)/100</f>
        <v>84081.07</v>
      </c>
      <c r="Y95" s="11">
        <f t="shared" si="1"/>
        <v>65718.89</v>
      </c>
    </row>
    <row r="96" spans="1:25" s="12" customFormat="1" x14ac:dyDescent="0.35">
      <c r="I96" s="24">
        <v>44475</v>
      </c>
      <c r="J96" s="11">
        <f>VLOOKUP(I96,资产!$A:$AF,8,0)/100</f>
        <v>54492.77</v>
      </c>
      <c r="K96" s="11">
        <f>VLOOKUP(I96,资产!$A:$AF,9,0)/100</f>
        <v>3260.44</v>
      </c>
      <c r="L96" s="11">
        <f>VLOOKUP(I96,资产!$A:$AF,10,0)/100</f>
        <v>46919.68</v>
      </c>
      <c r="M96" s="11">
        <f>(VLOOKUP(I96,资产!$A:$AF,13,0)+VLOOKUP(I96,资产!$A:$AF,14,0)+VLOOKUP(I96,资产!$A:$AF,15,0))/100</f>
        <v>10823.36</v>
      </c>
      <c r="N96" s="11">
        <f>VLOOKUP(I96,资产!$A:$AF,16,0)/100</f>
        <v>20853.009999999998</v>
      </c>
      <c r="O96" s="11">
        <f>VLOOKUP(I96,资产!$A:$AF,17,0)/100</f>
        <v>9942.6299999999992</v>
      </c>
      <c r="P96" s="11">
        <f>VLOOKUP(I96,资产!$A:$AF,18,0)/100</f>
        <v>12873.78</v>
      </c>
      <c r="Q96" s="11">
        <f>VLOOKUP(I96,资产!$A:$AF,20,0)/100</f>
        <v>24947.49</v>
      </c>
      <c r="R96" s="35">
        <f>VLOOKUP(I96,负债!$A:$P,5,0)/100</f>
        <v>41675.440000000002</v>
      </c>
      <c r="S96" s="35">
        <f>VLOOKUP(I96,负债!$A:$P,6,0)/100</f>
        <v>958.54</v>
      </c>
      <c r="T96" s="37">
        <f>VLOOKUP(I96,资产!$A:$AF,2,0)/100</f>
        <v>84640.320000000007</v>
      </c>
      <c r="U96" s="37">
        <f>VLOOKUP(I96,资产!$A:$AF,7,0)/100</f>
        <v>79463.73</v>
      </c>
      <c r="V96" s="37">
        <f>VLOOKUP(I96,负债!$A:$P,9,0)/100</f>
        <v>17377.900000000001</v>
      </c>
      <c r="W96" s="37">
        <f>VLOOKUP(I96,负债!$A:$P,6,0)/100</f>
        <v>958.54</v>
      </c>
      <c r="X96" s="11">
        <f>VLOOKUP(I96,负债!$A:$P,2,0)/100</f>
        <v>84241.8</v>
      </c>
      <c r="Y96" s="11">
        <f t="shared" si="1"/>
        <v>66303.880000000019</v>
      </c>
    </row>
    <row r="97" spans="9:25" s="12" customFormat="1" x14ac:dyDescent="0.35">
      <c r="I97" s="24">
        <v>44482</v>
      </c>
      <c r="J97" s="11">
        <f>VLOOKUP(I97,资产!$A:$AF,8,0)/100</f>
        <v>54659.24</v>
      </c>
      <c r="K97" s="11">
        <f>VLOOKUP(I97,资产!$A:$AF,9,0)/100</f>
        <v>3260.44</v>
      </c>
      <c r="L97" s="11">
        <f>VLOOKUP(I97,资产!$A:$AF,10,0)/100</f>
        <v>47071.71</v>
      </c>
      <c r="M97" s="11">
        <f>(VLOOKUP(I97,资产!$A:$AF,13,0)+VLOOKUP(I97,资产!$A:$AF,14,0)+VLOOKUP(I97,资产!$A:$AF,15,0))/100</f>
        <v>10833.17</v>
      </c>
      <c r="N97" s="11">
        <f>VLOOKUP(I97,资产!$A:$AF,16,0)/100</f>
        <v>20968.02</v>
      </c>
      <c r="O97" s="11">
        <f>VLOOKUP(I97,资产!$A:$AF,17,0)/100</f>
        <v>9951.5400000000009</v>
      </c>
      <c r="P97" s="11">
        <f>VLOOKUP(I97,资产!$A:$AF,18,0)/100</f>
        <v>12906.52</v>
      </c>
      <c r="Q97" s="11">
        <f>VLOOKUP(I97,资产!$A:$AF,20,0)/100</f>
        <v>24947.59</v>
      </c>
      <c r="R97" s="35">
        <f>VLOOKUP(I97,负债!$A:$P,5,0)/100</f>
        <v>42045.1</v>
      </c>
      <c r="S97" s="35">
        <f>VLOOKUP(I97,负债!$A:$P,6,0)/100</f>
        <v>724.6</v>
      </c>
      <c r="T97" s="37">
        <f>VLOOKUP(I97,资产!$A:$AF,2,0)/100</f>
        <v>84809.42</v>
      </c>
      <c r="U97" s="37">
        <f>VLOOKUP(I97,资产!$A:$AF,7,0)/100</f>
        <v>79630.3</v>
      </c>
      <c r="V97" s="37">
        <f>VLOOKUP(I97,负债!$A:$P,9,0)/100</f>
        <v>16576.22</v>
      </c>
      <c r="W97" s="37">
        <f>VLOOKUP(I97,负债!$A:$P,6,0)/100</f>
        <v>724.6</v>
      </c>
      <c r="X97" s="11">
        <f>VLOOKUP(I97,负债!$A:$P,2,0)/100</f>
        <v>84410.79</v>
      </c>
      <c r="Y97" s="11">
        <f t="shared" si="1"/>
        <v>67508.599999999991</v>
      </c>
    </row>
    <row r="98" spans="9:25" s="12" customFormat="1" x14ac:dyDescent="0.35">
      <c r="I98" s="24">
        <v>44489</v>
      </c>
      <c r="J98" s="11">
        <f>VLOOKUP(I98,资产!$A:$AF,8,0)/100</f>
        <v>54992.67</v>
      </c>
      <c r="K98" s="11">
        <f>VLOOKUP(I98,资产!$A:$AF,9,0)/100</f>
        <v>3260.44</v>
      </c>
      <c r="L98" s="11">
        <f>VLOOKUP(I98,资产!$A:$AF,10,0)/100</f>
        <v>47379.72</v>
      </c>
      <c r="M98" s="11">
        <f>(VLOOKUP(I98,资产!$A:$AF,13,0)+VLOOKUP(I98,资产!$A:$AF,14,0)+VLOOKUP(I98,资产!$A:$AF,15,0))/100</f>
        <v>10924.58</v>
      </c>
      <c r="N98" s="11">
        <f>VLOOKUP(I98,资产!$A:$AF,16,0)/100</f>
        <v>21088</v>
      </c>
      <c r="O98" s="11">
        <f>VLOOKUP(I98,资产!$A:$AF,17,0)/100</f>
        <v>10015.02</v>
      </c>
      <c r="P98" s="11">
        <f>VLOOKUP(I98,资产!$A:$AF,18,0)/100</f>
        <v>12965.09</v>
      </c>
      <c r="Q98" s="11">
        <f>VLOOKUP(I98,资产!$A:$AF,20,0)/100</f>
        <v>25469.32</v>
      </c>
      <c r="R98" s="35">
        <f>VLOOKUP(I98,负债!$A:$P,5,0)/100</f>
        <v>40503.43</v>
      </c>
      <c r="S98" s="35">
        <f>VLOOKUP(I98,负债!$A:$P,6,0)/100</f>
        <v>1173.6400000000001</v>
      </c>
      <c r="T98" s="37">
        <f>VLOOKUP(I98,资产!$A:$AF,2,0)/100</f>
        <v>85649.43</v>
      </c>
      <c r="U98" s="37">
        <f>VLOOKUP(I98,资产!$A:$AF,7,0)/100</f>
        <v>80485.460000000006</v>
      </c>
      <c r="V98" s="37">
        <f>VLOOKUP(I98,负债!$A:$P,9,0)/100</f>
        <v>17863.68</v>
      </c>
      <c r="W98" s="37">
        <f>VLOOKUP(I98,负债!$A:$P,6,0)/100</f>
        <v>1173.6400000000001</v>
      </c>
      <c r="X98" s="11">
        <f>VLOOKUP(I98,负债!$A:$P,2,0)/100</f>
        <v>85250.83</v>
      </c>
      <c r="Y98" s="11">
        <f t="shared" si="1"/>
        <v>66612.11</v>
      </c>
    </row>
    <row r="99" spans="9:25" s="12" customFormat="1" x14ac:dyDescent="0.35">
      <c r="I99" s="24">
        <v>44496</v>
      </c>
      <c r="J99" s="11">
        <f>VLOOKUP(I99,资产!$A:$AF,8,0)/100</f>
        <v>55133.29</v>
      </c>
      <c r="K99" s="11">
        <f>VLOOKUP(I99,资产!$A:$AF,9,0)/100</f>
        <v>3260.44</v>
      </c>
      <c r="L99" s="11">
        <f>VLOOKUP(I99,资产!$A:$AF,10,0)/100</f>
        <v>47505.74</v>
      </c>
      <c r="M99" s="11">
        <f>(VLOOKUP(I99,资产!$A:$AF,13,0)+VLOOKUP(I99,资产!$A:$AF,14,0)+VLOOKUP(I99,资产!$A:$AF,15,0))/100</f>
        <v>10924.72</v>
      </c>
      <c r="N99" s="11">
        <f>VLOOKUP(I99,资产!$A:$AF,16,0)/100</f>
        <v>21138.12</v>
      </c>
      <c r="O99" s="11">
        <f>VLOOKUP(I99,资产!$A:$AF,17,0)/100</f>
        <v>10066.65</v>
      </c>
      <c r="P99" s="11">
        <f>VLOOKUP(I99,资产!$A:$AF,18,0)/100</f>
        <v>13003.8</v>
      </c>
      <c r="Q99" s="11">
        <f>VLOOKUP(I99,资产!$A:$AF,20,0)/100</f>
        <v>25277.77</v>
      </c>
      <c r="R99" s="35">
        <f>VLOOKUP(I99,负债!$A:$P,5,0)/100</f>
        <v>41231.54</v>
      </c>
      <c r="S99" s="35">
        <f>VLOOKUP(I99,负债!$A:$P,6,0)/100</f>
        <v>2364.9499999999998</v>
      </c>
      <c r="T99" s="37">
        <f>VLOOKUP(I99,资产!$A:$AF,2,0)/100</f>
        <v>85561.81</v>
      </c>
      <c r="U99" s="37">
        <f>VLOOKUP(I99,资产!$A:$AF,7,0)/100</f>
        <v>80434.53</v>
      </c>
      <c r="V99" s="37">
        <f>VLOOKUP(I99,负债!$A:$P,9,0)/100</f>
        <v>17214.84</v>
      </c>
      <c r="W99" s="37">
        <f>VLOOKUP(I99,负债!$A:$P,6,0)/100</f>
        <v>2364.9499999999998</v>
      </c>
      <c r="X99" s="11">
        <f>VLOOKUP(I99,负债!$A:$P,2,0)/100</f>
        <v>85163.18</v>
      </c>
      <c r="Y99" s="11">
        <f t="shared" si="1"/>
        <v>65982.02</v>
      </c>
    </row>
    <row r="100" spans="9:25" s="12" customFormat="1" x14ac:dyDescent="0.35">
      <c r="I100" s="24">
        <v>44503</v>
      </c>
      <c r="J100" s="11">
        <f>VLOOKUP(I100,资产!$A:$AF,8,0)/100</f>
        <v>55332.19</v>
      </c>
      <c r="K100" s="11">
        <f>VLOOKUP(I100,资产!$A:$AF,9,0)/100</f>
        <v>3260.44</v>
      </c>
      <c r="L100" s="11">
        <f>VLOOKUP(I100,资产!$A:$AF,10,0)/100</f>
        <v>47677.760000000002</v>
      </c>
      <c r="M100" s="11">
        <f>(VLOOKUP(I100,资产!$A:$AF,13,0)+VLOOKUP(I100,资产!$A:$AF,14,0)+VLOOKUP(I100,资产!$A:$AF,15,0))/100</f>
        <v>11030.98</v>
      </c>
      <c r="N100" s="11">
        <f>VLOOKUP(I100,资产!$A:$AF,16,0)/100</f>
        <v>21210.68</v>
      </c>
      <c r="O100" s="11">
        <f>VLOOKUP(I100,资产!$A:$AF,17,0)/100</f>
        <v>10013.73</v>
      </c>
      <c r="P100" s="11">
        <f>VLOOKUP(I100,资产!$A:$AF,18,0)/100</f>
        <v>13076.8</v>
      </c>
      <c r="Q100" s="11">
        <f>VLOOKUP(I100,资产!$A:$AF,20,0)/100</f>
        <v>25278.240000000002</v>
      </c>
      <c r="R100" s="35">
        <f>VLOOKUP(I100,负债!$A:$P,5,0)/100</f>
        <v>41498.300000000003</v>
      </c>
      <c r="S100" s="35">
        <f>VLOOKUP(I100,负债!$A:$P,6,0)/100</f>
        <v>2869.59</v>
      </c>
      <c r="T100" s="37">
        <f>VLOOKUP(I100,资产!$A:$AF,2,0)/100</f>
        <v>85748.71</v>
      </c>
      <c r="U100" s="37">
        <f>VLOOKUP(I100,资产!$A:$AF,7,0)/100</f>
        <v>80633.899999999994</v>
      </c>
      <c r="V100" s="37">
        <f>VLOOKUP(I100,负债!$A:$P,9,0)/100</f>
        <v>16570.66</v>
      </c>
      <c r="W100" s="37">
        <f>VLOOKUP(I100,负债!$A:$P,6,0)/100</f>
        <v>2869.59</v>
      </c>
      <c r="X100" s="11">
        <f>VLOOKUP(I100,负债!$A:$P,2,0)/100</f>
        <v>85350.05</v>
      </c>
      <c r="Y100" s="11">
        <f t="shared" si="1"/>
        <v>66308.460000000006</v>
      </c>
    </row>
    <row r="101" spans="9:25" s="12" customFormat="1" x14ac:dyDescent="0.35">
      <c r="I101" s="24">
        <v>44510</v>
      </c>
      <c r="J101" s="11">
        <f>VLOOKUP(I101,资产!$A:$AF,8,0)/100</f>
        <v>55526.07</v>
      </c>
      <c r="K101" s="11">
        <f>VLOOKUP(I101,资产!$A:$AF,9,0)/100</f>
        <v>3260.44</v>
      </c>
      <c r="L101" s="11">
        <f>VLOOKUP(I101,资产!$A:$AF,10,0)/100</f>
        <v>47855.76</v>
      </c>
      <c r="M101" s="11">
        <f>(VLOOKUP(I101,资产!$A:$AF,13,0)+VLOOKUP(I101,资产!$A:$AF,14,0)+VLOOKUP(I101,资产!$A:$AF,15,0))/100</f>
        <v>11031.23</v>
      </c>
      <c r="N101" s="11">
        <f>VLOOKUP(I101,资产!$A:$AF,16,0)/100</f>
        <v>21319.56</v>
      </c>
      <c r="O101" s="11">
        <f>VLOOKUP(I101,资产!$A:$AF,17,0)/100</f>
        <v>10055.51</v>
      </c>
      <c r="P101" s="11">
        <f>VLOOKUP(I101,资产!$A:$AF,18,0)/100</f>
        <v>13119.78</v>
      </c>
      <c r="Q101" s="11">
        <f>VLOOKUP(I101,资产!$A:$AF,20,0)/100</f>
        <v>25933.66</v>
      </c>
      <c r="R101" s="35">
        <f>VLOOKUP(I101,负债!$A:$P,5,0)/100</f>
        <v>41785.86</v>
      </c>
      <c r="S101" s="35">
        <f>VLOOKUP(I101,负债!$A:$P,6,0)/100</f>
        <v>2314.21</v>
      </c>
      <c r="T101" s="37">
        <f>VLOOKUP(I101,资产!$A:$AF,2,0)/100</f>
        <v>86631.17</v>
      </c>
      <c r="U101" s="37">
        <f>VLOOKUP(I101,资产!$A:$AF,7,0)/100</f>
        <v>81483.199999999997</v>
      </c>
      <c r="V101" s="37">
        <f>VLOOKUP(I101,负债!$A:$P,9,0)/100</f>
        <v>17529.77</v>
      </c>
      <c r="W101" s="37">
        <f>VLOOKUP(I101,负债!$A:$P,6,0)/100</f>
        <v>2314.21</v>
      </c>
      <c r="X101" s="11">
        <f>VLOOKUP(I101,负债!$A:$P,2,0)/100</f>
        <v>86232.08</v>
      </c>
      <c r="Y101" s="11">
        <f t="shared" si="1"/>
        <v>66787.189999999988</v>
      </c>
    </row>
    <row r="102" spans="9:25" s="12" customFormat="1" x14ac:dyDescent="0.35">
      <c r="I102" s="24">
        <v>44517</v>
      </c>
      <c r="J102" s="11">
        <f>VLOOKUP(I102,资产!$A:$AF,8,0)/100</f>
        <v>55735.25</v>
      </c>
      <c r="K102" s="11">
        <f>VLOOKUP(I102,资产!$A:$AF,9,0)/100</f>
        <v>3260.44</v>
      </c>
      <c r="L102" s="11">
        <f>VLOOKUP(I102,资产!$A:$AF,10,0)/100</f>
        <v>48062.55</v>
      </c>
      <c r="M102" s="11">
        <f>(VLOOKUP(I102,资产!$A:$AF,13,0)+VLOOKUP(I102,资产!$A:$AF,14,0)+VLOOKUP(I102,资产!$A:$AF,15,0))/100</f>
        <v>11088.84</v>
      </c>
      <c r="N102" s="11">
        <f>VLOOKUP(I102,资产!$A:$AF,16,0)/100</f>
        <v>21278.92</v>
      </c>
      <c r="O102" s="11">
        <f>VLOOKUP(I102,资产!$A:$AF,17,0)/100</f>
        <v>10088.48</v>
      </c>
      <c r="P102" s="11">
        <f>VLOOKUP(I102,资产!$A:$AF,18,0)/100</f>
        <v>13279.01</v>
      </c>
      <c r="Q102" s="11">
        <f>VLOOKUP(I102,资产!$A:$AF,20,0)/100</f>
        <v>26034.31</v>
      </c>
      <c r="R102" s="35">
        <f>VLOOKUP(I102,负债!$A:$P,5,0)/100</f>
        <v>41888.370000000003</v>
      </c>
      <c r="S102" s="35">
        <f>VLOOKUP(I102,负债!$A:$P,6,0)/100</f>
        <v>1789.72</v>
      </c>
      <c r="T102" s="37">
        <f>VLOOKUP(I102,资产!$A:$AF,2,0)/100</f>
        <v>86749.7</v>
      </c>
      <c r="U102" s="37">
        <f>VLOOKUP(I102,资产!$A:$AF,7,0)/100</f>
        <v>81793.03</v>
      </c>
      <c r="V102" s="37">
        <f>VLOOKUP(I102,负债!$A:$P,9,0)/100</f>
        <v>18142.919999999998</v>
      </c>
      <c r="W102" s="37">
        <f>VLOOKUP(I102,负债!$A:$P,6,0)/100</f>
        <v>1789.72</v>
      </c>
      <c r="X102" s="11">
        <f>VLOOKUP(I102,负债!$A:$P,2,0)/100</f>
        <v>86343.3</v>
      </c>
      <c r="Y102" s="11">
        <f t="shared" si="1"/>
        <v>66817.06</v>
      </c>
    </row>
    <row r="103" spans="9:25" s="12" customFormat="1" x14ac:dyDescent="0.35">
      <c r="I103" s="24">
        <v>44524</v>
      </c>
      <c r="J103" s="11">
        <f>VLOOKUP(I103,资产!$A:$AF,8,0)/100</f>
        <v>55789</v>
      </c>
      <c r="K103" s="11">
        <f>VLOOKUP(I103,资产!$A:$AF,9,0)/100</f>
        <v>3260.44</v>
      </c>
      <c r="L103" s="11">
        <f>VLOOKUP(I103,资产!$A:$AF,10,0)/100</f>
        <v>48092.32</v>
      </c>
      <c r="M103" s="11">
        <f>(VLOOKUP(I103,资产!$A:$AF,13,0)+VLOOKUP(I103,资产!$A:$AF,14,0)+VLOOKUP(I103,资产!$A:$AF,15,0))/100</f>
        <v>11089.08</v>
      </c>
      <c r="N103" s="11">
        <f>VLOOKUP(I103,资产!$A:$AF,16,0)/100</f>
        <v>21298.29</v>
      </c>
      <c r="O103" s="11">
        <f>VLOOKUP(I103,资产!$A:$AF,17,0)/100</f>
        <v>10092.040000000001</v>
      </c>
      <c r="P103" s="11">
        <f>VLOOKUP(I103,资产!$A:$AF,18,0)/100</f>
        <v>13309.59</v>
      </c>
      <c r="Q103" s="11">
        <f>VLOOKUP(I103,资产!$A:$AF,20,0)/100</f>
        <v>26097.26</v>
      </c>
      <c r="R103" s="35">
        <f>VLOOKUP(I103,负债!$A:$P,5,0)/100</f>
        <v>41728.07</v>
      </c>
      <c r="S103" s="35">
        <f>VLOOKUP(I103,负债!$A:$P,6,0)/100</f>
        <v>1410.42</v>
      </c>
      <c r="T103" s="37">
        <f>VLOOKUP(I103,资产!$A:$AF,2,0)/100</f>
        <v>86817.71</v>
      </c>
      <c r="U103" s="37">
        <f>VLOOKUP(I103,资产!$A:$AF,7,0)/100</f>
        <v>81909.73</v>
      </c>
      <c r="V103" s="37">
        <f>VLOOKUP(I103,负债!$A:$P,9,0)/100</f>
        <v>17588.150000000001</v>
      </c>
      <c r="W103" s="37">
        <f>VLOOKUP(I103,负债!$A:$P,6,0)/100</f>
        <v>1410.42</v>
      </c>
      <c r="X103" s="11">
        <f>VLOOKUP(I103,负债!$A:$P,2,0)/100</f>
        <v>86411.25</v>
      </c>
      <c r="Y103" s="11">
        <f t="shared" si="1"/>
        <v>67819.14</v>
      </c>
    </row>
    <row r="104" spans="9:25" s="12" customFormat="1" x14ac:dyDescent="0.35">
      <c r="I104" s="24">
        <v>44531</v>
      </c>
      <c r="J104" s="11">
        <f>VLOOKUP(I104,资产!$A:$AF,8,0)/100</f>
        <v>55921.19</v>
      </c>
      <c r="K104" s="11">
        <f>VLOOKUP(I104,资产!$A:$AF,9,0)/100</f>
        <v>3260.44</v>
      </c>
      <c r="L104" s="11">
        <f>VLOOKUP(I104,资产!$A:$AF,10,0)/100</f>
        <v>48198.04</v>
      </c>
      <c r="M104" s="11">
        <f>(VLOOKUP(I104,资产!$A:$AF,13,0)+VLOOKUP(I104,资产!$A:$AF,14,0)+VLOOKUP(I104,资产!$A:$AF,15,0))/100</f>
        <v>11213.04</v>
      </c>
      <c r="N104" s="11">
        <f>VLOOKUP(I104,资产!$A:$AF,16,0)/100</f>
        <v>21298.18</v>
      </c>
      <c r="O104" s="11">
        <f>VLOOKUP(I104,资产!$A:$AF,17,0)/100</f>
        <v>10061.379999999999</v>
      </c>
      <c r="P104" s="11">
        <f>VLOOKUP(I104,资产!$A:$AF,18,0)/100</f>
        <v>13348.59</v>
      </c>
      <c r="Q104" s="11">
        <f>VLOOKUP(I104,资产!$A:$AF,20,0)/100</f>
        <v>25708.84</v>
      </c>
      <c r="R104" s="35">
        <f>VLOOKUP(I104,负债!$A:$P,5,0)/100</f>
        <v>42660.22</v>
      </c>
      <c r="S104" s="35">
        <f>VLOOKUP(I104,负债!$A:$P,6,0)/100</f>
        <v>1591.48</v>
      </c>
      <c r="T104" s="37">
        <f>VLOOKUP(I104,资产!$A:$AF,2,0)/100</f>
        <v>86504.02</v>
      </c>
      <c r="U104" s="37">
        <f>VLOOKUP(I104,资产!$A:$AF,7,0)/100</f>
        <v>81653.509999999995</v>
      </c>
      <c r="V104" s="37">
        <f>VLOOKUP(I104,负债!$A:$P,9,0)/100</f>
        <v>17292.77</v>
      </c>
      <c r="W104" s="37">
        <f>VLOOKUP(I104,负债!$A:$P,6,0)/100</f>
        <v>1591.48</v>
      </c>
      <c r="X104" s="11">
        <f>VLOOKUP(I104,负债!$A:$P,2,0)/100</f>
        <v>86097.49</v>
      </c>
      <c r="Y104" s="11">
        <f t="shared" si="1"/>
        <v>67619.77</v>
      </c>
    </row>
    <row r="105" spans="9:25" s="12" customFormat="1" x14ac:dyDescent="0.35">
      <c r="I105" s="24">
        <v>44538</v>
      </c>
      <c r="J105" s="11">
        <f>VLOOKUP(I105,资产!$A:$AF,8,0)/100</f>
        <v>56041.69</v>
      </c>
      <c r="K105" s="11">
        <f>VLOOKUP(I105,资产!$A:$AF,9,0)/100</f>
        <v>3260.44</v>
      </c>
      <c r="L105" s="11">
        <f>VLOOKUP(I105,资产!$A:$AF,10,0)/100</f>
        <v>48280.3</v>
      </c>
      <c r="M105" s="11">
        <f>(VLOOKUP(I105,资产!$A:$AF,13,0)+VLOOKUP(I105,资产!$A:$AF,14,0)+VLOOKUP(I105,资产!$A:$AF,15,0))/100</f>
        <v>11213.65</v>
      </c>
      <c r="N105" s="11">
        <f>VLOOKUP(I105,资产!$A:$AF,16,0)/100</f>
        <v>21345.49</v>
      </c>
      <c r="O105" s="11">
        <f>VLOOKUP(I105,资产!$A:$AF,17,0)/100</f>
        <v>10096.969999999999</v>
      </c>
      <c r="P105" s="11">
        <f>VLOOKUP(I105,资产!$A:$AF,18,0)/100</f>
        <v>13385.58</v>
      </c>
      <c r="Q105" s="11">
        <f>VLOOKUP(I105,资产!$A:$AF,20,0)/100</f>
        <v>25709.18</v>
      </c>
      <c r="R105" s="35">
        <f>VLOOKUP(I105,负债!$A:$P,5,0)/100</f>
        <v>42556</v>
      </c>
      <c r="S105" s="35">
        <f>VLOOKUP(I105,负债!$A:$P,6,0)/100</f>
        <v>1251.44</v>
      </c>
      <c r="T105" s="37">
        <f>VLOOKUP(I105,资产!$A:$AF,2,0)/100</f>
        <v>86645.24</v>
      </c>
      <c r="U105" s="37">
        <f>VLOOKUP(I105,资产!$A:$AF,7,0)/100</f>
        <v>81774.350000000006</v>
      </c>
      <c r="V105" s="37">
        <f>VLOOKUP(I105,负债!$A:$P,9,0)/100</f>
        <v>17872.27</v>
      </c>
      <c r="W105" s="37">
        <f>VLOOKUP(I105,负债!$A:$P,6,0)/100</f>
        <v>1251.44</v>
      </c>
      <c r="X105" s="11">
        <f>VLOOKUP(I105,负债!$A:$P,2,0)/100</f>
        <v>86238.68</v>
      </c>
      <c r="Y105" s="11">
        <f t="shared" si="1"/>
        <v>67521.53</v>
      </c>
    </row>
    <row r="106" spans="9:25" s="12" customFormat="1" x14ac:dyDescent="0.35">
      <c r="I106" s="24">
        <v>44545</v>
      </c>
      <c r="J106" s="11">
        <f>VLOOKUP(I106,资产!$A:$AF,8,0)/100</f>
        <v>56382.89</v>
      </c>
      <c r="K106" s="11">
        <f>VLOOKUP(I106,资产!$A:$AF,9,0)/100</f>
        <v>3260.44</v>
      </c>
      <c r="L106" s="11">
        <f>VLOOKUP(I106,资产!$A:$AF,10,0)/100</f>
        <v>48613.07</v>
      </c>
      <c r="M106" s="11">
        <f>(VLOOKUP(I106,资产!$A:$AF,13,0)+VLOOKUP(I106,资产!$A:$AF,14,0)+VLOOKUP(I106,资产!$A:$AF,15,0))/100</f>
        <v>11239.7</v>
      </c>
      <c r="N106" s="11">
        <f>VLOOKUP(I106,资产!$A:$AF,16,0)/100</f>
        <v>21512.400000000001</v>
      </c>
      <c r="O106" s="11">
        <f>VLOOKUP(I106,资产!$A:$AF,17,0)/100</f>
        <v>10180.9</v>
      </c>
      <c r="P106" s="11">
        <f>VLOOKUP(I106,资产!$A:$AF,18,0)/100</f>
        <v>13449.88</v>
      </c>
      <c r="Q106" s="11">
        <f>VLOOKUP(I106,资产!$A:$AF,20,0)/100</f>
        <v>26281.3</v>
      </c>
      <c r="R106" s="35">
        <f>VLOOKUP(I106,负债!$A:$P,5,0)/100</f>
        <v>42736.34</v>
      </c>
      <c r="S106" s="35">
        <f>VLOOKUP(I106,负债!$A:$P,6,0)/100</f>
        <v>582.94000000000005</v>
      </c>
      <c r="T106" s="37">
        <f>VLOOKUP(I106,资产!$A:$AF,2,0)/100</f>
        <v>87566.66</v>
      </c>
      <c r="U106" s="37">
        <f>VLOOKUP(I106,资产!$A:$AF,7,0)/100</f>
        <v>82687.66</v>
      </c>
      <c r="V106" s="37">
        <f>VLOOKUP(I106,负债!$A:$P,9,0)/100</f>
        <v>19278.79</v>
      </c>
      <c r="W106" s="37">
        <f>VLOOKUP(I106,负债!$A:$P,6,0)/100</f>
        <v>582.94000000000005</v>
      </c>
      <c r="X106" s="11">
        <f>VLOOKUP(I106,负债!$A:$P,2,0)/100</f>
        <v>87160.01</v>
      </c>
      <c r="Y106" s="11">
        <f t="shared" si="1"/>
        <v>67704.929999999993</v>
      </c>
    </row>
    <row r="107" spans="9:25" s="12" customFormat="1" x14ac:dyDescent="0.35">
      <c r="I107" s="24">
        <v>44552</v>
      </c>
      <c r="J107" s="11">
        <f>VLOOKUP(I107,资产!$A:$AF,8,0)/100</f>
        <v>56498.23</v>
      </c>
      <c r="K107" s="11">
        <f>VLOOKUP(I107,资产!$A:$AF,9,0)/100</f>
        <v>3260.44</v>
      </c>
      <c r="L107" s="11">
        <f>VLOOKUP(I107,资产!$A:$AF,10,0)/100</f>
        <v>48692.08</v>
      </c>
      <c r="M107" s="11">
        <f>(VLOOKUP(I107,资产!$A:$AF,13,0)+VLOOKUP(I107,资产!$A:$AF,14,0)+VLOOKUP(I107,资产!$A:$AF,15,0))/100</f>
        <v>11240.31</v>
      </c>
      <c r="N107" s="11">
        <f>VLOOKUP(I107,资产!$A:$AF,16,0)/100</f>
        <v>21537.42</v>
      </c>
      <c r="O107" s="11">
        <f>VLOOKUP(I107,资产!$A:$AF,17,0)/100</f>
        <v>10232.31</v>
      </c>
      <c r="P107" s="11">
        <f>VLOOKUP(I107,资产!$A:$AF,18,0)/100</f>
        <v>13488.18</v>
      </c>
      <c r="Q107" s="11">
        <f>VLOOKUP(I107,资产!$A:$AF,20,0)/100</f>
        <v>26496.61</v>
      </c>
      <c r="R107" s="35">
        <f>VLOOKUP(I107,负债!$A:$P,5,0)/100</f>
        <v>41049.26</v>
      </c>
      <c r="S107" s="35">
        <f>VLOOKUP(I107,负债!$A:$P,6,0)/100</f>
        <v>1975.16</v>
      </c>
      <c r="T107" s="37">
        <f>VLOOKUP(I107,资产!$A:$AF,2,0)/100</f>
        <v>87904.95</v>
      </c>
      <c r="U107" s="37">
        <f>VLOOKUP(I107,资产!$A:$AF,7,0)/100</f>
        <v>83018.31</v>
      </c>
      <c r="V107" s="37">
        <f>VLOOKUP(I107,负债!$A:$P,9,0)/100</f>
        <v>19829.150000000001</v>
      </c>
      <c r="W107" s="37">
        <f>VLOOKUP(I107,负债!$A:$P,6,0)/100</f>
        <v>1975.16</v>
      </c>
      <c r="X107" s="11">
        <f>VLOOKUP(I107,负债!$A:$P,2,0)/100</f>
        <v>87498.34</v>
      </c>
      <c r="Y107" s="11">
        <f t="shared" si="1"/>
        <v>66100.639999999985</v>
      </c>
    </row>
    <row r="108" spans="9:25" s="12" customFormat="1" x14ac:dyDescent="0.35">
      <c r="I108" s="24">
        <v>44559</v>
      </c>
      <c r="J108" s="11">
        <f>VLOOKUP(I108,资产!$A:$AF,8,0)/100</f>
        <v>56522.720000000001</v>
      </c>
      <c r="K108" s="11">
        <f>VLOOKUP(I108,资产!$A:$AF,9,0)/100</f>
        <v>3260.44</v>
      </c>
      <c r="L108" s="11">
        <f>VLOOKUP(I108,资产!$A:$AF,10,0)/100</f>
        <v>48708.09</v>
      </c>
      <c r="M108" s="11">
        <f>(VLOOKUP(I108,资产!$A:$AF,13,0)+VLOOKUP(I108,资产!$A:$AF,14,0)+VLOOKUP(I108,资产!$A:$AF,15,0))/100</f>
        <v>11240.94</v>
      </c>
      <c r="N108" s="11">
        <f>VLOOKUP(I108,资产!$A:$AF,16,0)/100</f>
        <v>21540.28</v>
      </c>
      <c r="O108" s="11">
        <f>VLOOKUP(I108,资产!$A:$AF,17,0)/100</f>
        <v>10235.19</v>
      </c>
      <c r="P108" s="11">
        <f>VLOOKUP(I108,资产!$A:$AF,18,0)/100</f>
        <v>13506.31</v>
      </c>
      <c r="Q108" s="11">
        <f>VLOOKUP(I108,资产!$A:$AF,20,0)/100</f>
        <v>26154.92</v>
      </c>
      <c r="R108" s="35">
        <f>VLOOKUP(I108,负债!$A:$P,5,0)/100</f>
        <v>40398.6</v>
      </c>
      <c r="S108" s="35">
        <f>VLOOKUP(I108,负债!$A:$P,6,0)/100</f>
        <v>2839.95</v>
      </c>
      <c r="T108" s="37">
        <f>VLOOKUP(I108,资产!$A:$AF,2,0)/100</f>
        <v>87574.6</v>
      </c>
      <c r="U108" s="37">
        <f>VLOOKUP(I108,资产!$A:$AF,7,0)/100</f>
        <v>82701.11</v>
      </c>
      <c r="V108" s="37">
        <f>VLOOKUP(I108,负债!$A:$P,9,0)/100</f>
        <v>19207.89</v>
      </c>
      <c r="W108" s="37">
        <f>VLOOKUP(I108,负债!$A:$P,6,0)/100</f>
        <v>2839.95</v>
      </c>
      <c r="X108" s="11">
        <f>VLOOKUP(I108,负债!$A:$P,2,0)/100</f>
        <v>87167.99</v>
      </c>
      <c r="Y108" s="11">
        <f t="shared" si="1"/>
        <v>65526.760000000009</v>
      </c>
    </row>
    <row r="109" spans="9:25" s="12" customFormat="1" x14ac:dyDescent="0.35">
      <c r="I109" s="24">
        <v>44566</v>
      </c>
      <c r="J109" s="11">
        <f>VLOOKUP(I109,资产!$A:$AF,8,0)/100</f>
        <v>56612.77</v>
      </c>
      <c r="K109" s="11">
        <f>VLOOKUP(I109,资产!$A:$AF,9,0)/100</f>
        <v>3260.44</v>
      </c>
      <c r="L109" s="11">
        <f>VLOOKUP(I109,资产!$A:$AF,10,0)/100</f>
        <v>48748</v>
      </c>
      <c r="M109" s="11">
        <f>(VLOOKUP(I109,资产!$A:$AF,13,0)+VLOOKUP(I109,资产!$A:$AF,14,0)+VLOOKUP(I109,资产!$A:$AF,15,0))/100</f>
        <v>11338.16</v>
      </c>
      <c r="N109" s="11">
        <f>VLOOKUP(I109,资产!$A:$AF,16,0)/100</f>
        <v>21545.84</v>
      </c>
      <c r="O109" s="11">
        <f>VLOOKUP(I109,资产!$A:$AF,17,0)/100</f>
        <v>10193.780000000001</v>
      </c>
      <c r="P109" s="11">
        <f>VLOOKUP(I109,资产!$A:$AF,18,0)/100</f>
        <v>13534.99</v>
      </c>
      <c r="Q109" s="11">
        <f>VLOOKUP(I109,资产!$A:$AF,20,0)/100</f>
        <v>26155.599999999999</v>
      </c>
      <c r="R109" s="35">
        <f>VLOOKUP(I109,负债!$A:$P,5,0)/100</f>
        <v>40284.6</v>
      </c>
      <c r="S109" s="35">
        <f>VLOOKUP(I109,负债!$A:$P,6,0)/100</f>
        <v>4347.57</v>
      </c>
      <c r="T109" s="37">
        <f>VLOOKUP(I109,资产!$A:$AF,2,0)/100</f>
        <v>87657.21</v>
      </c>
      <c r="U109" s="37">
        <f>VLOOKUP(I109,资产!$A:$AF,7,0)/100</f>
        <v>82791.839999999997</v>
      </c>
      <c r="V109" s="37">
        <f>VLOOKUP(I109,负债!$A:$P,9,0)/100</f>
        <v>17956.18</v>
      </c>
      <c r="W109" s="37">
        <f>VLOOKUP(I109,负债!$A:$P,6,0)/100</f>
        <v>4347.57</v>
      </c>
      <c r="X109" s="11">
        <f>VLOOKUP(I109,负债!$A:$P,2,0)/100</f>
        <v>87252.23</v>
      </c>
      <c r="Y109" s="11">
        <f t="shared" si="1"/>
        <v>65353.46</v>
      </c>
    </row>
    <row r="110" spans="9:25" s="12" customFormat="1" x14ac:dyDescent="0.35">
      <c r="I110" s="24">
        <v>44573</v>
      </c>
      <c r="J110" s="11">
        <f>VLOOKUP(I110,资产!$A:$AF,8,0)/100</f>
        <v>56847.37</v>
      </c>
      <c r="K110" s="11">
        <f>VLOOKUP(I110,资产!$A:$AF,9,0)/100</f>
        <v>3260.44</v>
      </c>
      <c r="L110" s="11">
        <f>VLOOKUP(I110,资产!$A:$AF,10,0)/100</f>
        <v>48968.06</v>
      </c>
      <c r="M110" s="11">
        <f>(VLOOKUP(I110,资产!$A:$AF,13,0)+VLOOKUP(I110,资产!$A:$AF,14,0)+VLOOKUP(I110,资产!$A:$AF,15,0))/100</f>
        <v>11350.07</v>
      </c>
      <c r="N110" s="11">
        <f>VLOOKUP(I110,资产!$A:$AF,16,0)/100</f>
        <v>21652.65</v>
      </c>
      <c r="O110" s="11">
        <f>VLOOKUP(I110,资产!$A:$AF,17,0)/100</f>
        <v>10272.959999999999</v>
      </c>
      <c r="P110" s="11">
        <f>VLOOKUP(I110,资产!$A:$AF,18,0)/100</f>
        <v>13571.7</v>
      </c>
      <c r="Q110" s="11">
        <f>VLOOKUP(I110,资产!$A:$AF,20,0)/100</f>
        <v>26155.67</v>
      </c>
      <c r="R110" s="35">
        <f>VLOOKUP(I110,负债!$A:$P,5,0)/100</f>
        <v>39289.33</v>
      </c>
      <c r="S110" s="35">
        <f>VLOOKUP(I110,负债!$A:$P,6,0)/100</f>
        <v>4896.79</v>
      </c>
      <c r="T110" s="37">
        <f>VLOOKUP(I110,资产!$A:$AF,2,0)/100</f>
        <v>87882.78</v>
      </c>
      <c r="U110" s="37">
        <f>VLOOKUP(I110,资产!$A:$AF,7,0)/100</f>
        <v>83026.509999999995</v>
      </c>
      <c r="V110" s="37">
        <f>VLOOKUP(I110,负债!$A:$P,9,0)/100</f>
        <v>18620.45</v>
      </c>
      <c r="W110" s="37">
        <f>VLOOKUP(I110,负债!$A:$P,6,0)/100</f>
        <v>4896.79</v>
      </c>
      <c r="X110" s="11">
        <f>VLOOKUP(I110,负债!$A:$P,2,0)/100</f>
        <v>87477.81</v>
      </c>
      <c r="Y110" s="11">
        <f t="shared" si="1"/>
        <v>64365.54</v>
      </c>
    </row>
    <row r="111" spans="9:25" s="12" customFormat="1" x14ac:dyDescent="0.35">
      <c r="I111" s="24">
        <v>44580</v>
      </c>
      <c r="J111" s="11">
        <f>VLOOKUP(I111,资产!$A:$AF,8,0)/100</f>
        <v>56933.41</v>
      </c>
      <c r="K111" s="11">
        <f>VLOOKUP(I111,资产!$A:$AF,9,0)/100</f>
        <v>3260.44</v>
      </c>
      <c r="L111" s="11">
        <f>VLOOKUP(I111,资产!$A:$AF,10,0)/100</f>
        <v>49152.11</v>
      </c>
      <c r="M111" s="11">
        <f>(VLOOKUP(I111,资产!$A:$AF,13,0)+VLOOKUP(I111,资产!$A:$AF,14,0)+VLOOKUP(I111,资产!$A:$AF,15,0))/100</f>
        <v>11357.97</v>
      </c>
      <c r="N111" s="11">
        <f>VLOOKUP(I111,资产!$A:$AF,16,0)/100</f>
        <v>21828.81</v>
      </c>
      <c r="O111" s="11">
        <f>VLOOKUP(I111,资产!$A:$AF,17,0)/100</f>
        <v>10120.379999999999</v>
      </c>
      <c r="P111" s="11">
        <f>VLOOKUP(I111,资产!$A:$AF,18,0)/100</f>
        <v>13626.25</v>
      </c>
      <c r="Q111" s="11">
        <f>VLOOKUP(I111,资产!$A:$AF,20,0)/100</f>
        <v>26862.62</v>
      </c>
      <c r="R111" s="35">
        <f>VLOOKUP(I111,负债!$A:$P,5,0)/100</f>
        <v>38217.43</v>
      </c>
      <c r="S111" s="35">
        <f>VLOOKUP(I111,负债!$A:$P,6,0)/100</f>
        <v>5801.71</v>
      </c>
      <c r="T111" s="37">
        <f>VLOOKUP(I111,资产!$A:$AF,2,0)/100</f>
        <v>88678.34</v>
      </c>
      <c r="U111" s="37">
        <f>VLOOKUP(I111,资产!$A:$AF,7,0)/100</f>
        <v>83819.5</v>
      </c>
      <c r="V111" s="37">
        <f>VLOOKUP(I111,负债!$A:$P,9,0)/100</f>
        <v>19637.990000000002</v>
      </c>
      <c r="W111" s="37">
        <f>VLOOKUP(I111,负债!$A:$P,6,0)/100</f>
        <v>5801.71</v>
      </c>
      <c r="X111" s="11">
        <f>VLOOKUP(I111,负债!$A:$P,2,0)/100</f>
        <v>88273.35</v>
      </c>
      <c r="Y111" s="11">
        <f t="shared" si="1"/>
        <v>63238.639999999992</v>
      </c>
    </row>
    <row r="112" spans="9:25" s="12" customFormat="1" x14ac:dyDescent="0.35">
      <c r="I112" s="24">
        <v>44587</v>
      </c>
      <c r="J112" s="11">
        <f>VLOOKUP(I112,资产!$A:$AF,8,0)/100</f>
        <v>57162.17</v>
      </c>
      <c r="K112" s="11">
        <f>VLOOKUP(I112,资产!$A:$AF,9,0)/100</f>
        <v>3260.44</v>
      </c>
      <c r="L112" s="11">
        <f>VLOOKUP(I112,资产!$A:$AF,10,0)/100</f>
        <v>49352.14</v>
      </c>
      <c r="M112" s="11">
        <f>(VLOOKUP(I112,资产!$A:$AF,13,0)+VLOOKUP(I112,资产!$A:$AF,14,0)+VLOOKUP(I112,资产!$A:$AF,15,0))/100</f>
        <v>11397.4</v>
      </c>
      <c r="N112" s="11">
        <f>VLOOKUP(I112,资产!$A:$AF,16,0)/100</f>
        <v>21976.47</v>
      </c>
      <c r="O112" s="11">
        <f>VLOOKUP(I112,资产!$A:$AF,17,0)/100</f>
        <v>10144.77</v>
      </c>
      <c r="P112" s="11">
        <f>VLOOKUP(I112,资产!$A:$AF,18,0)/100</f>
        <v>13643.52</v>
      </c>
      <c r="Q112" s="11">
        <f>VLOOKUP(I112,资产!$A:$AF,20,0)/100</f>
        <v>26608.2</v>
      </c>
      <c r="R112" s="35">
        <f>VLOOKUP(I112,负债!$A:$P,5,0)/100</f>
        <v>38250.76</v>
      </c>
      <c r="S112" s="35">
        <f>VLOOKUP(I112,负债!$A:$P,6,0)/100</f>
        <v>6396.2</v>
      </c>
      <c r="T112" s="37">
        <f>VLOOKUP(I112,资产!$A:$AF,2,0)/100</f>
        <v>88604.85</v>
      </c>
      <c r="U112" s="37">
        <f>VLOOKUP(I112,资产!$A:$AF,7,0)/100</f>
        <v>83793.84</v>
      </c>
      <c r="V112" s="37">
        <f>VLOOKUP(I112,负债!$A:$P,9,0)/100</f>
        <v>18911.900000000001</v>
      </c>
      <c r="W112" s="37">
        <f>VLOOKUP(I112,负债!$A:$P,6,0)/100</f>
        <v>6396.2</v>
      </c>
      <c r="X112" s="11">
        <f>VLOOKUP(I112,负债!$A:$P,2,0)/100</f>
        <v>88199.78</v>
      </c>
      <c r="Y112" s="11">
        <f t="shared" si="1"/>
        <v>63296.750000000015</v>
      </c>
    </row>
    <row r="113" spans="9:25" s="12" customFormat="1" x14ac:dyDescent="0.35">
      <c r="I113" s="24">
        <v>44594</v>
      </c>
      <c r="J113" s="11">
        <f>VLOOKUP(I113,资产!$A:$AF,8,0)/100</f>
        <v>57281.09</v>
      </c>
      <c r="K113" s="11">
        <f>VLOOKUP(I113,资产!$A:$AF,9,0)/100</f>
        <v>3260.44</v>
      </c>
      <c r="L113" s="11">
        <f>VLOOKUP(I113,资产!$A:$AF,10,0)/100</f>
        <v>49430.22</v>
      </c>
      <c r="M113" s="11">
        <f>(VLOOKUP(I113,资产!$A:$AF,13,0)+VLOOKUP(I113,资产!$A:$AF,14,0)+VLOOKUP(I113,资产!$A:$AF,15,0))/100</f>
        <v>11431.57</v>
      </c>
      <c r="N113" s="11">
        <f>VLOOKUP(I113,资产!$A:$AF,16,0)/100</f>
        <v>22033.97</v>
      </c>
      <c r="O113" s="11">
        <f>VLOOKUP(I113,资产!$A:$AF,17,0)/100</f>
        <v>10119.98</v>
      </c>
      <c r="P113" s="11">
        <f>VLOOKUP(I113,资产!$A:$AF,18,0)/100</f>
        <v>13695.57</v>
      </c>
      <c r="Q113" s="11">
        <f>VLOOKUP(I113,资产!$A:$AF,20,0)/100</f>
        <v>26608.45</v>
      </c>
      <c r="R113" s="35">
        <f>VLOOKUP(I113,负债!$A:$P,5,0)/100</f>
        <v>37566.17</v>
      </c>
      <c r="S113" s="35">
        <f>VLOOKUP(I113,负债!$A:$P,6,0)/100</f>
        <v>7102.67</v>
      </c>
      <c r="T113" s="37">
        <f>VLOOKUP(I113,资产!$A:$AF,2,0)/100</f>
        <v>88732.11</v>
      </c>
      <c r="U113" s="37">
        <f>VLOOKUP(I113,资产!$A:$AF,7,0)/100</f>
        <v>83913.01</v>
      </c>
      <c r="V113" s="37">
        <f>VLOOKUP(I113,负债!$A:$P,9,0)/100</f>
        <v>19065.71</v>
      </c>
      <c r="W113" s="37">
        <f>VLOOKUP(I113,负债!$A:$P,6,0)/100</f>
        <v>7102.67</v>
      </c>
      <c r="X113" s="11">
        <f>VLOOKUP(I113,负债!$A:$P,2,0)/100</f>
        <v>88326.56</v>
      </c>
      <c r="Y113" s="11">
        <f t="shared" si="1"/>
        <v>62563.729999999996</v>
      </c>
    </row>
    <row r="114" spans="9:25" s="12" customFormat="1" x14ac:dyDescent="0.35">
      <c r="I114" s="24">
        <v>44601</v>
      </c>
      <c r="J114" s="11">
        <f>VLOOKUP(I114,资产!$A:$AF,8,0)/100</f>
        <v>57318.64</v>
      </c>
      <c r="K114" s="11">
        <f>VLOOKUP(I114,资产!$A:$AF,9,0)/100</f>
        <v>3260.44</v>
      </c>
      <c r="L114" s="11">
        <f>VLOOKUP(I114,资产!$A:$AF,10,0)/100</f>
        <v>49464.24</v>
      </c>
      <c r="M114" s="11">
        <f>(VLOOKUP(I114,资产!$A:$AF,13,0)+VLOOKUP(I114,资产!$A:$AF,14,0)+VLOOKUP(I114,资产!$A:$AF,15,0))/100</f>
        <v>11431.77</v>
      </c>
      <c r="N114" s="11">
        <f>VLOOKUP(I114,资产!$A:$AF,16,0)/100</f>
        <v>22035.35</v>
      </c>
      <c r="O114" s="11">
        <f>VLOOKUP(I114,资产!$A:$AF,17,0)/100</f>
        <v>10121.040000000001</v>
      </c>
      <c r="P114" s="11">
        <f>VLOOKUP(I114,资产!$A:$AF,18,0)/100</f>
        <v>13730.47</v>
      </c>
      <c r="Q114" s="11">
        <f>VLOOKUP(I114,资产!$A:$AF,20,0)/100</f>
        <v>26608.51</v>
      </c>
      <c r="R114" s="35">
        <f>VLOOKUP(I114,负债!$A:$P,5,0)/100</f>
        <v>37949.769999999997</v>
      </c>
      <c r="S114" s="35">
        <f>VLOOKUP(I114,负债!$A:$P,6,0)/100</f>
        <v>6790.19</v>
      </c>
      <c r="T114" s="37">
        <f>VLOOKUP(I114,资产!$A:$AF,2,0)/100</f>
        <v>88780.09</v>
      </c>
      <c r="U114" s="37">
        <f>VLOOKUP(I114,资产!$A:$AF,7,0)/100</f>
        <v>83950.61</v>
      </c>
      <c r="V114" s="37">
        <f>VLOOKUP(I114,负债!$A:$P,9,0)/100</f>
        <v>19078.91</v>
      </c>
      <c r="W114" s="37">
        <f>VLOOKUP(I114,负债!$A:$P,6,0)/100</f>
        <v>6790.19</v>
      </c>
      <c r="X114" s="11">
        <f>VLOOKUP(I114,负债!$A:$P,2,0)/100</f>
        <v>88374.720000000001</v>
      </c>
      <c r="Y114" s="11">
        <f t="shared" si="1"/>
        <v>62910.989999999991</v>
      </c>
    </row>
    <row r="115" spans="9:25" s="12" customFormat="1" x14ac:dyDescent="0.35">
      <c r="I115" s="24">
        <v>44608</v>
      </c>
      <c r="J115" s="11">
        <f>VLOOKUP(I115,资产!$A:$AF,8,0)/100</f>
        <v>57386.19</v>
      </c>
      <c r="K115" s="11">
        <f>VLOOKUP(I115,资产!$A:$AF,9,0)/100</f>
        <v>3260.44</v>
      </c>
      <c r="L115" s="11">
        <f>VLOOKUP(I115,资产!$A:$AF,10,0)/100</f>
        <v>49528.26</v>
      </c>
      <c r="M115" s="11">
        <f>(VLOOKUP(I115,资产!$A:$AF,13,0)+VLOOKUP(I115,资产!$A:$AF,14,0)+VLOOKUP(I115,资产!$A:$AF,15,0))/100</f>
        <v>11462.16</v>
      </c>
      <c r="N115" s="11">
        <f>VLOOKUP(I115,资产!$A:$AF,16,0)/100</f>
        <v>21913.49</v>
      </c>
      <c r="O115" s="11">
        <f>VLOOKUP(I115,资产!$A:$AF,17,0)/100</f>
        <v>9916.2000000000007</v>
      </c>
      <c r="P115" s="11">
        <f>VLOOKUP(I115,资产!$A:$AF,18,0)/100</f>
        <v>14094.33</v>
      </c>
      <c r="Q115" s="11">
        <f>VLOOKUP(I115,资产!$A:$AF,20,0)/100</f>
        <v>27046.13</v>
      </c>
      <c r="R115" s="35">
        <f>VLOOKUP(I115,负债!$A:$P,5,0)/100</f>
        <v>37967.199999999997</v>
      </c>
      <c r="S115" s="35">
        <f>VLOOKUP(I115,负债!$A:$P,6,0)/100</f>
        <v>7092.61</v>
      </c>
      <c r="T115" s="37">
        <f>VLOOKUP(I115,资产!$A:$AF,2,0)/100</f>
        <v>89110.33</v>
      </c>
      <c r="U115" s="37">
        <f>VLOOKUP(I115,资产!$A:$AF,7,0)/100</f>
        <v>84455.79</v>
      </c>
      <c r="V115" s="37">
        <f>VLOOKUP(I115,负债!$A:$P,9,0)/100</f>
        <v>19014.62</v>
      </c>
      <c r="W115" s="37">
        <f>VLOOKUP(I115,负债!$A:$P,6,0)/100</f>
        <v>7092.61</v>
      </c>
      <c r="X115" s="11">
        <f>VLOOKUP(I115,负债!$A:$P,2,0)/100</f>
        <v>88705.72</v>
      </c>
      <c r="Y115" s="11">
        <f t="shared" si="1"/>
        <v>63003.100000000006</v>
      </c>
    </row>
    <row r="116" spans="9:25" s="12" customFormat="1" x14ac:dyDescent="0.35">
      <c r="I116" s="24">
        <v>44615</v>
      </c>
      <c r="J116" s="11">
        <f>VLOOKUP(I116,资产!$A:$AF,8,0)/100</f>
        <v>57417.78</v>
      </c>
      <c r="K116" s="11">
        <f>VLOOKUP(I116,资产!$A:$AF,9,0)/100</f>
        <v>3260.44</v>
      </c>
      <c r="L116" s="11">
        <f>VLOOKUP(I116,资产!$A:$AF,10,0)/100</f>
        <v>49544.27</v>
      </c>
      <c r="M116" s="11">
        <f>(VLOOKUP(I116,资产!$A:$AF,13,0)+VLOOKUP(I116,资产!$A:$AF,14,0)+VLOOKUP(I116,资产!$A:$AF,15,0))/100</f>
        <v>11462.36</v>
      </c>
      <c r="N116" s="11">
        <f>VLOOKUP(I116,资产!$A:$AF,16,0)/100</f>
        <v>21924.14</v>
      </c>
      <c r="O116" s="11">
        <f>VLOOKUP(I116,资产!$A:$AF,17,0)/100</f>
        <v>10143.89</v>
      </c>
      <c r="P116" s="11">
        <f>VLOOKUP(I116,资产!$A:$AF,18,0)/100</f>
        <v>13887.39</v>
      </c>
      <c r="Q116" s="11">
        <f>VLOOKUP(I116,资产!$A:$AF,20,0)/100</f>
        <v>27178.67</v>
      </c>
      <c r="R116" s="35">
        <f>VLOOKUP(I116,负债!$A:$P,5,0)/100</f>
        <v>37459.760000000002</v>
      </c>
      <c r="S116" s="35">
        <f>VLOOKUP(I116,负债!$A:$P,6,0)/100</f>
        <v>6747.97</v>
      </c>
      <c r="T116" s="37">
        <f>VLOOKUP(I116,资产!$A:$AF,2,0)/100</f>
        <v>89281.29</v>
      </c>
      <c r="U116" s="37">
        <f>VLOOKUP(I116,资产!$A:$AF,7,0)/100</f>
        <v>84619.92</v>
      </c>
      <c r="V116" s="37">
        <f>VLOOKUP(I116,负债!$A:$P,9,0)/100</f>
        <v>19931.11</v>
      </c>
      <c r="W116" s="37">
        <f>VLOOKUP(I116,负债!$A:$P,6,0)/100</f>
        <v>6747.97</v>
      </c>
      <c r="X116" s="11">
        <f>VLOOKUP(I116,负债!$A:$P,2,0)/100</f>
        <v>88875.96</v>
      </c>
      <c r="Y116" s="11">
        <f t="shared" si="1"/>
        <v>62602.209999999992</v>
      </c>
    </row>
    <row r="117" spans="9:25" s="12" customFormat="1" x14ac:dyDescent="0.35">
      <c r="I117" s="24">
        <v>44622</v>
      </c>
      <c r="J117" s="11">
        <f>VLOOKUP(I117,资产!$A:$AF,8,0)/100</f>
        <v>57491.06</v>
      </c>
      <c r="K117" s="11">
        <f>VLOOKUP(I117,资产!$A:$AF,9,0)/100</f>
        <v>3260.44</v>
      </c>
      <c r="L117" s="11">
        <f>VLOOKUP(I117,资产!$A:$AF,10,0)/100</f>
        <v>49590.86</v>
      </c>
      <c r="M117" s="11">
        <f>(VLOOKUP(I117,资产!$A:$AF,13,0)+VLOOKUP(I117,资产!$A:$AF,14,0)+VLOOKUP(I117,资产!$A:$AF,15,0))/100</f>
        <v>11772.02</v>
      </c>
      <c r="N117" s="11">
        <f>VLOOKUP(I117,资产!$A:$AF,16,0)/100</f>
        <v>21776.7</v>
      </c>
      <c r="O117" s="11">
        <f>VLOOKUP(I117,资产!$A:$AF,17,0)/100</f>
        <v>9999.49</v>
      </c>
      <c r="P117" s="11">
        <f>VLOOKUP(I117,资产!$A:$AF,18,0)/100</f>
        <v>13942.86</v>
      </c>
      <c r="Q117" s="11">
        <f>VLOOKUP(I117,资产!$A:$AF,20,0)/100</f>
        <v>26913.58</v>
      </c>
      <c r="R117" s="35">
        <f>VLOOKUP(I117,负债!$A:$P,5,0)/100</f>
        <v>39194.839999999997</v>
      </c>
      <c r="S117" s="35">
        <f>VLOOKUP(I117,负债!$A:$P,6,0)/100</f>
        <v>6854.91</v>
      </c>
      <c r="T117" s="37">
        <f>VLOOKUP(I117,资产!$A:$AF,2,0)/100</f>
        <v>89044.55</v>
      </c>
      <c r="U117" s="37">
        <f>VLOOKUP(I117,资产!$A:$AF,7,0)/100</f>
        <v>84428.11</v>
      </c>
      <c r="V117" s="37">
        <f>VLOOKUP(I117,负债!$A:$P,9,0)/100</f>
        <v>17756.52</v>
      </c>
      <c r="W117" s="37">
        <f>VLOOKUP(I117,负债!$A:$P,6,0)/100</f>
        <v>6854.91</v>
      </c>
      <c r="X117" s="11">
        <f>VLOOKUP(I117,负债!$A:$P,2,0)/100</f>
        <v>88633.46</v>
      </c>
      <c r="Y117" s="11">
        <f t="shared" si="1"/>
        <v>64433.119999999995</v>
      </c>
    </row>
    <row r="118" spans="9:25" s="12" customFormat="1" x14ac:dyDescent="0.35">
      <c r="I118" s="24">
        <v>44629</v>
      </c>
      <c r="J118" s="11">
        <f>VLOOKUP(I118,资产!$A:$AF,8,0)/100</f>
        <v>57533.85</v>
      </c>
      <c r="K118" s="11">
        <f>VLOOKUP(I118,资产!$A:$AF,9,0)/100</f>
        <v>3260.44</v>
      </c>
      <c r="L118" s="11">
        <f>VLOOKUP(I118,资产!$A:$AF,10,0)/100</f>
        <v>49624.84</v>
      </c>
      <c r="M118" s="11">
        <f>(VLOOKUP(I118,资产!$A:$AF,13,0)+VLOOKUP(I118,资产!$A:$AF,14,0)+VLOOKUP(I118,资产!$A:$AF,15,0))/100</f>
        <v>11772.51</v>
      </c>
      <c r="N118" s="11">
        <f>VLOOKUP(I118,资产!$A:$AF,16,0)/100</f>
        <v>21780.14</v>
      </c>
      <c r="O118" s="11">
        <f>VLOOKUP(I118,资产!$A:$AF,17,0)/100</f>
        <v>10018.120000000001</v>
      </c>
      <c r="P118" s="11">
        <f>VLOOKUP(I118,资产!$A:$AF,18,0)/100</f>
        <v>13963.08</v>
      </c>
      <c r="Q118" s="11">
        <f>VLOOKUP(I118,资产!$A:$AF,20,0)/100</f>
        <v>26913.61</v>
      </c>
      <c r="R118" s="35">
        <f>VLOOKUP(I118,负债!$A:$P,5,0)/100</f>
        <v>39536.51</v>
      </c>
      <c r="S118" s="35">
        <f>VLOOKUP(I118,负债!$A:$P,6,0)/100</f>
        <v>6093.69</v>
      </c>
      <c r="T118" s="37">
        <f>VLOOKUP(I118,资产!$A:$AF,2,0)/100</f>
        <v>89107.48</v>
      </c>
      <c r="U118" s="37">
        <f>VLOOKUP(I118,资产!$A:$AF,7,0)/100</f>
        <v>84470.93</v>
      </c>
      <c r="V118" s="37">
        <f>VLOOKUP(I118,负债!$A:$P,9,0)/100</f>
        <v>17862.46</v>
      </c>
      <c r="W118" s="37">
        <f>VLOOKUP(I118,负债!$A:$P,6,0)/100</f>
        <v>6093.69</v>
      </c>
      <c r="X118" s="11">
        <f>VLOOKUP(I118,负债!$A:$P,2,0)/100</f>
        <v>88696.39</v>
      </c>
      <c r="Y118" s="11">
        <f t="shared" si="1"/>
        <v>65151.329999999987</v>
      </c>
    </row>
    <row r="119" spans="9:25" s="12" customFormat="1" x14ac:dyDescent="0.35">
      <c r="I119" s="24">
        <v>44636</v>
      </c>
      <c r="J119" s="11">
        <f>VLOOKUP(I119,资产!$A:$AF,8,0)/100</f>
        <v>57582.67</v>
      </c>
      <c r="K119" s="11">
        <f>VLOOKUP(I119,资产!$A:$AF,9,0)/100</f>
        <v>3260.44</v>
      </c>
      <c r="L119" s="11">
        <f>VLOOKUP(I119,资产!$A:$AF,10,0)/100</f>
        <v>49664.85</v>
      </c>
      <c r="M119" s="11">
        <f>(VLOOKUP(I119,资产!$A:$AF,13,0)+VLOOKUP(I119,资产!$A:$AF,14,0)+VLOOKUP(I119,资产!$A:$AF,15,0))/100</f>
        <v>11672.72</v>
      </c>
      <c r="N119" s="11">
        <f>VLOOKUP(I119,资产!$A:$AF,16,0)/100</f>
        <v>21833.15</v>
      </c>
      <c r="O119" s="11">
        <f>VLOOKUP(I119,资产!$A:$AF,17,0)/100</f>
        <v>10077.89</v>
      </c>
      <c r="P119" s="11">
        <f>VLOOKUP(I119,资产!$A:$AF,18,0)/100</f>
        <v>13998.91</v>
      </c>
      <c r="Q119" s="11">
        <f>VLOOKUP(I119,资产!$A:$AF,20,0)/100</f>
        <v>27299.31</v>
      </c>
      <c r="R119" s="35">
        <f>VLOOKUP(I119,负债!$A:$P,5,0)/100</f>
        <v>38934.120000000003</v>
      </c>
      <c r="S119" s="35">
        <f>VLOOKUP(I119,负债!$A:$P,6,0)/100</f>
        <v>6215.27</v>
      </c>
      <c r="T119" s="37">
        <f>VLOOKUP(I119,资产!$A:$AF,2,0)/100</f>
        <v>89543.06</v>
      </c>
      <c r="U119" s="37">
        <f>VLOOKUP(I119,资产!$A:$AF,7,0)/100</f>
        <v>84905.45</v>
      </c>
      <c r="V119" s="37">
        <f>VLOOKUP(I119,负债!$A:$P,9,0)/100</f>
        <v>18646.37</v>
      </c>
      <c r="W119" s="37">
        <f>VLOOKUP(I119,负债!$A:$P,6,0)/100</f>
        <v>6215.27</v>
      </c>
      <c r="X119" s="11">
        <f>VLOOKUP(I119,负债!$A:$P,2,0)/100</f>
        <v>89131.98</v>
      </c>
      <c r="Y119" s="11">
        <f t="shared" si="1"/>
        <v>64681.42</v>
      </c>
    </row>
    <row r="120" spans="9:25" s="12" customFormat="1" x14ac:dyDescent="0.35">
      <c r="I120" s="24">
        <v>44643</v>
      </c>
      <c r="J120" s="11">
        <f>VLOOKUP(I120,资产!$A:$AF,8,0)/100</f>
        <v>57591.49</v>
      </c>
      <c r="K120" s="11">
        <f>VLOOKUP(I120,资产!$A:$AF,9,0)/100</f>
        <v>3260.44</v>
      </c>
      <c r="L120" s="11">
        <f>VLOOKUP(I120,资产!$A:$AF,10,0)/100</f>
        <v>49664.85</v>
      </c>
      <c r="M120" s="11">
        <f>(VLOOKUP(I120,资产!$A:$AF,13,0)+VLOOKUP(I120,资产!$A:$AF,14,0)+VLOOKUP(I120,资产!$A:$AF,15,0))/100</f>
        <v>11673.22</v>
      </c>
      <c r="N120" s="11">
        <f>VLOOKUP(I120,资产!$A:$AF,16,0)/100</f>
        <v>21836.59</v>
      </c>
      <c r="O120" s="11">
        <f>VLOOKUP(I120,资产!$A:$AF,17,0)/100</f>
        <v>10080.540000000001</v>
      </c>
      <c r="P120" s="11">
        <f>VLOOKUP(I120,资产!$A:$AF,18,0)/100</f>
        <v>14001.14</v>
      </c>
      <c r="Q120" s="11">
        <f>VLOOKUP(I120,资产!$A:$AF,20,0)/100</f>
        <v>27387.599999999999</v>
      </c>
      <c r="R120" s="35">
        <f>VLOOKUP(I120,负债!$A:$P,5,0)/100</f>
        <v>37690.46</v>
      </c>
      <c r="S120" s="35">
        <f>VLOOKUP(I120,负债!$A:$P,6,0)/100</f>
        <v>5764.42</v>
      </c>
      <c r="T120" s="37">
        <f>VLOOKUP(I120,资产!$A:$AF,2,0)/100</f>
        <v>89624.74</v>
      </c>
      <c r="U120" s="37">
        <f>VLOOKUP(I120,资产!$A:$AF,7,0)/100</f>
        <v>85002.55</v>
      </c>
      <c r="V120" s="37">
        <f>VLOOKUP(I120,负债!$A:$P,9,0)/100</f>
        <v>20545.82</v>
      </c>
      <c r="W120" s="37">
        <f>VLOOKUP(I120,负债!$A:$P,6,0)/100</f>
        <v>5764.42</v>
      </c>
      <c r="X120" s="11">
        <f>VLOOKUP(I120,负债!$A:$P,2,0)/100</f>
        <v>89213.65</v>
      </c>
      <c r="Y120" s="11">
        <f t="shared" si="1"/>
        <v>63314.500000000015</v>
      </c>
    </row>
    <row r="121" spans="9:25" s="12" customFormat="1" x14ac:dyDescent="0.35">
      <c r="I121" s="24">
        <v>44650</v>
      </c>
      <c r="J121" s="11">
        <f>VLOOKUP(I121,资产!$A:$AF,8,0)/100</f>
        <v>57600.3</v>
      </c>
      <c r="K121" s="11">
        <f>VLOOKUP(I121,资产!$A:$AF,9,0)/100</f>
        <v>3260.44</v>
      </c>
      <c r="L121" s="11">
        <f>VLOOKUP(I121,资产!$A:$AF,10,0)/100</f>
        <v>49664.85</v>
      </c>
      <c r="M121" s="11">
        <f>(VLOOKUP(I121,资产!$A:$AF,13,0)+VLOOKUP(I121,资产!$A:$AF,14,0)+VLOOKUP(I121,资产!$A:$AF,15,0))/100</f>
        <v>11673.71</v>
      </c>
      <c r="N121" s="11">
        <f>VLOOKUP(I121,资产!$A:$AF,16,0)/100</f>
        <v>21977.63</v>
      </c>
      <c r="O121" s="11">
        <f>VLOOKUP(I121,资产!$A:$AF,17,0)/100</f>
        <v>9945.59</v>
      </c>
      <c r="P121" s="11">
        <f>VLOOKUP(I121,资产!$A:$AF,18,0)/100</f>
        <v>14003.37</v>
      </c>
      <c r="Q121" s="11">
        <f>VLOOKUP(I121,资产!$A:$AF,20,0)/100</f>
        <v>27152.5</v>
      </c>
      <c r="R121" s="35">
        <f>VLOOKUP(I121,负债!$A:$P,5,0)/100</f>
        <v>37734.660000000003</v>
      </c>
      <c r="S121" s="35">
        <f>VLOOKUP(I121,负债!$A:$P,6,0)/100</f>
        <v>5567.91</v>
      </c>
      <c r="T121" s="37">
        <f>VLOOKUP(I121,资产!$A:$AF,2,0)/100</f>
        <v>89371.42</v>
      </c>
      <c r="U121" s="37">
        <f>VLOOKUP(I121,资产!$A:$AF,7,0)/100</f>
        <v>84776.27</v>
      </c>
      <c r="V121" s="37">
        <f>VLOOKUP(I121,负债!$A:$P,9,0)/100</f>
        <v>20407.830000000002</v>
      </c>
      <c r="W121" s="37">
        <f>VLOOKUP(I121,负债!$A:$P,6,0)/100</f>
        <v>5567.91</v>
      </c>
      <c r="X121" s="11">
        <f>VLOOKUP(I121,负债!$A:$P,2,0)/100</f>
        <v>88960.34</v>
      </c>
      <c r="Y121" s="11">
        <f t="shared" si="1"/>
        <v>63395.679999999993</v>
      </c>
    </row>
    <row r="122" spans="9:25" s="12" customFormat="1" x14ac:dyDescent="0.35">
      <c r="I122" s="24">
        <v>44657</v>
      </c>
      <c r="J122" s="11">
        <f>VLOOKUP(I122,资产!$A:$AF,8,0)/100</f>
        <v>57610.52</v>
      </c>
      <c r="K122" s="11">
        <f>VLOOKUP(I122,资产!$A:$AF,9,0)/100</f>
        <v>3260.44</v>
      </c>
      <c r="L122" s="11">
        <f>VLOOKUP(I122,资产!$A:$AF,10,0)/100</f>
        <v>49638.79</v>
      </c>
      <c r="M122" s="11">
        <f>(VLOOKUP(I122,资产!$A:$AF,13,0)+VLOOKUP(I122,资产!$A:$AF,14,0)+VLOOKUP(I122,资产!$A:$AF,15,0))/100</f>
        <v>11831.25</v>
      </c>
      <c r="N122" s="11">
        <f>VLOOKUP(I122,资产!$A:$AF,16,0)/100</f>
        <v>21681.119999999999</v>
      </c>
      <c r="O122" s="11">
        <f>VLOOKUP(I122,资产!$A:$AF,17,0)/100</f>
        <v>10062.51</v>
      </c>
      <c r="P122" s="11">
        <f>VLOOKUP(I122,资产!$A:$AF,18,0)/100</f>
        <v>14035.64</v>
      </c>
      <c r="Q122" s="11">
        <f>VLOOKUP(I122,资产!$A:$AF,20,0)/100</f>
        <v>27153.55</v>
      </c>
      <c r="R122" s="35">
        <f>VLOOKUP(I122,负债!$A:$P,5,0)/100</f>
        <v>38498.720000000001</v>
      </c>
      <c r="S122" s="35">
        <f>VLOOKUP(I122,负债!$A:$P,6,0)/100</f>
        <v>5455.84</v>
      </c>
      <c r="T122" s="37">
        <f>VLOOKUP(I122,资产!$A:$AF,2,0)/100</f>
        <v>89375.92</v>
      </c>
      <c r="U122" s="37">
        <f>VLOOKUP(I122,资产!$A:$AF,7,0)/100</f>
        <v>84787.54</v>
      </c>
      <c r="V122" s="37">
        <f>VLOOKUP(I122,负债!$A:$P,9,0)/100</f>
        <v>19756.38</v>
      </c>
      <c r="W122" s="37">
        <f>VLOOKUP(I122,负债!$A:$P,6,0)/100</f>
        <v>5455.84</v>
      </c>
      <c r="X122" s="11">
        <f>VLOOKUP(I122,负债!$A:$P,2,0)/100</f>
        <v>88964.32</v>
      </c>
      <c r="Y122" s="11">
        <f t="shared" si="1"/>
        <v>64163.7</v>
      </c>
    </row>
    <row r="123" spans="9:25" s="12" customFormat="1" x14ac:dyDescent="0.35">
      <c r="I123" s="24">
        <v>44664</v>
      </c>
      <c r="J123" s="11">
        <f>VLOOKUP(I123,资产!$A:$AF,8,0)/100</f>
        <v>57620.54</v>
      </c>
      <c r="K123" s="11">
        <f>VLOOKUP(I123,资产!$A:$AF,9,0)/100</f>
        <v>3260.44</v>
      </c>
      <c r="L123" s="11">
        <f>VLOOKUP(I123,资产!$A:$AF,10,0)/100</f>
        <v>49638.79</v>
      </c>
      <c r="M123" s="11">
        <f>(VLOOKUP(I123,资产!$A:$AF,13,0)+VLOOKUP(I123,资产!$A:$AF,14,0)+VLOOKUP(I123,资产!$A:$AF,15,0))/100</f>
        <v>11831.81</v>
      </c>
      <c r="N123" s="11">
        <f>VLOOKUP(I123,资产!$A:$AF,16,0)/100</f>
        <v>21685.01</v>
      </c>
      <c r="O123" s="11">
        <f>VLOOKUP(I123,资产!$A:$AF,17,0)/100</f>
        <v>10065.549999999999</v>
      </c>
      <c r="P123" s="11">
        <f>VLOOKUP(I123,资产!$A:$AF,18,0)/100</f>
        <v>14038.16</v>
      </c>
      <c r="Q123" s="11">
        <f>VLOOKUP(I123,资产!$A:$AF,20,0)/100</f>
        <v>27401.85</v>
      </c>
      <c r="R123" s="35">
        <f>VLOOKUP(I123,负债!$A:$P,5,0)/100</f>
        <v>37933.19</v>
      </c>
      <c r="S123" s="35">
        <f>VLOOKUP(I123,负债!$A:$P,6,0)/100</f>
        <v>5435.36</v>
      </c>
      <c r="T123" s="37">
        <f>VLOOKUP(I123,资产!$A:$AF,2,0)/100</f>
        <v>89654.87</v>
      </c>
      <c r="U123" s="37">
        <f>VLOOKUP(I123,资产!$A:$AF,7,0)/100</f>
        <v>85045.86</v>
      </c>
      <c r="V123" s="37">
        <f>VLOOKUP(I123,负债!$A:$P,9,0)/100</f>
        <v>20703.32</v>
      </c>
      <c r="W123" s="37">
        <f>VLOOKUP(I123,负债!$A:$P,6,0)/100</f>
        <v>5435.36</v>
      </c>
      <c r="X123" s="11">
        <f>VLOOKUP(I123,负债!$A:$P,2,0)/100</f>
        <v>89242.69</v>
      </c>
      <c r="Y123" s="11">
        <f t="shared" si="1"/>
        <v>63516.189999999988</v>
      </c>
    </row>
    <row r="124" spans="9:25" s="12" customFormat="1" x14ac:dyDescent="0.35">
      <c r="I124" s="24">
        <v>44671</v>
      </c>
      <c r="J124" s="11">
        <f>VLOOKUP(I124,资产!$A:$AF,8,0)/100</f>
        <v>57630.35</v>
      </c>
      <c r="K124" s="11">
        <f>VLOOKUP(I124,资产!$A:$AF,9,0)/100</f>
        <v>3260.44</v>
      </c>
      <c r="L124" s="11">
        <f>VLOOKUP(I124,资产!$A:$AF,10,0)/100</f>
        <v>49754.63</v>
      </c>
      <c r="M124" s="11">
        <f>(VLOOKUP(I124,资产!$A:$AF,13,0)+VLOOKUP(I124,资产!$A:$AF,14,0)+VLOOKUP(I124,资产!$A:$AF,15,0))/100</f>
        <v>11807.85</v>
      </c>
      <c r="N124" s="11">
        <f>VLOOKUP(I124,资产!$A:$AF,16,0)/100</f>
        <v>21584.41</v>
      </c>
      <c r="O124" s="11">
        <f>VLOOKUP(I124,资产!$A:$AF,17,0)/100</f>
        <v>10168.26</v>
      </c>
      <c r="P124" s="11">
        <f>VLOOKUP(I124,资产!$A:$AF,18,0)/100</f>
        <v>14069.84</v>
      </c>
      <c r="Q124" s="11">
        <f>VLOOKUP(I124,资产!$A:$AF,20,0)/100</f>
        <v>27306.87</v>
      </c>
      <c r="R124" s="35">
        <f>VLOOKUP(I124,负债!$A:$P,5,0)/100</f>
        <v>33268.57</v>
      </c>
      <c r="S124" s="35">
        <f>VLOOKUP(I124,负债!$A:$P,6,0)/100</f>
        <v>9075.26</v>
      </c>
      <c r="T124" s="37">
        <f>VLOOKUP(I124,资产!$A:$AF,2,0)/100</f>
        <v>89558.51</v>
      </c>
      <c r="U124" s="37">
        <f>VLOOKUP(I124,资产!$A:$AF,7,0)/100</f>
        <v>84960.7</v>
      </c>
      <c r="V124" s="37">
        <f>VLOOKUP(I124,负债!$A:$P,9,0)/100</f>
        <v>21642.77</v>
      </c>
      <c r="W124" s="37">
        <f>VLOOKUP(I124,负债!$A:$P,6,0)/100</f>
        <v>9075.26</v>
      </c>
      <c r="X124" s="11">
        <f>VLOOKUP(I124,负债!$A:$P,2,0)/100</f>
        <v>89146.06</v>
      </c>
      <c r="Y124" s="11">
        <f t="shared" si="1"/>
        <v>58840.479999999989</v>
      </c>
    </row>
    <row r="125" spans="9:25" s="12" customFormat="1" x14ac:dyDescent="0.35">
      <c r="I125" s="24">
        <v>44678</v>
      </c>
      <c r="J125" s="11">
        <f>VLOOKUP(I125,资产!$A:$AF,8,0)/100</f>
        <v>57640.13</v>
      </c>
      <c r="K125" s="11">
        <f>VLOOKUP(I125,资产!$A:$AF,9,0)/100</f>
        <v>3260.44</v>
      </c>
      <c r="L125" s="11">
        <f>VLOOKUP(I125,资产!$A:$AF,10,0)/100</f>
        <v>49754.63</v>
      </c>
      <c r="M125" s="11">
        <f>(VLOOKUP(I125,资产!$A:$AF,13,0)+VLOOKUP(I125,资产!$A:$AF,14,0)+VLOOKUP(I125,资产!$A:$AF,15,0))/100</f>
        <v>11808.45</v>
      </c>
      <c r="N125" s="11">
        <f>VLOOKUP(I125,资产!$A:$AF,16,0)/100</f>
        <v>21588.02</v>
      </c>
      <c r="O125" s="11">
        <f>VLOOKUP(I125,资产!$A:$AF,17,0)/100</f>
        <v>10171.34</v>
      </c>
      <c r="P125" s="11">
        <f>VLOOKUP(I125,资产!$A:$AF,18,0)/100</f>
        <v>14072.33</v>
      </c>
      <c r="Q125" s="11">
        <f>VLOOKUP(I125,资产!$A:$AF,20,0)/100</f>
        <v>27150.12</v>
      </c>
      <c r="R125" s="35">
        <f>VLOOKUP(I125,负债!$A:$P,5,0)/100</f>
        <v>33275.51</v>
      </c>
      <c r="S125" s="35">
        <f>VLOOKUP(I125,负债!$A:$P,6,0)/100</f>
        <v>9574.19</v>
      </c>
      <c r="T125" s="37">
        <f>VLOOKUP(I125,资产!$A:$AF,2,0)/100</f>
        <v>89391.99</v>
      </c>
      <c r="U125" s="37">
        <f>VLOOKUP(I125,资产!$A:$AF,7,0)/100</f>
        <v>84813.72</v>
      </c>
      <c r="V125" s="37">
        <f>VLOOKUP(I125,负债!$A:$P,9,0)/100</f>
        <v>20915.63</v>
      </c>
      <c r="W125" s="37">
        <f>VLOOKUP(I125,负债!$A:$P,6,0)/100</f>
        <v>9574.19</v>
      </c>
      <c r="X125" s="11">
        <f>VLOOKUP(I125,负债!$A:$P,2,0)/100</f>
        <v>88979.39</v>
      </c>
      <c r="Y125" s="11">
        <f t="shared" si="1"/>
        <v>58902.17</v>
      </c>
    </row>
    <row r="126" spans="9:25" s="12" customFormat="1" x14ac:dyDescent="0.35">
      <c r="I126" s="24">
        <v>44685</v>
      </c>
      <c r="J126" s="11">
        <f>VLOOKUP(I126,资产!$A:$AF,8,0)/100</f>
        <v>57652.29</v>
      </c>
      <c r="K126" s="11">
        <f>VLOOKUP(I126,资产!$A:$AF,9,0)/100</f>
        <v>3260.44</v>
      </c>
      <c r="L126" s="11">
        <f>VLOOKUP(I126,资产!$A:$AF,10,0)/100</f>
        <v>49754.63</v>
      </c>
      <c r="M126" s="11">
        <f>(VLOOKUP(I126,资产!$A:$AF,13,0)+VLOOKUP(I126,资产!$A:$AF,14,0)+VLOOKUP(I126,资产!$A:$AF,15,0))/100</f>
        <v>12145.89</v>
      </c>
      <c r="N126" s="11">
        <f>VLOOKUP(I126,资产!$A:$AF,16,0)/100</f>
        <v>21232.21</v>
      </c>
      <c r="O126" s="11">
        <f>VLOOKUP(I126,资产!$A:$AF,17,0)/100</f>
        <v>10176.59</v>
      </c>
      <c r="P126" s="11">
        <f>VLOOKUP(I126,资产!$A:$AF,18,0)/100</f>
        <v>14097.6</v>
      </c>
      <c r="Q126" s="11">
        <f>VLOOKUP(I126,资产!$A:$AF,20,0)/100</f>
        <v>27150.2</v>
      </c>
      <c r="R126" s="35">
        <f>VLOOKUP(I126,负债!$A:$P,5,0)/100</f>
        <v>33139.949999999997</v>
      </c>
      <c r="S126" s="35">
        <f>VLOOKUP(I126,负债!$A:$P,6,0)/100</f>
        <v>9644.1200000000008</v>
      </c>
      <c r="T126" s="37">
        <f>VLOOKUP(I126,资产!$A:$AF,2,0)/100</f>
        <v>89399.72</v>
      </c>
      <c r="U126" s="37">
        <f>VLOOKUP(I126,资产!$A:$AF,7,0)/100</f>
        <v>84825.97</v>
      </c>
      <c r="V126" s="37">
        <f>VLOOKUP(I126,负债!$A:$P,9,0)/100</f>
        <v>20985.53</v>
      </c>
      <c r="W126" s="37">
        <f>VLOOKUP(I126,负债!$A:$P,6,0)/100</f>
        <v>9644.1200000000008</v>
      </c>
      <c r="X126" s="11">
        <f>VLOOKUP(I126,负债!$A:$P,2,0)/100</f>
        <v>88987.13</v>
      </c>
      <c r="Y126" s="11">
        <f t="shared" si="1"/>
        <v>58770.07</v>
      </c>
    </row>
    <row r="127" spans="9:25" s="12" customFormat="1" x14ac:dyDescent="0.35">
      <c r="I127" s="24">
        <v>44692</v>
      </c>
      <c r="J127" s="11">
        <f>VLOOKUP(I127,资产!$A:$AF,8,0)/100</f>
        <v>57666.25</v>
      </c>
      <c r="K127" s="11">
        <f>VLOOKUP(I127,资产!$A:$AF,9,0)/100</f>
        <v>3260.44</v>
      </c>
      <c r="L127" s="11">
        <f>VLOOKUP(I127,资产!$A:$AF,10,0)/100</f>
        <v>49754.63</v>
      </c>
      <c r="M127" s="11">
        <f>(VLOOKUP(I127,资产!$A:$AF,13,0)+VLOOKUP(I127,资产!$A:$AF,14,0)+VLOOKUP(I127,资产!$A:$AF,15,0))/100</f>
        <v>12146.74</v>
      </c>
      <c r="N127" s="11">
        <f>VLOOKUP(I127,资产!$A:$AF,16,0)/100</f>
        <v>21237.37</v>
      </c>
      <c r="O127" s="11">
        <f>VLOOKUP(I127,资产!$A:$AF,17,0)/100</f>
        <v>10180.99</v>
      </c>
      <c r="P127" s="11">
        <f>VLOOKUP(I127,资产!$A:$AF,18,0)/100</f>
        <v>14101.14</v>
      </c>
      <c r="Q127" s="11">
        <f>VLOOKUP(I127,资产!$A:$AF,20,0)/100</f>
        <v>27150.21</v>
      </c>
      <c r="R127" s="35">
        <f>VLOOKUP(I127,负债!$A:$P,5,0)/100</f>
        <v>32956.81</v>
      </c>
      <c r="S127" s="35">
        <f>VLOOKUP(I127,负债!$A:$P,6,0)/100</f>
        <v>9193.31</v>
      </c>
      <c r="T127" s="37">
        <f>VLOOKUP(I127,资产!$A:$AF,2,0)/100</f>
        <v>89420.08</v>
      </c>
      <c r="U127" s="37">
        <f>VLOOKUP(I127,资产!$A:$AF,7,0)/100</f>
        <v>84839.93</v>
      </c>
      <c r="V127" s="37">
        <f>VLOOKUP(I127,负债!$A:$P,9,0)/100</f>
        <v>21747.63</v>
      </c>
      <c r="W127" s="37">
        <f>VLOOKUP(I127,负债!$A:$P,6,0)/100</f>
        <v>9193.31</v>
      </c>
      <c r="X127" s="11">
        <f>VLOOKUP(I127,负债!$A:$P,2,0)/100</f>
        <v>89003.94</v>
      </c>
      <c r="Y127" s="11">
        <f t="shared" si="1"/>
        <v>58479.14</v>
      </c>
    </row>
    <row r="128" spans="9:25" s="12" customFormat="1" x14ac:dyDescent="0.35">
      <c r="I128" s="24">
        <v>44699</v>
      </c>
      <c r="J128" s="11">
        <f>VLOOKUP(I128,资产!$A:$AF,8,0)/100</f>
        <v>57680.21</v>
      </c>
      <c r="K128" s="11">
        <f>VLOOKUP(I128,资产!$A:$AF,9,0)/100</f>
        <v>3260.44</v>
      </c>
      <c r="L128" s="11">
        <f>VLOOKUP(I128,资产!$A:$AF,10,0)/100</f>
        <v>49754.63</v>
      </c>
      <c r="M128" s="11">
        <f>(VLOOKUP(I128,资产!$A:$AF,13,0)+VLOOKUP(I128,资产!$A:$AF,14,0)+VLOOKUP(I128,资产!$A:$AF,15,0))/100</f>
        <v>11976.65</v>
      </c>
      <c r="N128" s="11">
        <f>VLOOKUP(I128,资产!$A:$AF,16,0)/100</f>
        <v>21165.08</v>
      </c>
      <c r="O128" s="11">
        <f>VLOOKUP(I128,资产!$A:$AF,17,0)/100</f>
        <v>10279.82</v>
      </c>
      <c r="P128" s="11">
        <f>VLOOKUP(I128,资产!$A:$AF,18,0)/100</f>
        <v>14258.65</v>
      </c>
      <c r="Q128" s="11">
        <f>VLOOKUP(I128,资产!$A:$AF,20,0)/100</f>
        <v>27338.23</v>
      </c>
      <c r="R128" s="35">
        <f>VLOOKUP(I128,负债!$A:$P,5,0)/100</f>
        <v>32971.42</v>
      </c>
      <c r="S128" s="35">
        <f>VLOOKUP(I128,负债!$A:$P,6,0)/100</f>
        <v>8667.26</v>
      </c>
      <c r="T128" s="37">
        <f>VLOOKUP(I128,资产!$A:$AF,2,0)/100</f>
        <v>89458.98</v>
      </c>
      <c r="U128" s="37">
        <f>VLOOKUP(I128,资产!$A:$AF,7,0)/100</f>
        <v>85041.91</v>
      </c>
      <c r="V128" s="37">
        <f>VLOOKUP(I128,负债!$A:$P,9,0)/100</f>
        <v>22416.22</v>
      </c>
      <c r="W128" s="37">
        <f>VLOOKUP(I128,负债!$A:$P,6,0)/100</f>
        <v>8667.26</v>
      </c>
      <c r="X128" s="11">
        <f>VLOOKUP(I128,负债!$A:$P,2,0)/100</f>
        <v>89042.84</v>
      </c>
      <c r="Y128" s="11">
        <f t="shared" si="1"/>
        <v>58375.499999999993</v>
      </c>
    </row>
    <row r="129" spans="9:25" s="12" customFormat="1" x14ac:dyDescent="0.35">
      <c r="I129" s="24">
        <v>44706</v>
      </c>
      <c r="J129" s="11">
        <f>VLOOKUP(I129,资产!$A:$AF,8,0)/100</f>
        <v>57694.17</v>
      </c>
      <c r="K129" s="11">
        <f>VLOOKUP(I129,资产!$A:$AF,9,0)/100</f>
        <v>3260.44</v>
      </c>
      <c r="L129" s="11">
        <f>VLOOKUP(I129,资产!$A:$AF,10,0)/100</f>
        <v>49754.63</v>
      </c>
      <c r="M129" s="11">
        <f>(VLOOKUP(I129,资产!$A:$AF,13,0)+VLOOKUP(I129,资产!$A:$AF,14,0)+VLOOKUP(I129,资产!$A:$AF,15,0))/100</f>
        <v>11977.5</v>
      </c>
      <c r="N129" s="11">
        <f>VLOOKUP(I129,资产!$A:$AF,16,0)/100</f>
        <v>21170.240000000002</v>
      </c>
      <c r="O129" s="11">
        <f>VLOOKUP(I129,资产!$A:$AF,17,0)/100</f>
        <v>10284.23</v>
      </c>
      <c r="P129" s="11">
        <f>VLOOKUP(I129,资产!$A:$AF,18,0)/100</f>
        <v>14262.2</v>
      </c>
      <c r="Q129" s="11">
        <f>VLOOKUP(I129,资产!$A:$AF,20,0)/100</f>
        <v>27074.46</v>
      </c>
      <c r="R129" s="35">
        <f>VLOOKUP(I129,负债!$A:$P,5,0)/100</f>
        <v>33150.18</v>
      </c>
      <c r="S129" s="35">
        <f>VLOOKUP(I129,负债!$A:$P,6,0)/100</f>
        <v>8017.14</v>
      </c>
      <c r="T129" s="37">
        <f>VLOOKUP(I129,资产!$A:$AF,2,0)/100</f>
        <v>89142.81</v>
      </c>
      <c r="U129" s="37">
        <f>VLOOKUP(I129,资产!$A:$AF,7,0)/100</f>
        <v>84792.1</v>
      </c>
      <c r="V129" s="37">
        <f>VLOOKUP(I129,负债!$A:$P,9,0)/100</f>
        <v>22582.21</v>
      </c>
      <c r="W129" s="37">
        <f>VLOOKUP(I129,负债!$A:$P,6,0)/100</f>
        <v>8017.14</v>
      </c>
      <c r="X129" s="11">
        <f>VLOOKUP(I129,负债!$A:$P,2,0)/100</f>
        <v>88726.68</v>
      </c>
      <c r="Y129" s="11">
        <f t="shared" si="1"/>
        <v>58543.460000000006</v>
      </c>
    </row>
    <row r="130" spans="9:25" s="12" customFormat="1" x14ac:dyDescent="0.35">
      <c r="I130" s="24">
        <v>44713</v>
      </c>
      <c r="J130" s="11">
        <f>VLOOKUP(I130,资产!$A:$AF,8,0)/100</f>
        <v>57707.79</v>
      </c>
      <c r="K130" s="11">
        <f>VLOOKUP(I130,资产!$A:$AF,9,0)/100</f>
        <v>3260.44</v>
      </c>
      <c r="L130" s="11">
        <f>VLOOKUP(I130,资产!$A:$AF,10,0)/100</f>
        <v>49733.58</v>
      </c>
      <c r="M130" s="11">
        <f>(VLOOKUP(I130,资产!$A:$AF,13,0)+VLOOKUP(I130,资产!$A:$AF,14,0)+VLOOKUP(I130,资产!$A:$AF,15,0))/100</f>
        <v>12318.58</v>
      </c>
      <c r="N130" s="11">
        <f>VLOOKUP(I130,资产!$A:$AF,16,0)/100</f>
        <v>20832.099999999999</v>
      </c>
      <c r="O130" s="11">
        <f>VLOOKUP(I130,资产!$A:$AF,17,0)/100</f>
        <v>10266.09</v>
      </c>
      <c r="P130" s="11">
        <f>VLOOKUP(I130,资产!$A:$AF,18,0)/100</f>
        <v>14291.02</v>
      </c>
      <c r="Q130" s="11">
        <f>VLOOKUP(I130,资产!$A:$AF,20,0)/100</f>
        <v>27074.46</v>
      </c>
      <c r="R130" s="35">
        <f>VLOOKUP(I130,负债!$A:$P,5,0)/100</f>
        <v>33573.949999999997</v>
      </c>
      <c r="S130" s="35">
        <f>VLOOKUP(I130,负债!$A:$P,6,0)/100</f>
        <v>7805.75</v>
      </c>
      <c r="T130" s="37">
        <f>VLOOKUP(I130,资产!$A:$AF,2,0)/100</f>
        <v>89150.5</v>
      </c>
      <c r="U130" s="37">
        <f>VLOOKUP(I130,资产!$A:$AF,7,0)/100</f>
        <v>84805.72</v>
      </c>
      <c r="V130" s="37">
        <f>VLOOKUP(I130,负债!$A:$P,9,0)/100</f>
        <v>22305.4</v>
      </c>
      <c r="W130" s="37">
        <f>VLOOKUP(I130,负债!$A:$P,6,0)/100</f>
        <v>7805.75</v>
      </c>
      <c r="X130" s="11">
        <f>VLOOKUP(I130,负债!$A:$P,2,0)/100</f>
        <v>88734.36</v>
      </c>
      <c r="Y130" s="11">
        <f t="shared" si="1"/>
        <v>59039.350000000006</v>
      </c>
    </row>
    <row r="131" spans="9:25" s="12" customFormat="1" x14ac:dyDescent="0.35">
      <c r="I131" s="24">
        <v>44720</v>
      </c>
      <c r="J131" s="11">
        <f>VLOOKUP(I131,资产!$A:$AF,8,0)/100</f>
        <v>57713.93</v>
      </c>
      <c r="K131" s="11">
        <f>VLOOKUP(I131,资产!$A:$AF,9,0)/100</f>
        <v>3260.44</v>
      </c>
      <c r="L131" s="11">
        <f>VLOOKUP(I131,资产!$A:$AF,10,0)/100</f>
        <v>49733.58</v>
      </c>
      <c r="M131" s="11">
        <f>(VLOOKUP(I131,资产!$A:$AF,13,0)+VLOOKUP(I131,资产!$A:$AF,14,0)+VLOOKUP(I131,资产!$A:$AF,15,0))/100</f>
        <v>12318.96</v>
      </c>
      <c r="N131" s="11">
        <f>VLOOKUP(I131,资产!$A:$AF,16,0)/100</f>
        <v>20834.36</v>
      </c>
      <c r="O131" s="11">
        <f>VLOOKUP(I131,资产!$A:$AF,17,0)/100</f>
        <v>10268.049999999999</v>
      </c>
      <c r="P131" s="11">
        <f>VLOOKUP(I131,资产!$A:$AF,18,0)/100</f>
        <v>14292.57</v>
      </c>
      <c r="Q131" s="11">
        <f>VLOOKUP(I131,资产!$A:$AF,20,0)/100</f>
        <v>27074.46</v>
      </c>
      <c r="R131" s="35">
        <f>VLOOKUP(I131,负债!$A:$P,5,0)/100</f>
        <v>32926.019999999997</v>
      </c>
      <c r="S131" s="35">
        <f>VLOOKUP(I131,负债!$A:$P,6,0)/100</f>
        <v>6838.92</v>
      </c>
      <c r="T131" s="37">
        <f>VLOOKUP(I131,资产!$A:$AF,2,0)/100</f>
        <v>89182.54</v>
      </c>
      <c r="U131" s="37">
        <f>VLOOKUP(I131,资产!$A:$AF,7,0)/100</f>
        <v>84811.86</v>
      </c>
      <c r="V131" s="37">
        <f>VLOOKUP(I131,负债!$A:$P,9,0)/100</f>
        <v>24043.14</v>
      </c>
      <c r="W131" s="37">
        <f>VLOOKUP(I131,负债!$A:$P,6,0)/100</f>
        <v>6838.92</v>
      </c>
      <c r="X131" s="11">
        <f>VLOOKUP(I131,负债!$A:$P,2,0)/100</f>
        <v>88765.86</v>
      </c>
      <c r="Y131" s="11">
        <f t="shared" si="1"/>
        <v>58300.479999999996</v>
      </c>
    </row>
    <row r="132" spans="9:25" s="12" customFormat="1" x14ac:dyDescent="0.35">
      <c r="I132" s="24">
        <v>44727</v>
      </c>
      <c r="J132" s="11">
        <f>VLOOKUP(I132,资产!$A:$AF,8,0)/100</f>
        <v>57627.3</v>
      </c>
      <c r="K132" s="11">
        <f>VLOOKUP(I132,资产!$A:$AF,9,0)/100</f>
        <v>3260.44</v>
      </c>
      <c r="L132" s="11">
        <f>VLOOKUP(I132,资产!$A:$AF,10,0)/100</f>
        <v>49640.82</v>
      </c>
      <c r="M132" s="11">
        <f>(VLOOKUP(I132,资产!$A:$AF,13,0)+VLOOKUP(I132,资产!$A:$AF,14,0)+VLOOKUP(I132,资产!$A:$AF,15,0))/100</f>
        <v>12291.91</v>
      </c>
      <c r="N132" s="11">
        <f>VLOOKUP(I132,资产!$A:$AF,16,0)/100</f>
        <v>20740.689999999999</v>
      </c>
      <c r="O132" s="11">
        <f>VLOOKUP(I132,资产!$A:$AF,17,0)/100</f>
        <v>10289.41</v>
      </c>
      <c r="P132" s="11">
        <f>VLOOKUP(I132,资产!$A:$AF,18,0)/100</f>
        <v>14305.29</v>
      </c>
      <c r="Q132" s="11">
        <f>VLOOKUP(I132,资产!$A:$AF,20,0)/100</f>
        <v>27275.67</v>
      </c>
      <c r="R132" s="35">
        <f>VLOOKUP(I132,负债!$A:$P,5,0)/100</f>
        <v>31896.05</v>
      </c>
      <c r="S132" s="35">
        <f>VLOOKUP(I132,负债!$A:$P,6,0)/100</f>
        <v>7699.37</v>
      </c>
      <c r="T132" s="37">
        <f>VLOOKUP(I132,资产!$A:$AF,2,0)/100</f>
        <v>89324.2</v>
      </c>
      <c r="U132" s="37">
        <f>VLOOKUP(I132,资产!$A:$AF,7,0)/100</f>
        <v>84926.44</v>
      </c>
      <c r="V132" s="37">
        <f>VLOOKUP(I132,负债!$A:$P,9,0)/100</f>
        <v>24216.04</v>
      </c>
      <c r="W132" s="37">
        <f>VLOOKUP(I132,负债!$A:$P,6,0)/100</f>
        <v>7699.37</v>
      </c>
      <c r="X132" s="11">
        <f>VLOOKUP(I132,负债!$A:$P,2,0)/100</f>
        <v>88907.47</v>
      </c>
      <c r="Y132" s="11">
        <f t="shared" si="1"/>
        <v>57408.789999999994</v>
      </c>
    </row>
    <row r="133" spans="9:25" s="12" customFormat="1" x14ac:dyDescent="0.35">
      <c r="I133" s="24">
        <v>44734</v>
      </c>
      <c r="J133" s="11">
        <f>VLOOKUP(I133,资产!$A:$AF,8,0)/100</f>
        <v>57633.440000000002</v>
      </c>
      <c r="K133" s="11">
        <f>VLOOKUP(I133,资产!$A:$AF,9,0)/100</f>
        <v>3260.44</v>
      </c>
      <c r="L133" s="11">
        <f>VLOOKUP(I133,资产!$A:$AF,10,0)/100</f>
        <v>49640.82</v>
      </c>
      <c r="M133" s="11">
        <f>(VLOOKUP(I133,资产!$A:$AF,13,0)+VLOOKUP(I133,资产!$A:$AF,14,0)+VLOOKUP(I133,资产!$A:$AF,15,0))/100</f>
        <v>12292.29</v>
      </c>
      <c r="N133" s="11">
        <f>VLOOKUP(I133,资产!$A:$AF,16,0)/100</f>
        <v>20742.95</v>
      </c>
      <c r="O133" s="11">
        <f>VLOOKUP(I133,资产!$A:$AF,17,0)/100</f>
        <v>10291.36</v>
      </c>
      <c r="P133" s="11">
        <f>VLOOKUP(I133,资产!$A:$AF,18,0)/100</f>
        <v>14306.84</v>
      </c>
      <c r="Q133" s="11">
        <f>VLOOKUP(I133,资产!$A:$AF,20,0)/100</f>
        <v>27288.15</v>
      </c>
      <c r="R133" s="35">
        <f>VLOOKUP(I133,负债!$A:$P,5,0)/100</f>
        <v>31155.94</v>
      </c>
      <c r="S133" s="35">
        <f>VLOOKUP(I133,负债!$A:$P,6,0)/100</f>
        <v>7450.52</v>
      </c>
      <c r="T133" s="37">
        <f>VLOOKUP(I133,资产!$A:$AF,2,0)/100</f>
        <v>89343.46</v>
      </c>
      <c r="U133" s="37">
        <f>VLOOKUP(I133,资产!$A:$AF,7,0)/100</f>
        <v>84945.06</v>
      </c>
      <c r="V133" s="37">
        <f>VLOOKUP(I133,负债!$A:$P,9,0)/100</f>
        <v>25161.46</v>
      </c>
      <c r="W133" s="37">
        <f>VLOOKUP(I133,负债!$A:$P,6,0)/100</f>
        <v>7450.52</v>
      </c>
      <c r="X133" s="11">
        <f>VLOOKUP(I133,负债!$A:$P,2,0)/100</f>
        <v>88926.73</v>
      </c>
      <c r="Y133" s="11">
        <f t="shared" si="1"/>
        <v>56731.48000000001</v>
      </c>
    </row>
    <row r="134" spans="9:25" s="12" customFormat="1" x14ac:dyDescent="0.35">
      <c r="I134" s="24">
        <v>44741</v>
      </c>
      <c r="J134" s="11">
        <f>VLOOKUP(I134,资产!$A:$AF,8,0)/100</f>
        <v>57639.33</v>
      </c>
      <c r="K134" s="11">
        <f>VLOOKUP(I134,资产!$A:$AF,9,0)/100</f>
        <v>3260.44</v>
      </c>
      <c r="L134" s="11">
        <f>VLOOKUP(I134,资产!$A:$AF,10,0)/100</f>
        <v>49640.57</v>
      </c>
      <c r="M134" s="11">
        <f>(VLOOKUP(I134,资产!$A:$AF,13,0)+VLOOKUP(I134,资产!$A:$AF,14,0)+VLOOKUP(I134,资产!$A:$AF,15,0))/100</f>
        <v>12292.67</v>
      </c>
      <c r="N134" s="11">
        <f>VLOOKUP(I134,资产!$A:$AF,16,0)/100</f>
        <v>20840.18</v>
      </c>
      <c r="O134" s="11">
        <f>VLOOKUP(I134,资产!$A:$AF,17,0)/100</f>
        <v>10198.34</v>
      </c>
      <c r="P134" s="11">
        <f>VLOOKUP(I134,资产!$A:$AF,18,0)/100</f>
        <v>14308.14</v>
      </c>
      <c r="Q134" s="11">
        <f>VLOOKUP(I134,资产!$A:$AF,20,0)/100</f>
        <v>27093.279999999999</v>
      </c>
      <c r="R134" s="35">
        <f>VLOOKUP(I134,负债!$A:$P,5,0)/100</f>
        <v>31186.14</v>
      </c>
      <c r="S134" s="35">
        <f>VLOOKUP(I134,负债!$A:$P,6,0)/100</f>
        <v>7598.45</v>
      </c>
      <c r="T134" s="37">
        <f>VLOOKUP(I134,资产!$A:$AF,2,0)/100</f>
        <v>89135.53</v>
      </c>
      <c r="U134" s="37">
        <f>VLOOKUP(I134,资产!$A:$AF,7,0)/100</f>
        <v>84756.08</v>
      </c>
      <c r="V134" s="37">
        <f>VLOOKUP(I134,负债!$A:$P,9,0)/100</f>
        <v>24882.47</v>
      </c>
      <c r="W134" s="37">
        <f>VLOOKUP(I134,负债!$A:$P,6,0)/100</f>
        <v>7598.45</v>
      </c>
      <c r="X134" s="11">
        <f>VLOOKUP(I134,负债!$A:$P,2,0)/100</f>
        <v>88718.49</v>
      </c>
      <c r="Y134" s="11">
        <f t="shared" ref="Y134:Y197" si="2">T134-V134-W134</f>
        <v>56654.61</v>
      </c>
    </row>
    <row r="135" spans="9:25" s="12" customFormat="1" x14ac:dyDescent="0.35">
      <c r="I135" s="24">
        <v>44748</v>
      </c>
      <c r="J135" s="11">
        <f>VLOOKUP(I135,资产!$A:$AF,8,0)/100</f>
        <v>57443.44</v>
      </c>
      <c r="K135" s="11">
        <f>VLOOKUP(I135,资产!$A:$AF,9,0)/100</f>
        <v>3260.44</v>
      </c>
      <c r="L135" s="11">
        <f>VLOOKUP(I135,资产!$A:$AF,10,0)/100</f>
        <v>49419.58</v>
      </c>
      <c r="M135" s="11">
        <f>(VLOOKUP(I135,资产!$A:$AF,13,0)+VLOOKUP(I135,资产!$A:$AF,14,0)+VLOOKUP(I135,资产!$A:$AF,15,0))/100</f>
        <v>12320.97</v>
      </c>
      <c r="N135" s="11">
        <f>VLOOKUP(I135,资产!$A:$AF,16,0)/100</f>
        <v>20568.439999999999</v>
      </c>
      <c r="O135" s="11">
        <f>VLOOKUP(I135,资产!$A:$AF,17,0)/100</f>
        <v>10232.42</v>
      </c>
      <c r="P135" s="11">
        <f>VLOOKUP(I135,资产!$A:$AF,18,0)/100</f>
        <v>14321.62</v>
      </c>
      <c r="Q135" s="11">
        <f>VLOOKUP(I135,资产!$A:$AF,20,0)/100</f>
        <v>27093.360000000001</v>
      </c>
      <c r="R135" s="35">
        <f>VLOOKUP(I135,负债!$A:$P,5,0)/100</f>
        <v>32229.31</v>
      </c>
      <c r="S135" s="35">
        <f>VLOOKUP(I135,负债!$A:$P,6,0)/100</f>
        <v>6879.43</v>
      </c>
      <c r="T135" s="37">
        <f>VLOOKUP(I135,资产!$A:$AF,2,0)/100</f>
        <v>88918.51</v>
      </c>
      <c r="U135" s="37">
        <f>VLOOKUP(I135,资产!$A:$AF,7,0)/100</f>
        <v>84560.27</v>
      </c>
      <c r="V135" s="37">
        <f>VLOOKUP(I135,负债!$A:$P,9,0)/100</f>
        <v>24406.5</v>
      </c>
      <c r="W135" s="37">
        <f>VLOOKUP(I135,负债!$A:$P,6,0)/100</f>
        <v>6879.43</v>
      </c>
      <c r="X135" s="11">
        <f>VLOOKUP(I135,负债!$A:$P,2,0)/100</f>
        <v>88501.47</v>
      </c>
      <c r="Y135" s="11">
        <f t="shared" si="2"/>
        <v>57632.579999999994</v>
      </c>
    </row>
    <row r="136" spans="9:25" s="12" customFormat="1" x14ac:dyDescent="0.35">
      <c r="I136" s="24">
        <v>44755</v>
      </c>
      <c r="J136" s="11">
        <f>VLOOKUP(I136,资产!$A:$AF,8,0)/100</f>
        <v>57455.28</v>
      </c>
      <c r="K136" s="11">
        <f>VLOOKUP(I136,资产!$A:$AF,9,0)/100</f>
        <v>3260.44</v>
      </c>
      <c r="L136" s="11">
        <f>VLOOKUP(I136,资产!$A:$AF,10,0)/100</f>
        <v>49419.58</v>
      </c>
      <c r="M136" s="11">
        <f>(VLOOKUP(I136,资产!$A:$AF,13,0)+VLOOKUP(I136,资产!$A:$AF,14,0)+VLOOKUP(I136,资产!$A:$AF,15,0))/100</f>
        <v>12321.68</v>
      </c>
      <c r="N136" s="11">
        <f>VLOOKUP(I136,资产!$A:$AF,16,0)/100</f>
        <v>20572.810000000001</v>
      </c>
      <c r="O136" s="11">
        <f>VLOOKUP(I136,资产!$A:$AF,17,0)/100</f>
        <v>10236.18</v>
      </c>
      <c r="P136" s="11">
        <f>VLOOKUP(I136,资产!$A:$AF,18,0)/100</f>
        <v>14324.61</v>
      </c>
      <c r="Q136" s="11">
        <f>VLOOKUP(I136,资产!$A:$AF,20,0)/100</f>
        <v>27093.37</v>
      </c>
      <c r="R136" s="35">
        <f>VLOOKUP(I136,负债!$A:$P,5,0)/100</f>
        <v>33065.21</v>
      </c>
      <c r="S136" s="35">
        <f>VLOOKUP(I136,负债!$A:$P,6,0)/100</f>
        <v>6187.4</v>
      </c>
      <c r="T136" s="37">
        <f>VLOOKUP(I136,资产!$A:$AF,2,0)/100</f>
        <v>88958.67</v>
      </c>
      <c r="U136" s="37">
        <f>VLOOKUP(I136,资产!$A:$AF,7,0)/100</f>
        <v>84572.12</v>
      </c>
      <c r="V136" s="37">
        <f>VLOOKUP(I136,负债!$A:$P,9,0)/100</f>
        <v>24428.400000000001</v>
      </c>
      <c r="W136" s="37">
        <f>VLOOKUP(I136,负债!$A:$P,6,0)/100</f>
        <v>6187.4</v>
      </c>
      <c r="X136" s="11">
        <f>VLOOKUP(I136,负债!$A:$P,2,0)/100</f>
        <v>88541.61</v>
      </c>
      <c r="Y136" s="11">
        <f t="shared" si="2"/>
        <v>58342.869999999995</v>
      </c>
    </row>
    <row r="137" spans="9:25" s="12" customFormat="1" x14ac:dyDescent="0.35">
      <c r="I137" s="24">
        <v>44762</v>
      </c>
      <c r="J137" s="11">
        <f>VLOOKUP(I137,资产!$A:$AF,8,0)/100</f>
        <v>57330.27</v>
      </c>
      <c r="K137" s="11">
        <f>VLOOKUP(I137,资产!$A:$AF,9,0)/100</f>
        <v>3260.44</v>
      </c>
      <c r="L137" s="11">
        <f>VLOOKUP(I137,资产!$A:$AF,10,0)/100</f>
        <v>49404.59</v>
      </c>
      <c r="M137" s="11">
        <f>(VLOOKUP(I137,资产!$A:$AF,13,0)+VLOOKUP(I137,资产!$A:$AF,14,0)+VLOOKUP(I137,资产!$A:$AF,15,0))/100</f>
        <v>12249.43</v>
      </c>
      <c r="N137" s="11">
        <f>VLOOKUP(I137,资产!$A:$AF,16,0)/100</f>
        <v>20537.740000000002</v>
      </c>
      <c r="O137" s="11">
        <f>VLOOKUP(I137,资产!$A:$AF,17,0)/100</f>
        <v>10191.290000000001</v>
      </c>
      <c r="P137" s="11">
        <f>VLOOKUP(I137,资产!$A:$AF,18,0)/100</f>
        <v>14351.81</v>
      </c>
      <c r="Q137" s="11">
        <f>VLOOKUP(I137,资产!$A:$AF,20,0)/100</f>
        <v>27262.61</v>
      </c>
      <c r="R137" s="35">
        <f>VLOOKUP(I137,负债!$A:$P,5,0)/100</f>
        <v>32351.72</v>
      </c>
      <c r="S137" s="35">
        <f>VLOOKUP(I137,负债!$A:$P,6,0)/100</f>
        <v>6163.48</v>
      </c>
      <c r="T137" s="37">
        <f>VLOOKUP(I137,资产!$A:$AF,2,0)/100</f>
        <v>88992.13</v>
      </c>
      <c r="U137" s="37">
        <f>VLOOKUP(I137,资产!$A:$AF,7,0)/100</f>
        <v>84616.36</v>
      </c>
      <c r="V137" s="37">
        <f>VLOOKUP(I137,负债!$A:$P,9,0)/100</f>
        <v>25344.75</v>
      </c>
      <c r="W137" s="37">
        <f>VLOOKUP(I137,负债!$A:$P,6,0)/100</f>
        <v>6163.48</v>
      </c>
      <c r="X137" s="11">
        <f>VLOOKUP(I137,负债!$A:$P,2,0)/100</f>
        <v>88575.06</v>
      </c>
      <c r="Y137" s="11">
        <f t="shared" si="2"/>
        <v>57483.900000000009</v>
      </c>
    </row>
    <row r="138" spans="9:25" s="12" customFormat="1" x14ac:dyDescent="0.35">
      <c r="I138" s="24">
        <v>44769</v>
      </c>
      <c r="J138" s="11">
        <f>VLOOKUP(I138,资产!$A:$AF,8,0)/100</f>
        <v>57341.8</v>
      </c>
      <c r="K138" s="11">
        <f>VLOOKUP(I138,资产!$A:$AF,9,0)/100</f>
        <v>3260.44</v>
      </c>
      <c r="L138" s="11">
        <f>VLOOKUP(I138,资产!$A:$AF,10,0)/100</f>
        <v>49404.59</v>
      </c>
      <c r="M138" s="11">
        <f>(VLOOKUP(I138,资产!$A:$AF,13,0)+VLOOKUP(I138,资产!$A:$AF,14,0)+VLOOKUP(I138,资产!$A:$AF,15,0))/100</f>
        <v>12249.96</v>
      </c>
      <c r="N138" s="11">
        <f>VLOOKUP(I138,资产!$A:$AF,16,0)/100</f>
        <v>20542.23</v>
      </c>
      <c r="O138" s="11">
        <f>VLOOKUP(I138,资产!$A:$AF,17,0)/100</f>
        <v>10194.83</v>
      </c>
      <c r="P138" s="11">
        <f>VLOOKUP(I138,资产!$A:$AF,18,0)/100</f>
        <v>14354.79</v>
      </c>
      <c r="Q138" s="11">
        <f>VLOOKUP(I138,资产!$A:$AF,20,0)/100</f>
        <v>27173.79</v>
      </c>
      <c r="R138" s="35">
        <f>VLOOKUP(I138,负债!$A:$P,5,0)/100</f>
        <v>32756.09</v>
      </c>
      <c r="S138" s="35">
        <f>VLOOKUP(I138,负债!$A:$P,6,0)/100</f>
        <v>6155.15</v>
      </c>
      <c r="T138" s="37">
        <f>VLOOKUP(I138,资产!$A:$AF,2,0)/100</f>
        <v>88900.04</v>
      </c>
      <c r="U138" s="37">
        <f>VLOOKUP(I138,资产!$A:$AF,7,0)/100</f>
        <v>84539.07</v>
      </c>
      <c r="V138" s="37">
        <f>VLOOKUP(I138,负债!$A:$P,9,0)/100</f>
        <v>24842.53</v>
      </c>
      <c r="W138" s="37">
        <f>VLOOKUP(I138,负债!$A:$P,6,0)/100</f>
        <v>6155.15</v>
      </c>
      <c r="X138" s="11">
        <f>VLOOKUP(I138,负债!$A:$P,2,0)/100</f>
        <v>88482.95</v>
      </c>
      <c r="Y138" s="11">
        <f t="shared" si="2"/>
        <v>57902.359999999993</v>
      </c>
    </row>
    <row r="139" spans="9:25" s="12" customFormat="1" x14ac:dyDescent="0.35">
      <c r="I139" s="24">
        <v>44776</v>
      </c>
      <c r="J139" s="11">
        <f>VLOOKUP(I139,资产!$A:$AF,8,0)/100</f>
        <v>57191.19</v>
      </c>
      <c r="K139" s="11">
        <f>VLOOKUP(I139,资产!$A:$AF,9,0)/100</f>
        <v>3260.44</v>
      </c>
      <c r="L139" s="11">
        <f>VLOOKUP(I139,资产!$A:$AF,10,0)/100</f>
        <v>49241.16</v>
      </c>
      <c r="M139" s="11">
        <f>(VLOOKUP(I139,资产!$A:$AF,13,0)+VLOOKUP(I139,资产!$A:$AF,14,0)+VLOOKUP(I139,资产!$A:$AF,15,0))/100</f>
        <v>12255.96</v>
      </c>
      <c r="N139" s="11">
        <f>VLOOKUP(I139,资产!$A:$AF,16,0)/100</f>
        <v>20387.650000000001</v>
      </c>
      <c r="O139" s="11">
        <f>VLOOKUP(I139,资产!$A:$AF,17,0)/100</f>
        <v>10177.34</v>
      </c>
      <c r="P139" s="11">
        <f>VLOOKUP(I139,资产!$A:$AF,18,0)/100</f>
        <v>14370.25</v>
      </c>
      <c r="Q139" s="11">
        <f>VLOOKUP(I139,资产!$A:$AF,20,0)/100</f>
        <v>27175.52</v>
      </c>
      <c r="R139" s="35">
        <f>VLOOKUP(I139,负债!$A:$P,5,0)/100</f>
        <v>33425.19</v>
      </c>
      <c r="S139" s="35">
        <f>VLOOKUP(I139,负债!$A:$P,6,0)/100</f>
        <v>5665.77</v>
      </c>
      <c r="T139" s="37">
        <f>VLOOKUP(I139,资产!$A:$AF,2,0)/100</f>
        <v>88746.2</v>
      </c>
      <c r="U139" s="37">
        <f>VLOOKUP(I139,资产!$A:$AF,7,0)/100</f>
        <v>84390.18</v>
      </c>
      <c r="V139" s="37">
        <f>VLOOKUP(I139,负债!$A:$P,9,0)/100</f>
        <v>24478.400000000001</v>
      </c>
      <c r="W139" s="37">
        <f>VLOOKUP(I139,负债!$A:$P,6,0)/100</f>
        <v>5665.77</v>
      </c>
      <c r="X139" s="11">
        <f>VLOOKUP(I139,负债!$A:$P,2,0)/100</f>
        <v>88329.09</v>
      </c>
      <c r="Y139" s="11">
        <f t="shared" si="2"/>
        <v>58602.03</v>
      </c>
    </row>
    <row r="140" spans="9:25" s="12" customFormat="1" x14ac:dyDescent="0.35">
      <c r="I140" s="24">
        <v>44783</v>
      </c>
      <c r="J140" s="11">
        <f>VLOOKUP(I140,资产!$A:$AF,8,0)/100</f>
        <v>57205.72</v>
      </c>
      <c r="K140" s="11">
        <f>VLOOKUP(I140,资产!$A:$AF,9,0)/100</f>
        <v>3260.44</v>
      </c>
      <c r="L140" s="11">
        <f>VLOOKUP(I140,资产!$A:$AF,10,0)/100</f>
        <v>49241.16</v>
      </c>
      <c r="M140" s="11">
        <f>(VLOOKUP(I140,资产!$A:$AF,13,0)+VLOOKUP(I140,资产!$A:$AF,14,0)+VLOOKUP(I140,资产!$A:$AF,15,0))/100</f>
        <v>12256.62</v>
      </c>
      <c r="N140" s="11">
        <f>VLOOKUP(I140,资产!$A:$AF,16,0)/100</f>
        <v>20393.3</v>
      </c>
      <c r="O140" s="11">
        <f>VLOOKUP(I140,资产!$A:$AF,17,0)/100</f>
        <v>10181.799999999999</v>
      </c>
      <c r="P140" s="11">
        <f>VLOOKUP(I140,资产!$A:$AF,18,0)/100</f>
        <v>14374</v>
      </c>
      <c r="Q140" s="11">
        <f>VLOOKUP(I140,资产!$A:$AF,20,0)/100</f>
        <v>27175.68</v>
      </c>
      <c r="R140" s="35">
        <f>VLOOKUP(I140,负债!$A:$P,5,0)/100</f>
        <v>33574.94</v>
      </c>
      <c r="S140" s="35">
        <f>VLOOKUP(I140,负债!$A:$P,6,0)/100</f>
        <v>5611.4</v>
      </c>
      <c r="T140" s="37">
        <f>VLOOKUP(I140,资产!$A:$AF,2,0)/100</f>
        <v>88791.38</v>
      </c>
      <c r="U140" s="37">
        <f>VLOOKUP(I140,资产!$A:$AF,7,0)/100</f>
        <v>84404.87</v>
      </c>
      <c r="V140" s="37">
        <f>VLOOKUP(I140,负债!$A:$P,9,0)/100</f>
        <v>24456.99</v>
      </c>
      <c r="W140" s="37">
        <f>VLOOKUP(I140,负债!$A:$P,6,0)/100</f>
        <v>5611.4</v>
      </c>
      <c r="X140" s="11">
        <f>VLOOKUP(I140,负债!$A:$P,2,0)/100</f>
        <v>88373.43</v>
      </c>
      <c r="Y140" s="11">
        <f t="shared" si="2"/>
        <v>58722.99</v>
      </c>
    </row>
    <row r="141" spans="9:25" s="12" customFormat="1" x14ac:dyDescent="0.35">
      <c r="I141" s="24">
        <v>44790</v>
      </c>
      <c r="J141" s="11">
        <f>VLOOKUP(I141,资产!$A:$AF,8,0)/100</f>
        <v>56991.75</v>
      </c>
      <c r="K141" s="11">
        <f>VLOOKUP(I141,资产!$A:$AF,9,0)/100</f>
        <v>3260.44</v>
      </c>
      <c r="L141" s="11">
        <f>VLOOKUP(I141,资产!$A:$AF,10,0)/100</f>
        <v>49012.67</v>
      </c>
      <c r="M141" s="11">
        <f>(VLOOKUP(I141,资产!$A:$AF,13,0)+VLOOKUP(I141,资产!$A:$AF,14,0)+VLOOKUP(I141,资产!$A:$AF,15,0))/100</f>
        <v>12220.79</v>
      </c>
      <c r="N141" s="11">
        <f>VLOOKUP(I141,资产!$A:$AF,16,0)/100</f>
        <v>20171.63</v>
      </c>
      <c r="O141" s="11">
        <f>VLOOKUP(I141,资产!$A:$AF,17,0)/100</f>
        <v>9867.3799999999992</v>
      </c>
      <c r="P141" s="11">
        <f>VLOOKUP(I141,资产!$A:$AF,18,0)/100</f>
        <v>14731.95</v>
      </c>
      <c r="Q141" s="11">
        <f>VLOOKUP(I141,资产!$A:$AF,20,0)/100</f>
        <v>27274.73</v>
      </c>
      <c r="R141" s="35">
        <f>VLOOKUP(I141,负债!$A:$P,5,0)/100</f>
        <v>33337</v>
      </c>
      <c r="S141" s="35">
        <f>VLOOKUP(I141,负债!$A:$P,6,0)/100</f>
        <v>5392.78</v>
      </c>
      <c r="T141" s="37">
        <f>VLOOKUP(I141,资产!$A:$AF,2,0)/100</f>
        <v>88497.62</v>
      </c>
      <c r="U141" s="37">
        <f>VLOOKUP(I141,资产!$A:$AF,7,0)/100</f>
        <v>84289.95</v>
      </c>
      <c r="V141" s="37">
        <f>VLOOKUP(I141,负债!$A:$P,9,0)/100</f>
        <v>24678.48</v>
      </c>
      <c r="W141" s="37">
        <f>VLOOKUP(I141,负债!$A:$P,6,0)/100</f>
        <v>5392.78</v>
      </c>
      <c r="X141" s="11">
        <f>VLOOKUP(I141,负债!$A:$P,2,0)/100</f>
        <v>88079.66</v>
      </c>
      <c r="Y141" s="11">
        <f t="shared" si="2"/>
        <v>58426.36</v>
      </c>
    </row>
    <row r="142" spans="9:25" s="12" customFormat="1" x14ac:dyDescent="0.35">
      <c r="I142" s="24">
        <v>44797</v>
      </c>
      <c r="J142" s="11">
        <f>VLOOKUP(I142,资产!$A:$AF,8,0)/100</f>
        <v>57006.28</v>
      </c>
      <c r="K142" s="11">
        <f>VLOOKUP(I142,资产!$A:$AF,9,0)/100</f>
        <v>3260.44</v>
      </c>
      <c r="L142" s="11">
        <f>VLOOKUP(I142,资产!$A:$AF,10,0)/100</f>
        <v>49012.67</v>
      </c>
      <c r="M142" s="11">
        <f>(VLOOKUP(I142,资产!$A:$AF,13,0)+VLOOKUP(I142,资产!$A:$AF,14,0)+VLOOKUP(I142,资产!$A:$AF,15,0))/100</f>
        <v>12221.45</v>
      </c>
      <c r="N142" s="11">
        <f>VLOOKUP(I142,资产!$A:$AF,16,0)/100</f>
        <v>20177.28</v>
      </c>
      <c r="O142" s="11">
        <f>VLOOKUP(I142,资产!$A:$AF,17,0)/100</f>
        <v>10093.209999999999</v>
      </c>
      <c r="P142" s="11">
        <f>VLOOKUP(I142,资产!$A:$AF,18,0)/100</f>
        <v>14514.34</v>
      </c>
      <c r="Q142" s="11">
        <f>VLOOKUP(I142,资产!$A:$AF,20,0)/100</f>
        <v>27259.06</v>
      </c>
      <c r="R142" s="35">
        <f>VLOOKUP(I142,负债!$A:$P,5,0)/100</f>
        <v>32709.13</v>
      </c>
      <c r="S142" s="35">
        <f>VLOOKUP(I142,负债!$A:$P,6,0)/100</f>
        <v>5301.96</v>
      </c>
      <c r="T142" s="37">
        <f>VLOOKUP(I142,资产!$A:$AF,2,0)/100</f>
        <v>88514.36</v>
      </c>
      <c r="U142" s="37">
        <f>VLOOKUP(I142,资产!$A:$AF,7,0)/100</f>
        <v>84288.81</v>
      </c>
      <c r="V142" s="37">
        <f>VLOOKUP(I142,负债!$A:$P,9,0)/100</f>
        <v>24943.599999999999</v>
      </c>
      <c r="W142" s="37">
        <f>VLOOKUP(I142,负债!$A:$P,6,0)/100</f>
        <v>5301.96</v>
      </c>
      <c r="X142" s="11">
        <f>VLOOKUP(I142,负债!$A:$P,2,0)/100</f>
        <v>88096.39</v>
      </c>
      <c r="Y142" s="11">
        <f t="shared" si="2"/>
        <v>58268.800000000003</v>
      </c>
    </row>
    <row r="143" spans="9:25" s="12" customFormat="1" x14ac:dyDescent="0.35">
      <c r="I143" s="24">
        <v>44804</v>
      </c>
      <c r="J143" s="11">
        <f>VLOOKUP(I143,资产!$A:$AF,8,0)/100</f>
        <v>56949.97</v>
      </c>
      <c r="K143" s="11">
        <f>VLOOKUP(I143,资产!$A:$AF,9,0)/100</f>
        <v>3260.44</v>
      </c>
      <c r="L143" s="11">
        <f>VLOOKUP(I143,资产!$A:$AF,10,0)/100</f>
        <v>48930.74</v>
      </c>
      <c r="M143" s="11">
        <f>(VLOOKUP(I143,资产!$A:$AF,13,0)+VLOOKUP(I143,资产!$A:$AF,14,0)+VLOOKUP(I143,资产!$A:$AF,15,0))/100</f>
        <v>12287.09</v>
      </c>
      <c r="N143" s="11">
        <f>VLOOKUP(I143,资产!$A:$AF,16,0)/100</f>
        <v>20104.8</v>
      </c>
      <c r="O143" s="11">
        <f>VLOOKUP(I143,资产!$A:$AF,17,0)/100</f>
        <v>10009.36</v>
      </c>
      <c r="P143" s="11">
        <f>VLOOKUP(I143,资产!$A:$AF,18,0)/100</f>
        <v>14548.71</v>
      </c>
      <c r="Q143" s="11">
        <f>VLOOKUP(I143,资产!$A:$AF,20,0)/100</f>
        <v>27092.880000000001</v>
      </c>
      <c r="R143" s="35">
        <f>VLOOKUP(I143,负债!$A:$P,5,0)/100</f>
        <v>31158.49</v>
      </c>
      <c r="S143" s="35">
        <f>VLOOKUP(I143,负债!$A:$P,6,0)/100</f>
        <v>6699.11</v>
      </c>
      <c r="T143" s="37">
        <f>VLOOKUP(I143,资产!$A:$AF,2,0)/100</f>
        <v>88260.93</v>
      </c>
      <c r="U143" s="37">
        <f>VLOOKUP(I143,资产!$A:$AF,7,0)/100</f>
        <v>84066.32</v>
      </c>
      <c r="V143" s="37">
        <f>VLOOKUP(I143,负债!$A:$P,9,0)/100</f>
        <v>25282.84</v>
      </c>
      <c r="W143" s="37">
        <f>VLOOKUP(I143,负债!$A:$P,6,0)/100</f>
        <v>6699.11</v>
      </c>
      <c r="X143" s="11">
        <f>VLOOKUP(I143,负债!$A:$P,2,0)/100</f>
        <v>87842.92</v>
      </c>
      <c r="Y143" s="11">
        <f t="shared" si="2"/>
        <v>56278.979999999996</v>
      </c>
    </row>
    <row r="144" spans="9:25" s="12" customFormat="1" x14ac:dyDescent="0.35">
      <c r="I144" s="24">
        <v>44811</v>
      </c>
      <c r="J144" s="11">
        <f>VLOOKUP(I144,资产!$A:$AF,8,0)/100</f>
        <v>56907.6</v>
      </c>
      <c r="K144" s="11">
        <f>VLOOKUP(I144,资产!$A:$AF,9,0)/100</f>
        <v>3218.2</v>
      </c>
      <c r="L144" s="11">
        <f>VLOOKUP(I144,资产!$A:$AF,10,0)/100</f>
        <v>48930.74</v>
      </c>
      <c r="M144" s="11">
        <f>(VLOOKUP(I144,资产!$A:$AF,13,0)+VLOOKUP(I144,资产!$A:$AF,14,0)+VLOOKUP(I144,资产!$A:$AF,15,0))/100</f>
        <v>12244.86</v>
      </c>
      <c r="N144" s="11">
        <f>VLOOKUP(I144,资产!$A:$AF,16,0)/100</f>
        <v>20104.75</v>
      </c>
      <c r="O144" s="11">
        <f>VLOOKUP(I144,资产!$A:$AF,17,0)/100</f>
        <v>10009.32</v>
      </c>
      <c r="P144" s="11">
        <f>VLOOKUP(I144,资产!$A:$AF,18,0)/100</f>
        <v>14548.68</v>
      </c>
      <c r="Q144" s="11">
        <f>VLOOKUP(I144,资产!$A:$AF,20,0)/100</f>
        <v>27092.91</v>
      </c>
      <c r="R144" s="35">
        <f>VLOOKUP(I144,负债!$A:$P,5,0)/100</f>
        <v>32713.360000000001</v>
      </c>
      <c r="S144" s="35">
        <f>VLOOKUP(I144,负债!$A:$P,6,0)/100</f>
        <v>5829.21</v>
      </c>
      <c r="T144" s="37">
        <f>VLOOKUP(I144,资产!$A:$AF,2,0)/100</f>
        <v>88224.01</v>
      </c>
      <c r="U144" s="37">
        <f>VLOOKUP(I144,资产!$A:$AF,7,0)/100</f>
        <v>84023.99</v>
      </c>
      <c r="V144" s="37">
        <f>VLOOKUP(I144,负债!$A:$P,9,0)/100</f>
        <v>24598.98</v>
      </c>
      <c r="W144" s="37">
        <f>VLOOKUP(I144,负债!$A:$P,6,0)/100</f>
        <v>5829.21</v>
      </c>
      <c r="X144" s="11">
        <f>VLOOKUP(I144,负债!$A:$P,2,0)/100</f>
        <v>87805.66</v>
      </c>
      <c r="Y144" s="11">
        <f t="shared" si="2"/>
        <v>57795.82</v>
      </c>
    </row>
    <row r="145" spans="9:25" s="12" customFormat="1" x14ac:dyDescent="0.35">
      <c r="I145" s="24">
        <v>44818</v>
      </c>
      <c r="J145" s="11">
        <f>VLOOKUP(I145,资产!$A:$AF,8,0)/100</f>
        <v>56870.31</v>
      </c>
      <c r="K145" s="11">
        <f>VLOOKUP(I145,资产!$A:$AF,9,0)/100</f>
        <v>3181.05</v>
      </c>
      <c r="L145" s="11">
        <f>VLOOKUP(I145,资产!$A:$AF,10,0)/100</f>
        <v>48930.74</v>
      </c>
      <c r="M145" s="11">
        <f>(VLOOKUP(I145,资产!$A:$AF,13,0)+VLOOKUP(I145,资产!$A:$AF,14,0)+VLOOKUP(I145,资产!$A:$AF,15,0))/100</f>
        <v>12207.69</v>
      </c>
      <c r="N145" s="11">
        <f>VLOOKUP(I145,资产!$A:$AF,16,0)/100</f>
        <v>20104.7</v>
      </c>
      <c r="O145" s="11">
        <f>VLOOKUP(I145,资产!$A:$AF,17,0)/100</f>
        <v>10009.280000000001</v>
      </c>
      <c r="P145" s="11">
        <f>VLOOKUP(I145,资产!$A:$AF,18,0)/100</f>
        <v>14548.64</v>
      </c>
      <c r="Q145" s="11">
        <f>VLOOKUP(I145,资产!$A:$AF,20,0)/100</f>
        <v>27185.26</v>
      </c>
      <c r="R145" s="35">
        <f>VLOOKUP(I145,负债!$A:$P,5,0)/100</f>
        <v>31586.97</v>
      </c>
      <c r="S145" s="35">
        <f>VLOOKUP(I145,负债!$A:$P,6,0)/100</f>
        <v>6179.97</v>
      </c>
      <c r="T145" s="37">
        <f>VLOOKUP(I145,资产!$A:$AF,2,0)/100</f>
        <v>88327.59</v>
      </c>
      <c r="U145" s="37">
        <f>VLOOKUP(I145,资产!$A:$AF,7,0)/100</f>
        <v>84079.039999999994</v>
      </c>
      <c r="V145" s="37">
        <f>VLOOKUP(I145,负债!$A:$P,9,0)/100</f>
        <v>25266.89</v>
      </c>
      <c r="W145" s="37">
        <f>VLOOKUP(I145,负债!$A:$P,6,0)/100</f>
        <v>6179.97</v>
      </c>
      <c r="X145" s="11">
        <f>VLOOKUP(I145,负债!$A:$P,2,0)/100</f>
        <v>87909.25</v>
      </c>
      <c r="Y145" s="11">
        <f t="shared" si="2"/>
        <v>56880.729999999996</v>
      </c>
    </row>
    <row r="146" spans="9:25" s="12" customFormat="1" x14ac:dyDescent="0.35">
      <c r="I146" s="24">
        <v>44825</v>
      </c>
      <c r="J146" s="11">
        <f>VLOOKUP(I146,资产!$A:$AF,8,0)/100</f>
        <v>56739.19</v>
      </c>
      <c r="K146" s="11">
        <f>VLOOKUP(I146,资产!$A:$AF,9,0)/100</f>
        <v>3147.92</v>
      </c>
      <c r="L146" s="11">
        <f>VLOOKUP(I146,资产!$A:$AF,10,0)/100</f>
        <v>48832.88</v>
      </c>
      <c r="M146" s="11">
        <f>(VLOOKUP(I146,资产!$A:$AF,13,0)+VLOOKUP(I146,资产!$A:$AF,14,0)+VLOOKUP(I146,资产!$A:$AF,15,0))/100</f>
        <v>12245.89</v>
      </c>
      <c r="N146" s="11">
        <f>VLOOKUP(I146,资产!$A:$AF,16,0)/100</f>
        <v>19935.45</v>
      </c>
      <c r="O146" s="11">
        <f>VLOOKUP(I146,资产!$A:$AF,17,0)/100</f>
        <v>10009.24</v>
      </c>
      <c r="P146" s="11">
        <f>VLOOKUP(I146,资产!$A:$AF,18,0)/100</f>
        <v>14548.61</v>
      </c>
      <c r="Q146" s="11">
        <f>VLOOKUP(I146,资产!$A:$AF,20,0)/100</f>
        <v>27148.87</v>
      </c>
      <c r="R146" s="35">
        <f>VLOOKUP(I146,负债!$A:$P,5,0)/100</f>
        <v>30037.41</v>
      </c>
      <c r="S146" s="35">
        <f>VLOOKUP(I146,负债!$A:$P,6,0)/100</f>
        <v>6902.86</v>
      </c>
      <c r="T146" s="37">
        <f>VLOOKUP(I146,资产!$A:$AF,2,0)/100</f>
        <v>88168.02</v>
      </c>
      <c r="U146" s="37">
        <f>VLOOKUP(I146,资产!$A:$AF,7,0)/100</f>
        <v>83911.53</v>
      </c>
      <c r="V146" s="37">
        <f>VLOOKUP(I146,负债!$A:$P,9,0)/100</f>
        <v>26113.68</v>
      </c>
      <c r="W146" s="37">
        <f>VLOOKUP(I146,负债!$A:$P,6,0)/100</f>
        <v>6902.86</v>
      </c>
      <c r="X146" s="11">
        <f>VLOOKUP(I146,负债!$A:$P,2,0)/100</f>
        <v>87749.54</v>
      </c>
      <c r="Y146" s="11">
        <f t="shared" si="2"/>
        <v>55151.48</v>
      </c>
    </row>
    <row r="147" spans="9:25" s="12" customFormat="1" x14ac:dyDescent="0.35">
      <c r="I147" s="24">
        <v>44832</v>
      </c>
      <c r="J147" s="11">
        <f>VLOOKUP(I147,资产!$A:$AF,8,0)/100</f>
        <v>56718.48</v>
      </c>
      <c r="K147" s="11">
        <f>VLOOKUP(I147,资产!$A:$AF,9,0)/100</f>
        <v>3127.34</v>
      </c>
      <c r="L147" s="11">
        <f>VLOOKUP(I147,资产!$A:$AF,10,0)/100</f>
        <v>48832.88</v>
      </c>
      <c r="M147" s="11">
        <f>(VLOOKUP(I147,资产!$A:$AF,13,0)+VLOOKUP(I147,资产!$A:$AF,14,0)+VLOOKUP(I147,资产!$A:$AF,15,0))/100</f>
        <v>12225.3</v>
      </c>
      <c r="N147" s="11">
        <f>VLOOKUP(I147,资产!$A:$AF,16,0)/100</f>
        <v>19935.400000000001</v>
      </c>
      <c r="O147" s="11">
        <f>VLOOKUP(I147,资产!$A:$AF,17,0)/100</f>
        <v>10009.200000000001</v>
      </c>
      <c r="P147" s="11">
        <f>VLOOKUP(I147,资产!$A:$AF,18,0)/100</f>
        <v>14548.57</v>
      </c>
      <c r="Q147" s="11">
        <f>VLOOKUP(I147,资产!$A:$AF,20,0)/100</f>
        <v>26981.58</v>
      </c>
      <c r="R147" s="35">
        <f>VLOOKUP(I147,负债!$A:$P,5,0)/100</f>
        <v>29832.080000000002</v>
      </c>
      <c r="S147" s="35">
        <f>VLOOKUP(I147,负债!$A:$P,6,0)/100</f>
        <v>6619.2</v>
      </c>
      <c r="T147" s="37">
        <f>VLOOKUP(I147,资产!$A:$AF,2,0)/100</f>
        <v>87955.67</v>
      </c>
      <c r="U147" s="37">
        <f>VLOOKUP(I147,资产!$A:$AF,7,0)/100</f>
        <v>83723.53</v>
      </c>
      <c r="V147" s="37">
        <f>VLOOKUP(I147,负债!$A:$P,9,0)/100</f>
        <v>26382.89</v>
      </c>
      <c r="W147" s="37">
        <f>VLOOKUP(I147,负债!$A:$P,6,0)/100</f>
        <v>6619.2</v>
      </c>
      <c r="X147" s="11">
        <f>VLOOKUP(I147,负债!$A:$P,2,0)/100</f>
        <v>87537.2</v>
      </c>
      <c r="Y147" s="11">
        <f t="shared" si="2"/>
        <v>54953.58</v>
      </c>
    </row>
    <row r="148" spans="9:25" s="12" customFormat="1" x14ac:dyDescent="0.35">
      <c r="I148" s="24">
        <v>44839</v>
      </c>
      <c r="J148" s="11">
        <f>VLOOKUP(I148,资产!$A:$AF,8,0)/100</f>
        <v>56339.26</v>
      </c>
      <c r="K148" s="11">
        <f>VLOOKUP(I148,资产!$A:$AF,9,0)/100</f>
        <v>3086.99</v>
      </c>
      <c r="L148" s="11">
        <f>VLOOKUP(I148,资产!$A:$AF,10,0)/100</f>
        <v>48494.32</v>
      </c>
      <c r="M148" s="11">
        <f>(VLOOKUP(I148,资产!$A:$AF,13,0)+VLOOKUP(I148,资产!$A:$AF,14,0)+VLOOKUP(I148,资产!$A:$AF,15,0))/100</f>
        <v>12071.2</v>
      </c>
      <c r="N148" s="11">
        <f>VLOOKUP(I148,资产!$A:$AF,16,0)/100</f>
        <v>19799.740000000002</v>
      </c>
      <c r="O148" s="11">
        <f>VLOOKUP(I148,资产!$A:$AF,17,0)/100</f>
        <v>9919.82</v>
      </c>
      <c r="P148" s="11">
        <f>VLOOKUP(I148,资产!$A:$AF,18,0)/100</f>
        <v>14548.49</v>
      </c>
      <c r="Q148" s="11">
        <f>VLOOKUP(I148,资产!$A:$AF,20,0)/100</f>
        <v>26981.58</v>
      </c>
      <c r="R148" s="35">
        <f>VLOOKUP(I148,负债!$A:$P,5,0)/100</f>
        <v>30764.5</v>
      </c>
      <c r="S148" s="35">
        <f>VLOOKUP(I148,负债!$A:$P,6,0)/100</f>
        <v>6221.31</v>
      </c>
      <c r="T148" s="37">
        <f>VLOOKUP(I148,资产!$A:$AF,2,0)/100</f>
        <v>87590.53</v>
      </c>
      <c r="U148" s="37">
        <f>VLOOKUP(I148,资产!$A:$AF,7,0)/100</f>
        <v>83344.31</v>
      </c>
      <c r="V148" s="37">
        <f>VLOOKUP(I148,负债!$A:$P,9,0)/100</f>
        <v>25448.45</v>
      </c>
      <c r="W148" s="37">
        <f>VLOOKUP(I148,负债!$A:$P,6,0)/100</f>
        <v>6221.31</v>
      </c>
      <c r="X148" s="11">
        <f>VLOOKUP(I148,负债!$A:$P,2,0)/100</f>
        <v>87171.94</v>
      </c>
      <c r="Y148" s="11">
        <f t="shared" si="2"/>
        <v>55920.770000000004</v>
      </c>
    </row>
    <row r="149" spans="9:25" s="12" customFormat="1" x14ac:dyDescent="0.35">
      <c r="I149" s="24">
        <v>44846</v>
      </c>
      <c r="J149" s="11">
        <f>VLOOKUP(I149,资产!$A:$AF,8,0)/100</f>
        <v>56298.41</v>
      </c>
      <c r="K149" s="11">
        <f>VLOOKUP(I149,资产!$A:$AF,9,0)/100</f>
        <v>3046.52</v>
      </c>
      <c r="L149" s="11">
        <f>VLOOKUP(I149,资产!$A:$AF,10,0)/100</f>
        <v>48494.32</v>
      </c>
      <c r="M149" s="11">
        <f>(VLOOKUP(I149,资产!$A:$AF,13,0)+VLOOKUP(I149,资产!$A:$AF,14,0)+VLOOKUP(I149,资产!$A:$AF,15,0))/100</f>
        <v>12030.71</v>
      </c>
      <c r="N149" s="11">
        <f>VLOOKUP(I149,资产!$A:$AF,16,0)/100</f>
        <v>19799.599999999999</v>
      </c>
      <c r="O149" s="11">
        <f>VLOOKUP(I149,资产!$A:$AF,17,0)/100</f>
        <v>9919.7099999999991</v>
      </c>
      <c r="P149" s="11">
        <f>VLOOKUP(I149,资产!$A:$AF,18,0)/100</f>
        <v>14548.39</v>
      </c>
      <c r="Q149" s="11">
        <f>VLOOKUP(I149,资产!$A:$AF,20,0)/100</f>
        <v>26981.58</v>
      </c>
      <c r="R149" s="35">
        <f>VLOOKUP(I149,负债!$A:$P,5,0)/100</f>
        <v>30903.08</v>
      </c>
      <c r="S149" s="35">
        <f>VLOOKUP(I149,负债!$A:$P,6,0)/100</f>
        <v>5835.13</v>
      </c>
      <c r="T149" s="37">
        <f>VLOOKUP(I149,资产!$A:$AF,2,0)/100</f>
        <v>87589.69</v>
      </c>
      <c r="U149" s="37">
        <f>VLOOKUP(I149,资产!$A:$AF,7,0)/100</f>
        <v>83303.460000000006</v>
      </c>
      <c r="V149" s="37">
        <f>VLOOKUP(I149,负债!$A:$P,9,0)/100</f>
        <v>25803.47</v>
      </c>
      <c r="W149" s="37">
        <f>VLOOKUP(I149,负债!$A:$P,6,0)/100</f>
        <v>5835.13</v>
      </c>
      <c r="X149" s="11">
        <f>VLOOKUP(I149,负债!$A:$P,2,0)/100</f>
        <v>87170.98</v>
      </c>
      <c r="Y149" s="11">
        <f t="shared" si="2"/>
        <v>55951.090000000004</v>
      </c>
    </row>
    <row r="150" spans="9:25" s="12" customFormat="1" x14ac:dyDescent="0.35">
      <c r="I150" s="24">
        <v>44853</v>
      </c>
      <c r="J150" s="11">
        <f>VLOOKUP(I150,资产!$A:$AF,8,0)/100</f>
        <v>56119.53</v>
      </c>
      <c r="K150" s="11">
        <f>VLOOKUP(I150,资产!$A:$AF,9,0)/100</f>
        <v>3015.67</v>
      </c>
      <c r="L150" s="11">
        <f>VLOOKUP(I150,资产!$A:$AF,10,0)/100</f>
        <v>48346.67</v>
      </c>
      <c r="M150" s="11">
        <f>(VLOOKUP(I150,资产!$A:$AF,13,0)+VLOOKUP(I150,资产!$A:$AF,14,0)+VLOOKUP(I150,资产!$A:$AF,15,0))/100</f>
        <v>11991.1</v>
      </c>
      <c r="N150" s="11">
        <f>VLOOKUP(I150,资产!$A:$AF,16,0)/100</f>
        <v>19660.54</v>
      </c>
      <c r="O150" s="11">
        <f>VLOOKUP(I150,资产!$A:$AF,17,0)/100</f>
        <v>9919.59</v>
      </c>
      <c r="P150" s="11">
        <f>VLOOKUP(I150,资产!$A:$AF,18,0)/100</f>
        <v>14548.3</v>
      </c>
      <c r="Q150" s="11">
        <f>VLOOKUP(I150,资产!$A:$AF,20,0)/100</f>
        <v>26986.51</v>
      </c>
      <c r="R150" s="35">
        <f>VLOOKUP(I150,负债!$A:$P,5,0)/100</f>
        <v>30407.78</v>
      </c>
      <c r="S150" s="35">
        <f>VLOOKUP(I150,负债!$A:$P,6,0)/100</f>
        <v>6406.13</v>
      </c>
      <c r="T150" s="37">
        <f>VLOOKUP(I150,资产!$A:$AF,2,0)/100</f>
        <v>87439.22</v>
      </c>
      <c r="U150" s="37">
        <f>VLOOKUP(I150,资产!$A:$AF,7,0)/100</f>
        <v>83129.5</v>
      </c>
      <c r="V150" s="37">
        <f>VLOOKUP(I150,负债!$A:$P,9,0)/100</f>
        <v>25716.59</v>
      </c>
      <c r="W150" s="37">
        <f>VLOOKUP(I150,负债!$A:$P,6,0)/100</f>
        <v>6406.13</v>
      </c>
      <c r="X150" s="11">
        <f>VLOOKUP(I150,负债!$A:$P,2,0)/100</f>
        <v>87020.5</v>
      </c>
      <c r="Y150" s="11">
        <f t="shared" si="2"/>
        <v>55316.500000000007</v>
      </c>
    </row>
    <row r="151" spans="9:25" s="12" customFormat="1" x14ac:dyDescent="0.35">
      <c r="I151" s="24">
        <v>44860</v>
      </c>
      <c r="J151" s="11">
        <f>VLOOKUP(I151,资产!$A:$AF,8,0)/100</f>
        <v>56087.38</v>
      </c>
      <c r="K151" s="11">
        <f>VLOOKUP(I151,资产!$A:$AF,9,0)/100</f>
        <v>2983.15</v>
      </c>
      <c r="L151" s="11">
        <f>VLOOKUP(I151,资产!$A:$AF,10,0)/100</f>
        <v>48347.42</v>
      </c>
      <c r="M151" s="11">
        <f>(VLOOKUP(I151,资产!$A:$AF,13,0)+VLOOKUP(I151,资产!$A:$AF,14,0)+VLOOKUP(I151,资产!$A:$AF,15,0))/100</f>
        <v>11959.2</v>
      </c>
      <c r="N151" s="11">
        <f>VLOOKUP(I151,资产!$A:$AF,16,0)/100</f>
        <v>19660.52</v>
      </c>
      <c r="O151" s="11">
        <f>VLOOKUP(I151,资产!$A:$AF,17,0)/100</f>
        <v>9919.4699999999993</v>
      </c>
      <c r="P151" s="11">
        <f>VLOOKUP(I151,资产!$A:$AF,18,0)/100</f>
        <v>14548.19</v>
      </c>
      <c r="Q151" s="11">
        <f>VLOOKUP(I151,资产!$A:$AF,20,0)/100</f>
        <v>26785.19</v>
      </c>
      <c r="R151" s="35">
        <f>VLOOKUP(I151,负债!$A:$P,5,0)/100</f>
        <v>31081.47</v>
      </c>
      <c r="S151" s="35">
        <f>VLOOKUP(I151,负债!$A:$P,6,0)/100</f>
        <v>6363.27</v>
      </c>
      <c r="T151" s="37">
        <f>VLOOKUP(I151,资产!$A:$AF,2,0)/100</f>
        <v>87230.9</v>
      </c>
      <c r="U151" s="37">
        <f>VLOOKUP(I151,资产!$A:$AF,7,0)/100</f>
        <v>82896.039999999994</v>
      </c>
      <c r="V151" s="37">
        <f>VLOOKUP(I151,负债!$A:$P,9,0)/100</f>
        <v>24893.64</v>
      </c>
      <c r="W151" s="37">
        <f>VLOOKUP(I151,负债!$A:$P,6,0)/100</f>
        <v>6363.27</v>
      </c>
      <c r="X151" s="11">
        <f>VLOOKUP(I151,负债!$A:$P,2,0)/100</f>
        <v>86812.160000000003</v>
      </c>
      <c r="Y151" s="11">
        <f t="shared" si="2"/>
        <v>55973.989999999991</v>
      </c>
    </row>
    <row r="152" spans="9:25" s="12" customFormat="1" x14ac:dyDescent="0.35">
      <c r="I152" s="24">
        <v>44867</v>
      </c>
      <c r="J152" s="11">
        <f>VLOOKUP(I152,资产!$A:$AF,8,0)/100</f>
        <v>55749.65</v>
      </c>
      <c r="K152" s="11">
        <f>VLOOKUP(I152,资产!$A:$AF,9,0)/100</f>
        <v>2960.59</v>
      </c>
      <c r="L152" s="11">
        <f>VLOOKUP(I152,资产!$A:$AF,10,0)/100</f>
        <v>48031.839999999997</v>
      </c>
      <c r="M152" s="11">
        <f>(VLOOKUP(I152,资产!$A:$AF,13,0)+VLOOKUP(I152,资产!$A:$AF,14,0)+VLOOKUP(I152,资产!$A:$AF,15,0))/100</f>
        <v>12006.09</v>
      </c>
      <c r="N152" s="11">
        <f>VLOOKUP(I152,资产!$A:$AF,16,0)/100</f>
        <v>19391.3</v>
      </c>
      <c r="O152" s="11">
        <f>VLOOKUP(I152,资产!$A:$AF,17,0)/100</f>
        <v>9803.4599999999991</v>
      </c>
      <c r="P152" s="11">
        <f>VLOOKUP(I152,资产!$A:$AF,18,0)/100</f>
        <v>14548.8</v>
      </c>
      <c r="Q152" s="11">
        <f>VLOOKUP(I152,资产!$A:$AF,20,0)/100</f>
        <v>26785.23</v>
      </c>
      <c r="R152" s="35">
        <f>VLOOKUP(I152,负债!$A:$P,5,0)/100</f>
        <v>30469.8</v>
      </c>
      <c r="S152" s="35">
        <f>VLOOKUP(I152,负债!$A:$P,6,0)/100</f>
        <v>5520.89</v>
      </c>
      <c r="T152" s="37">
        <f>VLOOKUP(I152,资产!$A:$AF,2,0)/100</f>
        <v>86768.7</v>
      </c>
      <c r="U152" s="37">
        <f>VLOOKUP(I152,资产!$A:$AF,7,0)/100</f>
        <v>82558.36</v>
      </c>
      <c r="V152" s="37">
        <f>VLOOKUP(I152,负债!$A:$P,9,0)/100</f>
        <v>25806</v>
      </c>
      <c r="W152" s="37">
        <f>VLOOKUP(I152,负债!$A:$P,6,0)/100</f>
        <v>5520.89</v>
      </c>
      <c r="X152" s="11">
        <f>VLOOKUP(I152,负债!$A:$P,2,0)/100</f>
        <v>86349.95</v>
      </c>
      <c r="Y152" s="11">
        <f t="shared" si="2"/>
        <v>55441.81</v>
      </c>
    </row>
    <row r="153" spans="9:25" s="12" customFormat="1" x14ac:dyDescent="0.35">
      <c r="I153" s="24">
        <v>44874</v>
      </c>
      <c r="J153" s="11">
        <f>VLOOKUP(I153,资产!$A:$AF,8,0)/100</f>
        <v>55752.32</v>
      </c>
      <c r="K153" s="11">
        <f>VLOOKUP(I153,资产!$A:$AF,9,0)/100</f>
        <v>2960.59</v>
      </c>
      <c r="L153" s="11">
        <f>VLOOKUP(I153,资产!$A:$AF,10,0)/100</f>
        <v>48031.839999999997</v>
      </c>
      <c r="M153" s="11">
        <f>(VLOOKUP(I153,资产!$A:$AF,13,0)+VLOOKUP(I153,资产!$A:$AF,14,0)+VLOOKUP(I153,资产!$A:$AF,15,0))/100</f>
        <v>12006.21</v>
      </c>
      <c r="N153" s="11">
        <f>VLOOKUP(I153,资产!$A:$AF,16,0)/100</f>
        <v>19392.22</v>
      </c>
      <c r="O153" s="11">
        <f>VLOOKUP(I153,资产!$A:$AF,17,0)/100</f>
        <v>9804.41</v>
      </c>
      <c r="P153" s="11">
        <f>VLOOKUP(I153,资产!$A:$AF,18,0)/100</f>
        <v>14549.49</v>
      </c>
      <c r="Q153" s="11">
        <f>VLOOKUP(I153,资产!$A:$AF,20,0)/100</f>
        <v>26785.24</v>
      </c>
      <c r="R153" s="35">
        <f>VLOOKUP(I153,负债!$A:$P,5,0)/100</f>
        <v>30712.3</v>
      </c>
      <c r="S153" s="35">
        <f>VLOOKUP(I153,负债!$A:$P,6,0)/100</f>
        <v>5173.3999999999996</v>
      </c>
      <c r="T153" s="37">
        <f>VLOOKUP(I153,资产!$A:$AF,2,0)/100</f>
        <v>86788.86</v>
      </c>
      <c r="U153" s="37">
        <f>VLOOKUP(I153,资产!$A:$AF,7,0)/100</f>
        <v>82561.039999999994</v>
      </c>
      <c r="V153" s="37">
        <f>VLOOKUP(I153,负债!$A:$P,9,0)/100</f>
        <v>25920.9</v>
      </c>
      <c r="W153" s="37">
        <f>VLOOKUP(I153,负债!$A:$P,6,0)/100</f>
        <v>5173.3999999999996</v>
      </c>
      <c r="X153" s="11">
        <f>VLOOKUP(I153,负债!$A:$P,2,0)/100</f>
        <v>86373</v>
      </c>
      <c r="Y153" s="11">
        <f t="shared" si="2"/>
        <v>55694.559999999998</v>
      </c>
    </row>
    <row r="154" spans="9:25" s="12" customFormat="1" x14ac:dyDescent="0.35">
      <c r="I154" s="24">
        <v>44881</v>
      </c>
      <c r="J154" s="11">
        <f>VLOOKUP(I154,资产!$A:$AF,8,0)/100</f>
        <v>55350.51</v>
      </c>
      <c r="K154" s="11">
        <f>VLOOKUP(I154,资产!$A:$AF,9,0)/100</f>
        <v>2960.59</v>
      </c>
      <c r="L154" s="11">
        <f>VLOOKUP(I154,资产!$A:$AF,10,0)/100</f>
        <v>47627.64</v>
      </c>
      <c r="M154" s="11">
        <f>(VLOOKUP(I154,资产!$A:$AF,13,0)+VLOOKUP(I154,资产!$A:$AF,14,0)+VLOOKUP(I154,资产!$A:$AF,15,0))/100</f>
        <v>11591.76</v>
      </c>
      <c r="N154" s="11">
        <f>VLOOKUP(I154,资产!$A:$AF,16,0)/100</f>
        <v>19565.39</v>
      </c>
      <c r="O154" s="11">
        <f>VLOOKUP(I154,资产!$A:$AF,17,0)/100</f>
        <v>9446.89</v>
      </c>
      <c r="P154" s="11">
        <f>VLOOKUP(I154,资产!$A:$AF,18,0)/100</f>
        <v>14746.49</v>
      </c>
      <c r="Q154" s="11">
        <f>VLOOKUP(I154,资产!$A:$AF,20,0)/100</f>
        <v>26768.81</v>
      </c>
      <c r="R154" s="35">
        <f>VLOOKUP(I154,负债!$A:$P,5,0)/100</f>
        <v>31767.99</v>
      </c>
      <c r="S154" s="35">
        <f>VLOOKUP(I154,负债!$A:$P,6,0)/100</f>
        <v>4721.8500000000004</v>
      </c>
      <c r="T154" s="37">
        <f>VLOOKUP(I154,资产!$A:$AF,2,0)/100</f>
        <v>86256.2</v>
      </c>
      <c r="U154" s="37">
        <f>VLOOKUP(I154,资产!$A:$AF,7,0)/100</f>
        <v>82142.789999999994</v>
      </c>
      <c r="V154" s="37">
        <f>VLOOKUP(I154,负债!$A:$P,9,0)/100</f>
        <v>24760.91</v>
      </c>
      <c r="W154" s="37">
        <f>VLOOKUP(I154,负债!$A:$P,6,0)/100</f>
        <v>4721.8500000000004</v>
      </c>
      <c r="X154" s="11">
        <f>VLOOKUP(I154,负债!$A:$P,2,0)/100</f>
        <v>85840.35</v>
      </c>
      <c r="Y154" s="11">
        <f t="shared" si="2"/>
        <v>56773.439999999995</v>
      </c>
    </row>
    <row r="155" spans="9:25" s="12" customFormat="1" x14ac:dyDescent="0.35">
      <c r="I155" s="24">
        <v>44888</v>
      </c>
      <c r="J155" s="11">
        <f>VLOOKUP(I155,资产!$A:$AF,8,0)/100</f>
        <v>55353.23</v>
      </c>
      <c r="K155" s="11">
        <f>VLOOKUP(I155,资产!$A:$AF,9,0)/100</f>
        <v>2960.59</v>
      </c>
      <c r="L155" s="11">
        <f>VLOOKUP(I155,资产!$A:$AF,10,0)/100</f>
        <v>47627.64</v>
      </c>
      <c r="M155" s="11">
        <f>(VLOOKUP(I155,资产!$A:$AF,13,0)+VLOOKUP(I155,资产!$A:$AF,14,0)+VLOOKUP(I155,资产!$A:$AF,15,0))/100</f>
        <v>11591.88</v>
      </c>
      <c r="N155" s="11">
        <f>VLOOKUP(I155,资产!$A:$AF,16,0)/100</f>
        <v>19566.45</v>
      </c>
      <c r="O155" s="11">
        <f>VLOOKUP(I155,资产!$A:$AF,17,0)/100</f>
        <v>9570.4599999999991</v>
      </c>
      <c r="P155" s="11">
        <f>VLOOKUP(I155,资产!$A:$AF,18,0)/100</f>
        <v>14624.46</v>
      </c>
      <c r="Q155" s="11">
        <f>VLOOKUP(I155,资产!$A:$AF,20,0)/100</f>
        <v>26720.83</v>
      </c>
      <c r="R155" s="35">
        <f>VLOOKUP(I155,负债!$A:$P,5,0)/100</f>
        <v>31688.49</v>
      </c>
      <c r="S155" s="35">
        <f>VLOOKUP(I155,负债!$A:$P,6,0)/100</f>
        <v>4927.54</v>
      </c>
      <c r="T155" s="37">
        <f>VLOOKUP(I155,资产!$A:$AF,2,0)/100</f>
        <v>86213.9</v>
      </c>
      <c r="U155" s="37">
        <f>VLOOKUP(I155,资产!$A:$AF,7,0)/100</f>
        <v>82097.53</v>
      </c>
      <c r="V155" s="37">
        <f>VLOOKUP(I155,负债!$A:$P,9,0)/100</f>
        <v>24302.04</v>
      </c>
      <c r="W155" s="37">
        <f>VLOOKUP(I155,负债!$A:$P,6,0)/100</f>
        <v>4927.54</v>
      </c>
      <c r="X155" s="11">
        <f>VLOOKUP(I155,负债!$A:$P,2,0)/100</f>
        <v>85798.05</v>
      </c>
      <c r="Y155" s="11">
        <f t="shared" si="2"/>
        <v>56984.319999999992</v>
      </c>
    </row>
    <row r="156" spans="9:25" s="12" customFormat="1" x14ac:dyDescent="0.35">
      <c r="I156" s="24">
        <v>44895</v>
      </c>
      <c r="J156" s="11">
        <f>VLOOKUP(I156,资产!$A:$AF,8,0)/100</f>
        <v>55159.839999999997</v>
      </c>
      <c r="K156" s="11">
        <f>VLOOKUP(I156,资产!$A:$AF,9,0)/100</f>
        <v>2960.59</v>
      </c>
      <c r="L156" s="11">
        <f>VLOOKUP(I156,资产!$A:$AF,10,0)/100</f>
        <v>47415.53</v>
      </c>
      <c r="M156" s="11">
        <f>(VLOOKUP(I156,资产!$A:$AF,13,0)+VLOOKUP(I156,资产!$A:$AF,14,0)+VLOOKUP(I156,资产!$A:$AF,15,0))/100</f>
        <v>11548.74</v>
      </c>
      <c r="N156" s="11">
        <f>VLOOKUP(I156,资产!$A:$AF,16,0)/100</f>
        <v>19481.099999999999</v>
      </c>
      <c r="O156" s="11">
        <f>VLOOKUP(I156,资产!$A:$AF,17,0)/100</f>
        <v>9488.69</v>
      </c>
      <c r="P156" s="11">
        <f>VLOOKUP(I156,资产!$A:$AF,18,0)/100</f>
        <v>14641.3</v>
      </c>
      <c r="Q156" s="11">
        <f>VLOOKUP(I156,资产!$A:$AF,20,0)/100</f>
        <v>26587.56</v>
      </c>
      <c r="R156" s="35">
        <f>VLOOKUP(I156,负债!$A:$P,5,0)/100</f>
        <v>30522.35</v>
      </c>
      <c r="S156" s="35">
        <f>VLOOKUP(I156,负债!$A:$P,6,0)/100</f>
        <v>5327.91</v>
      </c>
      <c r="T156" s="37">
        <f>VLOOKUP(I156,资产!$A:$AF,2,0)/100</f>
        <v>85845.759999999995</v>
      </c>
      <c r="U156" s="37">
        <f>VLOOKUP(I156,资产!$A:$AF,7,0)/100</f>
        <v>81770.87</v>
      </c>
      <c r="V156" s="37">
        <f>VLOOKUP(I156,负债!$A:$P,9,0)/100</f>
        <v>24965.06</v>
      </c>
      <c r="W156" s="37">
        <f>VLOOKUP(I156,负债!$A:$P,6,0)/100</f>
        <v>5327.91</v>
      </c>
      <c r="X156" s="11">
        <f>VLOOKUP(I156,负债!$A:$P,2,0)/100</f>
        <v>85429.91</v>
      </c>
      <c r="Y156" s="11">
        <f t="shared" si="2"/>
        <v>55552.789999999994</v>
      </c>
    </row>
    <row r="157" spans="9:25" s="12" customFormat="1" x14ac:dyDescent="0.35">
      <c r="I157" s="24">
        <v>44902</v>
      </c>
      <c r="J157" s="11">
        <f>VLOOKUP(I157,资产!$A:$AF,8,0)/100</f>
        <v>55144.959999999999</v>
      </c>
      <c r="K157" s="11">
        <f>VLOOKUP(I157,资产!$A:$AF,9,0)/100</f>
        <v>2941.33</v>
      </c>
      <c r="L157" s="11">
        <f>VLOOKUP(I157,资产!$A:$AF,10,0)/100</f>
        <v>47415.53</v>
      </c>
      <c r="M157" s="11">
        <f>(VLOOKUP(I157,资产!$A:$AF,13,0)+VLOOKUP(I157,资产!$A:$AF,14,0)+VLOOKUP(I157,资产!$A:$AF,15,0))/100</f>
        <v>11529.69</v>
      </c>
      <c r="N157" s="11">
        <f>VLOOKUP(I157,资产!$A:$AF,16,0)/100</f>
        <v>19482.8</v>
      </c>
      <c r="O157" s="11">
        <f>VLOOKUP(I157,资产!$A:$AF,17,0)/100</f>
        <v>9490.0499999999993</v>
      </c>
      <c r="P157" s="11">
        <f>VLOOKUP(I157,资产!$A:$AF,18,0)/100</f>
        <v>14642.44</v>
      </c>
      <c r="Q157" s="11">
        <f>VLOOKUP(I157,资产!$A:$AF,20,0)/100</f>
        <v>26587.56</v>
      </c>
      <c r="R157" s="35">
        <f>VLOOKUP(I157,负债!$A:$P,5,0)/100</f>
        <v>31490.93</v>
      </c>
      <c r="S157" s="35">
        <f>VLOOKUP(I157,负债!$A:$P,6,0)/100</f>
        <v>4108.53</v>
      </c>
      <c r="T157" s="37">
        <f>VLOOKUP(I157,资产!$A:$AF,2,0)/100</f>
        <v>85827.35</v>
      </c>
      <c r="U157" s="37">
        <f>VLOOKUP(I157,资产!$A:$AF,7,0)/100</f>
        <v>81755.98</v>
      </c>
      <c r="V157" s="37">
        <f>VLOOKUP(I157,负债!$A:$P,9,0)/100</f>
        <v>25195.49</v>
      </c>
      <c r="W157" s="37">
        <f>VLOOKUP(I157,负债!$A:$P,6,0)/100</f>
        <v>4108.53</v>
      </c>
      <c r="X157" s="11">
        <f>VLOOKUP(I157,负债!$A:$P,2,0)/100</f>
        <v>85409.4</v>
      </c>
      <c r="Y157" s="11">
        <f t="shared" si="2"/>
        <v>56523.33</v>
      </c>
    </row>
    <row r="158" spans="9:25" s="12" customFormat="1" x14ac:dyDescent="0.35">
      <c r="I158" s="24">
        <v>44909</v>
      </c>
      <c r="J158" s="11">
        <f>VLOOKUP(I158,资产!$A:$AF,8,0)/100</f>
        <v>55137.54</v>
      </c>
      <c r="K158" s="11">
        <f>VLOOKUP(I158,资产!$A:$AF,9,0)/100</f>
        <v>2929.54</v>
      </c>
      <c r="L158" s="11">
        <f>VLOOKUP(I158,资产!$A:$AF,10,0)/100</f>
        <v>47415.53</v>
      </c>
      <c r="M158" s="11">
        <f>(VLOOKUP(I158,资产!$A:$AF,13,0)+VLOOKUP(I158,资产!$A:$AF,14,0)+VLOOKUP(I158,资产!$A:$AF,15,0))/100</f>
        <v>11518.08</v>
      </c>
      <c r="N158" s="11">
        <f>VLOOKUP(I158,资产!$A:$AF,16,0)/100</f>
        <v>19484.490000000002</v>
      </c>
      <c r="O158" s="11">
        <f>VLOOKUP(I158,资产!$A:$AF,17,0)/100</f>
        <v>9491.4</v>
      </c>
      <c r="P158" s="11">
        <f>VLOOKUP(I158,资产!$A:$AF,18,0)/100</f>
        <v>14643.57</v>
      </c>
      <c r="Q158" s="11">
        <f>VLOOKUP(I158,资产!$A:$AF,20,0)/100</f>
        <v>26586.33</v>
      </c>
      <c r="R158" s="35">
        <f>VLOOKUP(I158,负债!$A:$P,5,0)/100</f>
        <v>31708.07</v>
      </c>
      <c r="S158" s="35">
        <f>VLOOKUP(I158,负债!$A:$P,6,0)/100</f>
        <v>3421.04</v>
      </c>
      <c r="T158" s="37">
        <f>VLOOKUP(I158,资产!$A:$AF,2,0)/100</f>
        <v>85834.13</v>
      </c>
      <c r="U158" s="37">
        <f>VLOOKUP(I158,资产!$A:$AF,7,0)/100</f>
        <v>81747.34</v>
      </c>
      <c r="V158" s="37">
        <f>VLOOKUP(I158,负债!$A:$P,9,0)/100</f>
        <v>25514.400000000001</v>
      </c>
      <c r="W158" s="37">
        <f>VLOOKUP(I158,负债!$A:$P,6,0)/100</f>
        <v>3421.04</v>
      </c>
      <c r="X158" s="11">
        <f>VLOOKUP(I158,负债!$A:$P,2,0)/100</f>
        <v>85416.15</v>
      </c>
      <c r="Y158" s="11">
        <f t="shared" si="2"/>
        <v>56898.69</v>
      </c>
    </row>
    <row r="159" spans="9:25" s="12" customFormat="1" x14ac:dyDescent="0.35">
      <c r="I159" s="24">
        <v>44916</v>
      </c>
      <c r="J159" s="11">
        <f>VLOOKUP(I159,资产!$A:$AF,8,0)/100</f>
        <v>55010.3</v>
      </c>
      <c r="K159" s="11">
        <f>VLOOKUP(I159,资产!$A:$AF,9,0)/100</f>
        <v>2918.27</v>
      </c>
      <c r="L159" s="11">
        <f>VLOOKUP(I159,资产!$A:$AF,10,0)/100</f>
        <v>47295.18</v>
      </c>
      <c r="M159" s="11">
        <f>(VLOOKUP(I159,资产!$A:$AF,13,0)+VLOOKUP(I159,资产!$A:$AF,14,0)+VLOOKUP(I159,资产!$A:$AF,15,0))/100</f>
        <v>11527.61</v>
      </c>
      <c r="N159" s="11">
        <f>VLOOKUP(I159,资产!$A:$AF,16,0)/100</f>
        <v>19345.23</v>
      </c>
      <c r="O159" s="11">
        <f>VLOOKUP(I159,资产!$A:$AF,17,0)/100</f>
        <v>9492.75</v>
      </c>
      <c r="P159" s="11">
        <f>VLOOKUP(I159,资产!$A:$AF,18,0)/100</f>
        <v>14644.71</v>
      </c>
      <c r="Q159" s="11">
        <f>VLOOKUP(I159,资产!$A:$AF,20,0)/100</f>
        <v>26532.22</v>
      </c>
      <c r="R159" s="35">
        <f>VLOOKUP(I159,负债!$A:$P,5,0)/100</f>
        <v>30493.32</v>
      </c>
      <c r="S159" s="35">
        <f>VLOOKUP(I159,负债!$A:$P,6,0)/100</f>
        <v>4349.22</v>
      </c>
      <c r="T159" s="37">
        <f>VLOOKUP(I159,资产!$A:$AF,2,0)/100</f>
        <v>85644.11</v>
      </c>
      <c r="U159" s="37">
        <f>VLOOKUP(I159,资产!$A:$AF,7,0)/100</f>
        <v>81566</v>
      </c>
      <c r="V159" s="37">
        <f>VLOOKUP(I159,负债!$A:$P,9,0)/100</f>
        <v>25623.62</v>
      </c>
      <c r="W159" s="37">
        <f>VLOOKUP(I159,负债!$A:$P,6,0)/100</f>
        <v>4349.22</v>
      </c>
      <c r="X159" s="11">
        <f>VLOOKUP(I159,负债!$A:$P,2,0)/100</f>
        <v>85226.12</v>
      </c>
      <c r="Y159" s="11">
        <f t="shared" si="2"/>
        <v>55671.270000000004</v>
      </c>
    </row>
    <row r="160" spans="9:25" s="12" customFormat="1" x14ac:dyDescent="0.35">
      <c r="I160" s="24">
        <v>44923</v>
      </c>
      <c r="J160" s="11">
        <f>VLOOKUP(I160,资产!$A:$AF,8,0)/100</f>
        <v>55008.34</v>
      </c>
      <c r="K160" s="11">
        <f>VLOOKUP(I160,资产!$A:$AF,9,0)/100</f>
        <v>2911.92</v>
      </c>
      <c r="L160" s="11">
        <f>VLOOKUP(I160,资产!$A:$AF,10,0)/100</f>
        <v>47295.18</v>
      </c>
      <c r="M160" s="11">
        <f>(VLOOKUP(I160,资产!$A:$AF,13,0)+VLOOKUP(I160,资产!$A:$AF,14,0)+VLOOKUP(I160,资产!$A:$AF,15,0))/100</f>
        <v>11521.46</v>
      </c>
      <c r="N160" s="11">
        <f>VLOOKUP(I160,资产!$A:$AF,16,0)/100</f>
        <v>19346.93</v>
      </c>
      <c r="O160" s="11">
        <f>VLOOKUP(I160,资产!$A:$AF,17,0)/100</f>
        <v>9494.1</v>
      </c>
      <c r="P160" s="11">
        <f>VLOOKUP(I160,资产!$A:$AF,18,0)/100</f>
        <v>14645.85</v>
      </c>
      <c r="Q160" s="11">
        <f>VLOOKUP(I160,资产!$A:$AF,20,0)/100</f>
        <v>26414.02</v>
      </c>
      <c r="R160" s="35">
        <f>VLOOKUP(I160,负债!$A:$P,5,0)/100</f>
        <v>29797.42</v>
      </c>
      <c r="S160" s="35">
        <f>VLOOKUP(I160,负债!$A:$P,6,0)/100</f>
        <v>4098.09</v>
      </c>
      <c r="T160" s="37">
        <f>VLOOKUP(I160,资产!$A:$AF,2,0)/100</f>
        <v>85511.69</v>
      </c>
      <c r="U160" s="37">
        <f>VLOOKUP(I160,资产!$A:$AF,7,0)/100</f>
        <v>81445.820000000007</v>
      </c>
      <c r="V160" s="37">
        <f>VLOOKUP(I160,负债!$A:$P,9,0)/100</f>
        <v>26271.52</v>
      </c>
      <c r="W160" s="37">
        <f>VLOOKUP(I160,负债!$A:$P,6,0)/100</f>
        <v>4098.09</v>
      </c>
      <c r="X160" s="11">
        <f>VLOOKUP(I160,负债!$A:$P,2,0)/100</f>
        <v>85093.7</v>
      </c>
      <c r="Y160" s="11">
        <f t="shared" si="2"/>
        <v>55142.080000000002</v>
      </c>
    </row>
    <row r="161" spans="9:25" s="12" customFormat="1" x14ac:dyDescent="0.35">
      <c r="I161" s="24">
        <v>44930</v>
      </c>
      <c r="J161" s="11">
        <f>VLOOKUP(I161,资产!$A:$AF,8,0)/100</f>
        <v>54577.51</v>
      </c>
      <c r="K161" s="11">
        <f>VLOOKUP(I161,资产!$A:$AF,9,0)/100</f>
        <v>2893.38</v>
      </c>
      <c r="L161" s="11">
        <f>VLOOKUP(I161,资产!$A:$AF,10,0)/100</f>
        <v>46881.63</v>
      </c>
      <c r="M161" s="11">
        <f>(VLOOKUP(I161,资产!$A:$AF,13,0)+VLOOKUP(I161,资产!$A:$AF,14,0)+VLOOKUP(I161,资产!$A:$AF,15,0))/100</f>
        <v>11404.76</v>
      </c>
      <c r="N161" s="11">
        <f>VLOOKUP(I161,资产!$A:$AF,16,0)/100</f>
        <v>19154.45</v>
      </c>
      <c r="O161" s="11">
        <f>VLOOKUP(I161,资产!$A:$AF,17,0)/100</f>
        <v>9372.1200000000008</v>
      </c>
      <c r="P161" s="11">
        <f>VLOOKUP(I161,资产!$A:$AF,18,0)/100</f>
        <v>14646.17</v>
      </c>
      <c r="Q161" s="11">
        <f>VLOOKUP(I161,资产!$A:$AF,20,0)/100</f>
        <v>26414.02</v>
      </c>
      <c r="R161" s="35">
        <f>VLOOKUP(I161,负债!$A:$P,5,0)/100</f>
        <v>30419.29</v>
      </c>
      <c r="S161" s="35">
        <f>VLOOKUP(I161,负债!$A:$P,6,0)/100</f>
        <v>3796.2</v>
      </c>
      <c r="T161" s="37">
        <f>VLOOKUP(I161,资产!$A:$AF,2,0)/100</f>
        <v>85074.29</v>
      </c>
      <c r="U161" s="37">
        <f>VLOOKUP(I161,资产!$A:$AF,7,0)/100</f>
        <v>81015</v>
      </c>
      <c r="V161" s="37">
        <f>VLOOKUP(I161,负债!$A:$P,9,0)/100</f>
        <v>25618.83</v>
      </c>
      <c r="W161" s="37">
        <f>VLOOKUP(I161,负债!$A:$P,6,0)/100</f>
        <v>3796.2</v>
      </c>
      <c r="X161" s="11">
        <f>VLOOKUP(I161,负债!$A:$P,2,0)/100</f>
        <v>84656.06</v>
      </c>
      <c r="Y161" s="11">
        <f t="shared" si="2"/>
        <v>55659.259999999995</v>
      </c>
    </row>
    <row r="162" spans="9:25" s="12" customFormat="1" x14ac:dyDescent="0.35">
      <c r="I162" s="24">
        <v>44937</v>
      </c>
      <c r="J162" s="11">
        <f>VLOOKUP(I162,资产!$A:$AF,8,0)/100</f>
        <v>54564.26</v>
      </c>
      <c r="K162" s="11">
        <f>VLOOKUP(I162,资产!$A:$AF,9,0)/100</f>
        <v>2881.99</v>
      </c>
      <c r="L162" s="11">
        <f>VLOOKUP(I162,资产!$A:$AF,10,0)/100</f>
        <v>46880.88</v>
      </c>
      <c r="M162" s="11">
        <f>(VLOOKUP(I162,资产!$A:$AF,13,0)+VLOOKUP(I162,资产!$A:$AF,14,0)+VLOOKUP(I162,资产!$A:$AF,15,0))/100</f>
        <v>11392.57</v>
      </c>
      <c r="N162" s="11">
        <f>VLOOKUP(I162,资产!$A:$AF,16,0)/100</f>
        <v>19154.02</v>
      </c>
      <c r="O162" s="11">
        <f>VLOOKUP(I162,资产!$A:$AF,17,0)/100</f>
        <v>9371.7800000000007</v>
      </c>
      <c r="P162" s="11">
        <f>VLOOKUP(I162,资产!$A:$AF,18,0)/100</f>
        <v>14645.89</v>
      </c>
      <c r="Q162" s="11">
        <f>VLOOKUP(I162,资产!$A:$AF,20,0)/100</f>
        <v>26414.02</v>
      </c>
      <c r="R162" s="35">
        <f>VLOOKUP(I162,负债!$A:$P,5,0)/100</f>
        <v>31168.31</v>
      </c>
      <c r="S162" s="35">
        <f>VLOOKUP(I162,负债!$A:$P,6,0)/100</f>
        <v>3464.26</v>
      </c>
      <c r="T162" s="37">
        <f>VLOOKUP(I162,资产!$A:$AF,2,0)/100</f>
        <v>85085.87</v>
      </c>
      <c r="U162" s="37">
        <f>VLOOKUP(I162,资产!$A:$AF,7,0)/100</f>
        <v>81001.75</v>
      </c>
      <c r="V162" s="37">
        <f>VLOOKUP(I162,负债!$A:$P,9,0)/100</f>
        <v>25478.06</v>
      </c>
      <c r="W162" s="37">
        <f>VLOOKUP(I162,负债!$A:$P,6,0)/100</f>
        <v>3464.26</v>
      </c>
      <c r="X162" s="11">
        <f>VLOOKUP(I162,负债!$A:$P,2,0)/100</f>
        <v>84667.61</v>
      </c>
      <c r="Y162" s="11">
        <f t="shared" si="2"/>
        <v>56143.549999999996</v>
      </c>
    </row>
    <row r="163" spans="9:25" s="12" customFormat="1" x14ac:dyDescent="0.35">
      <c r="I163" s="24">
        <v>44944</v>
      </c>
      <c r="J163" s="11">
        <f>VLOOKUP(I163,资产!$A:$AF,8,0)/100</f>
        <v>54367.22</v>
      </c>
      <c r="K163" s="11">
        <f>VLOOKUP(I163,资产!$A:$AF,9,0)/100</f>
        <v>2872.31</v>
      </c>
      <c r="L163" s="11">
        <f>VLOOKUP(I163,资产!$A:$AF,10,0)/100</f>
        <v>46726.07</v>
      </c>
      <c r="M163" s="11">
        <f>(VLOOKUP(I163,资产!$A:$AF,13,0)+VLOOKUP(I163,资产!$A:$AF,14,0)+VLOOKUP(I163,资产!$A:$AF,15,0))/100</f>
        <v>11453.46</v>
      </c>
      <c r="N163" s="11">
        <f>VLOOKUP(I163,资产!$A:$AF,16,0)/100</f>
        <v>19072.490000000002</v>
      </c>
      <c r="O163" s="11">
        <f>VLOOKUP(I163,资产!$A:$AF,17,0)/100</f>
        <v>9195.68</v>
      </c>
      <c r="P163" s="11">
        <f>VLOOKUP(I163,资产!$A:$AF,18,0)/100</f>
        <v>14645.6</v>
      </c>
      <c r="Q163" s="11">
        <f>VLOOKUP(I163,资产!$A:$AF,20,0)/100</f>
        <v>26399.4</v>
      </c>
      <c r="R163" s="35">
        <f>VLOOKUP(I163,负债!$A:$P,5,0)/100</f>
        <v>31182.37</v>
      </c>
      <c r="S163" s="35">
        <f>VLOOKUP(I163,负债!$A:$P,6,0)/100</f>
        <v>3775</v>
      </c>
      <c r="T163" s="37">
        <f>VLOOKUP(I163,资产!$A:$AF,2,0)/100</f>
        <v>84890.39</v>
      </c>
      <c r="U163" s="37">
        <f>VLOOKUP(I163,资产!$A:$AF,7,0)/100</f>
        <v>80790.100000000006</v>
      </c>
      <c r="V163" s="37">
        <f>VLOOKUP(I163,负债!$A:$P,9,0)/100</f>
        <v>25032.62</v>
      </c>
      <c r="W163" s="37">
        <f>VLOOKUP(I163,负债!$A:$P,6,0)/100</f>
        <v>3775</v>
      </c>
      <c r="X163" s="11">
        <f>VLOOKUP(I163,负债!$A:$P,2,0)/100</f>
        <v>84472.13</v>
      </c>
      <c r="Y163" s="11">
        <f t="shared" si="2"/>
        <v>56082.770000000004</v>
      </c>
    </row>
    <row r="164" spans="9:25" s="12" customFormat="1" x14ac:dyDescent="0.35">
      <c r="I164" s="24">
        <v>44951</v>
      </c>
      <c r="J164" s="11">
        <f>VLOOKUP(I164,资产!$A:$AF,8,0)/100</f>
        <v>54355.82</v>
      </c>
      <c r="K164" s="11">
        <f>VLOOKUP(I164,资产!$A:$AF,9,0)/100</f>
        <v>2862</v>
      </c>
      <c r="L164" s="11">
        <f>VLOOKUP(I164,资产!$A:$AF,10,0)/100</f>
        <v>46726.07</v>
      </c>
      <c r="M164" s="11">
        <f>(VLOOKUP(I164,资产!$A:$AF,13,0)+VLOOKUP(I164,资产!$A:$AF,14,0)+VLOOKUP(I164,资产!$A:$AF,15,0))/100</f>
        <v>11443.08</v>
      </c>
      <c r="N164" s="11">
        <f>VLOOKUP(I164,资产!$A:$AF,16,0)/100</f>
        <v>19072.04</v>
      </c>
      <c r="O164" s="11">
        <f>VLOOKUP(I164,资产!$A:$AF,17,0)/100</f>
        <v>9195.3799999999992</v>
      </c>
      <c r="P164" s="11">
        <f>VLOOKUP(I164,资产!$A:$AF,18,0)/100</f>
        <v>14645.32</v>
      </c>
      <c r="Q164" s="11">
        <f>VLOOKUP(I164,资产!$A:$AF,20,0)/100</f>
        <v>26247.35</v>
      </c>
      <c r="R164" s="35">
        <f>VLOOKUP(I164,负债!$A:$P,5,0)/100</f>
        <v>30005.42</v>
      </c>
      <c r="S164" s="35">
        <f>VLOOKUP(I164,负债!$A:$P,6,0)/100</f>
        <v>5726.22</v>
      </c>
      <c r="T164" s="37">
        <f>VLOOKUP(I164,资产!$A:$AF,2,0)/100</f>
        <v>84705.57</v>
      </c>
      <c r="U164" s="37">
        <f>VLOOKUP(I164,资产!$A:$AF,7,0)/100</f>
        <v>80626.649999999994</v>
      </c>
      <c r="V164" s="37">
        <f>VLOOKUP(I164,负债!$A:$P,9,0)/100</f>
        <v>24152.04</v>
      </c>
      <c r="W164" s="37">
        <f>VLOOKUP(I164,负债!$A:$P,6,0)/100</f>
        <v>5726.22</v>
      </c>
      <c r="X164" s="11">
        <f>VLOOKUP(I164,负债!$A:$P,2,0)/100</f>
        <v>84287.31</v>
      </c>
      <c r="Y164" s="11">
        <f t="shared" si="2"/>
        <v>54827.310000000005</v>
      </c>
    </row>
    <row r="165" spans="9:25" s="12" customFormat="1" x14ac:dyDescent="0.35">
      <c r="I165" s="24">
        <v>44958</v>
      </c>
      <c r="J165" s="11">
        <f>VLOOKUP(I165,资产!$A:$AF,8,0)/100</f>
        <v>53973.88</v>
      </c>
      <c r="K165" s="11">
        <f>VLOOKUP(I165,资产!$A:$AF,9,0)/100</f>
        <v>2850.21</v>
      </c>
      <c r="L165" s="11">
        <f>VLOOKUP(I165,资产!$A:$AF,10,0)/100</f>
        <v>46357.37</v>
      </c>
      <c r="M165" s="11">
        <f>(VLOOKUP(I165,资产!$A:$AF,13,0)+VLOOKUP(I165,资产!$A:$AF,14,0)+VLOOKUP(I165,资产!$A:$AF,15,0))/100</f>
        <v>11337.44</v>
      </c>
      <c r="N165" s="11">
        <f>VLOOKUP(I165,资产!$A:$AF,16,0)/100</f>
        <v>18886.57</v>
      </c>
      <c r="O165" s="11">
        <f>VLOOKUP(I165,资产!$A:$AF,17,0)/100</f>
        <v>9104.93</v>
      </c>
      <c r="P165" s="11">
        <f>VLOOKUP(I165,资产!$A:$AF,18,0)/100</f>
        <v>14644.94</v>
      </c>
      <c r="Q165" s="11">
        <f>VLOOKUP(I165,资产!$A:$AF,20,0)/100</f>
        <v>26247.35</v>
      </c>
      <c r="R165" s="35">
        <f>VLOOKUP(I165,负债!$A:$P,5,0)/100</f>
        <v>30302.86</v>
      </c>
      <c r="S165" s="35">
        <f>VLOOKUP(I165,负债!$A:$P,6,0)/100</f>
        <v>5008.5200000000004</v>
      </c>
      <c r="T165" s="37">
        <f>VLOOKUP(I165,资产!$A:$AF,2,0)/100</f>
        <v>84336.1</v>
      </c>
      <c r="U165" s="37">
        <f>VLOOKUP(I165,资产!$A:$AF,7,0)/100</f>
        <v>80244.7</v>
      </c>
      <c r="V165" s="37">
        <f>VLOOKUP(I165,负债!$A:$P,9,0)/100</f>
        <v>24143.45</v>
      </c>
      <c r="W165" s="37">
        <f>VLOOKUP(I165,负债!$A:$P,6,0)/100</f>
        <v>5008.5200000000004</v>
      </c>
      <c r="X165" s="11">
        <f>VLOOKUP(I165,负债!$A:$P,2,0)/100</f>
        <v>83917.69</v>
      </c>
      <c r="Y165" s="11">
        <f t="shared" si="2"/>
        <v>55184.130000000005</v>
      </c>
    </row>
    <row r="166" spans="9:25" s="12" customFormat="1" x14ac:dyDescent="0.35">
      <c r="I166" s="24">
        <v>44965</v>
      </c>
      <c r="J166" s="11">
        <f>VLOOKUP(I166,资产!$A:$AF,8,0)/100</f>
        <v>53970.22</v>
      </c>
      <c r="K166" s="11">
        <f>VLOOKUP(I166,资产!$A:$AF,9,0)/100</f>
        <v>2850.21</v>
      </c>
      <c r="L166" s="11">
        <f>VLOOKUP(I166,资产!$A:$AF,10,0)/100</f>
        <v>46357.37</v>
      </c>
      <c r="M166" s="11">
        <f>(VLOOKUP(I166,资产!$A:$AF,13,0)+VLOOKUP(I166,资产!$A:$AF,14,0)+VLOOKUP(I166,资产!$A:$AF,15,0))/100</f>
        <v>11337.25</v>
      </c>
      <c r="N166" s="11">
        <f>VLOOKUP(I166,资产!$A:$AF,16,0)/100</f>
        <v>18885.060000000001</v>
      </c>
      <c r="O166" s="11">
        <f>VLOOKUP(I166,资产!$A:$AF,17,0)/100</f>
        <v>9103.93</v>
      </c>
      <c r="P166" s="11">
        <f>VLOOKUP(I166,资产!$A:$AF,18,0)/100</f>
        <v>14643.98</v>
      </c>
      <c r="Q166" s="11">
        <f>VLOOKUP(I166,资产!$A:$AF,20,0)/100</f>
        <v>26247.35</v>
      </c>
      <c r="R166" s="35">
        <f>VLOOKUP(I166,负债!$A:$P,5,0)/100</f>
        <v>30335.599999999999</v>
      </c>
      <c r="S166" s="35">
        <f>VLOOKUP(I166,负债!$A:$P,6,0)/100</f>
        <v>4958.38</v>
      </c>
      <c r="T166" s="37">
        <f>VLOOKUP(I166,资产!$A:$AF,2,0)/100</f>
        <v>84353.69</v>
      </c>
      <c r="U166" s="37">
        <f>VLOOKUP(I166,资产!$A:$AF,7,0)/100</f>
        <v>80241.039999999994</v>
      </c>
      <c r="V166" s="37">
        <f>VLOOKUP(I166,负债!$A:$P,9,0)/100</f>
        <v>24189.31</v>
      </c>
      <c r="W166" s="37">
        <f>VLOOKUP(I166,负债!$A:$P,6,0)/100</f>
        <v>4958.38</v>
      </c>
      <c r="X166" s="11">
        <f>VLOOKUP(I166,负债!$A:$P,2,0)/100</f>
        <v>83928.37</v>
      </c>
      <c r="Y166" s="11">
        <f t="shared" si="2"/>
        <v>55206.000000000007</v>
      </c>
    </row>
    <row r="167" spans="9:25" s="12" customFormat="1" x14ac:dyDescent="0.35">
      <c r="I167" s="24">
        <v>44972</v>
      </c>
      <c r="J167" s="11">
        <f>VLOOKUP(I167,资产!$A:$AF,8,0)/100</f>
        <v>53646.07</v>
      </c>
      <c r="K167" s="11">
        <f>VLOOKUP(I167,资产!$A:$AF,9,0)/100</f>
        <v>2850.21</v>
      </c>
      <c r="L167" s="11">
        <f>VLOOKUP(I167,资产!$A:$AF,10,0)/100</f>
        <v>46036.87</v>
      </c>
      <c r="M167" s="11">
        <f>(VLOOKUP(I167,资产!$A:$AF,13,0)+VLOOKUP(I167,资产!$A:$AF,14,0)+VLOOKUP(I167,资产!$A:$AF,15,0))/100</f>
        <v>11040.5</v>
      </c>
      <c r="N167" s="11">
        <f>VLOOKUP(I167,资产!$A:$AF,16,0)/100</f>
        <v>18740.96</v>
      </c>
      <c r="O167" s="11">
        <f>VLOOKUP(I167,资产!$A:$AF,17,0)/100</f>
        <v>9002.74</v>
      </c>
      <c r="P167" s="11">
        <f>VLOOKUP(I167,资产!$A:$AF,18,0)/100</f>
        <v>14861.87</v>
      </c>
      <c r="Q167" s="11">
        <f>VLOOKUP(I167,资产!$A:$AF,20,0)/100</f>
        <v>26235.119999999999</v>
      </c>
      <c r="R167" s="35">
        <f>VLOOKUP(I167,负债!$A:$P,5,0)/100</f>
        <v>31074.19</v>
      </c>
      <c r="S167" s="35">
        <f>VLOOKUP(I167,负债!$A:$P,6,0)/100</f>
        <v>4397.03</v>
      </c>
      <c r="T167" s="37">
        <f>VLOOKUP(I167,资产!$A:$AF,2,0)/100</f>
        <v>83847.67</v>
      </c>
      <c r="U167" s="37">
        <f>VLOOKUP(I167,资产!$A:$AF,7,0)/100</f>
        <v>79904.67</v>
      </c>
      <c r="V167" s="37">
        <f>VLOOKUP(I167,负债!$A:$P,9,0)/100</f>
        <v>23625.040000000001</v>
      </c>
      <c r="W167" s="37">
        <f>VLOOKUP(I167,负债!$A:$P,6,0)/100</f>
        <v>4397.03</v>
      </c>
      <c r="X167" s="11">
        <f>VLOOKUP(I167,负债!$A:$P,2,0)/100</f>
        <v>83422.31</v>
      </c>
      <c r="Y167" s="11">
        <f t="shared" si="2"/>
        <v>55825.599999999999</v>
      </c>
    </row>
    <row r="168" spans="9:25" s="12" customFormat="1" x14ac:dyDescent="0.35">
      <c r="I168" s="24">
        <v>44979</v>
      </c>
      <c r="J168" s="11">
        <f>VLOOKUP(I168,资产!$A:$AF,8,0)/100</f>
        <v>53642.91</v>
      </c>
      <c r="K168" s="11">
        <f>VLOOKUP(I168,资产!$A:$AF,9,0)/100</f>
        <v>2850.21</v>
      </c>
      <c r="L168" s="11">
        <f>VLOOKUP(I168,资产!$A:$AF,10,0)/100</f>
        <v>46037.37</v>
      </c>
      <c r="M168" s="11">
        <f>(VLOOKUP(I168,资产!$A:$AF,13,0)+VLOOKUP(I168,资产!$A:$AF,14,0)+VLOOKUP(I168,资产!$A:$AF,15,0))/100</f>
        <v>11040.31</v>
      </c>
      <c r="N168" s="11">
        <f>VLOOKUP(I168,资产!$A:$AF,16,0)/100</f>
        <v>18739.46</v>
      </c>
      <c r="O168" s="11">
        <f>VLOOKUP(I168,资产!$A:$AF,17,0)/100</f>
        <v>9139.01</v>
      </c>
      <c r="P168" s="11">
        <f>VLOOKUP(I168,资产!$A:$AF,18,0)/100</f>
        <v>14724.14</v>
      </c>
      <c r="Q168" s="11">
        <f>VLOOKUP(I168,资产!$A:$AF,20,0)/100</f>
        <v>26202.48</v>
      </c>
      <c r="R168" s="35">
        <f>VLOOKUP(I168,负债!$A:$P,5,0)/100</f>
        <v>29835.58</v>
      </c>
      <c r="S168" s="35">
        <f>VLOOKUP(I168,负债!$A:$P,6,0)/100</f>
        <v>4513.07</v>
      </c>
      <c r="T168" s="37">
        <f>VLOOKUP(I168,资产!$A:$AF,2,0)/100</f>
        <v>83821.899999999994</v>
      </c>
      <c r="U168" s="37">
        <f>VLOOKUP(I168,资产!$A:$AF,7,0)/100</f>
        <v>79868.87</v>
      </c>
      <c r="V168" s="37">
        <f>VLOOKUP(I168,负债!$A:$P,9,0)/100</f>
        <v>24713.57</v>
      </c>
      <c r="W168" s="37">
        <f>VLOOKUP(I168,负债!$A:$P,6,0)/100</f>
        <v>4513.07</v>
      </c>
      <c r="X168" s="11">
        <f>VLOOKUP(I168,负债!$A:$P,2,0)/100</f>
        <v>83396.53</v>
      </c>
      <c r="Y168" s="11">
        <f t="shared" si="2"/>
        <v>54595.259999999995</v>
      </c>
    </row>
    <row r="169" spans="9:25" s="12" customFormat="1" x14ac:dyDescent="0.35">
      <c r="I169" s="24">
        <v>44986</v>
      </c>
      <c r="J169" s="11">
        <f>VLOOKUP(I169,资产!$A:$AF,8,0)/100</f>
        <v>53361.47</v>
      </c>
      <c r="K169" s="11">
        <f>VLOOKUP(I169,资产!$A:$AF,9,0)/100</f>
        <v>2850.21</v>
      </c>
      <c r="L169" s="11">
        <f>VLOOKUP(I169,资产!$A:$AF,10,0)/100</f>
        <v>45737.42</v>
      </c>
      <c r="M169" s="11">
        <f>(VLOOKUP(I169,资产!$A:$AF,13,0)+VLOOKUP(I169,资产!$A:$AF,14,0)+VLOOKUP(I169,资产!$A:$AF,15,0))/100</f>
        <v>10807.85</v>
      </c>
      <c r="N169" s="11">
        <f>VLOOKUP(I169,资产!$A:$AF,16,0)/100</f>
        <v>18691.78</v>
      </c>
      <c r="O169" s="11">
        <f>VLOOKUP(I169,资产!$A:$AF,17,0)/100</f>
        <v>9083.7000000000007</v>
      </c>
      <c r="P169" s="11">
        <f>VLOOKUP(I169,资产!$A:$AF,18,0)/100</f>
        <v>14778.14</v>
      </c>
      <c r="Q169" s="11">
        <f>VLOOKUP(I169,资产!$A:$AF,20,0)/100</f>
        <v>26100.400000000001</v>
      </c>
      <c r="R169" s="35">
        <f>VLOOKUP(I169,负债!$A:$P,5,0)/100</f>
        <v>30279.67</v>
      </c>
      <c r="S169" s="35">
        <f>VLOOKUP(I169,负债!$A:$P,6,0)/100</f>
        <v>3510.15</v>
      </c>
      <c r="T169" s="37">
        <f>VLOOKUP(I169,资产!$A:$AF,2,0)/100</f>
        <v>83396.84</v>
      </c>
      <c r="U169" s="37">
        <f>VLOOKUP(I169,资产!$A:$AF,7,0)/100</f>
        <v>79485.34</v>
      </c>
      <c r="V169" s="37">
        <f>VLOOKUP(I169,负债!$A:$P,9,0)/100</f>
        <v>25006.11</v>
      </c>
      <c r="W169" s="37">
        <f>VLOOKUP(I169,负债!$A:$P,6,0)/100</f>
        <v>3510.15</v>
      </c>
      <c r="X169" s="11">
        <f>VLOOKUP(I169,负债!$A:$P,2,0)/100</f>
        <v>82971.42</v>
      </c>
      <c r="Y169" s="11">
        <f t="shared" si="2"/>
        <v>54880.579999999994</v>
      </c>
    </row>
    <row r="170" spans="9:25" s="12" customFormat="1" x14ac:dyDescent="0.35">
      <c r="I170" s="24">
        <v>44993</v>
      </c>
      <c r="J170" s="11">
        <f>VLOOKUP(I170,资产!$A:$AF,8,0)/100</f>
        <v>53359.48</v>
      </c>
      <c r="K170" s="11">
        <f>VLOOKUP(I170,资产!$A:$AF,9,0)/100</f>
        <v>2839.6</v>
      </c>
      <c r="L170" s="11">
        <f>VLOOKUP(I170,资产!$A:$AF,10,0)/100</f>
        <v>45737.42</v>
      </c>
      <c r="M170" s="11">
        <f>(VLOOKUP(I170,资产!$A:$AF,13,0)+VLOOKUP(I170,资产!$A:$AF,14,0)+VLOOKUP(I170,资产!$A:$AF,15,0))/100</f>
        <v>10797.7</v>
      </c>
      <c r="N170" s="11">
        <f>VLOOKUP(I170,资产!$A:$AF,16,0)/100</f>
        <v>18695.22</v>
      </c>
      <c r="O170" s="11">
        <f>VLOOKUP(I170,资产!$A:$AF,17,0)/100</f>
        <v>9085.64</v>
      </c>
      <c r="P170" s="11">
        <f>VLOOKUP(I170,资产!$A:$AF,18,0)/100</f>
        <v>14780.92</v>
      </c>
      <c r="Q170" s="11">
        <f>VLOOKUP(I170,资产!$A:$AF,20,0)/100</f>
        <v>26100.400000000001</v>
      </c>
      <c r="R170" s="35">
        <f>VLOOKUP(I170,负债!$A:$P,5,0)/100</f>
        <v>30036.76</v>
      </c>
      <c r="S170" s="35">
        <f>VLOOKUP(I170,负债!$A:$P,6,0)/100</f>
        <v>3117.31</v>
      </c>
      <c r="T170" s="37">
        <f>VLOOKUP(I170,资产!$A:$AF,2,0)/100</f>
        <v>83422.83</v>
      </c>
      <c r="U170" s="37">
        <f>VLOOKUP(I170,资产!$A:$AF,7,0)/100</f>
        <v>79483.350000000006</v>
      </c>
      <c r="V170" s="37">
        <f>VLOOKUP(I170,负债!$A:$P,9,0)/100</f>
        <v>25603.5</v>
      </c>
      <c r="W170" s="37">
        <f>VLOOKUP(I170,负债!$A:$P,6,0)/100</f>
        <v>3117.31</v>
      </c>
      <c r="X170" s="11">
        <f>VLOOKUP(I170,负债!$A:$P,2,0)/100</f>
        <v>82997.850000000006</v>
      </c>
      <c r="Y170" s="11">
        <f t="shared" si="2"/>
        <v>54702.020000000004</v>
      </c>
    </row>
    <row r="171" spans="9:25" s="12" customFormat="1" x14ac:dyDescent="0.35">
      <c r="I171" s="24">
        <v>45000</v>
      </c>
      <c r="J171" s="11">
        <f>VLOOKUP(I171,资产!$A:$AF,8,0)/100</f>
        <v>53289.27</v>
      </c>
      <c r="K171" s="11">
        <f>VLOOKUP(I171,资产!$A:$AF,9,0)/100</f>
        <v>2831.87</v>
      </c>
      <c r="L171" s="11">
        <f>VLOOKUP(I171,资产!$A:$AF,10,0)/100</f>
        <v>45666.32</v>
      </c>
      <c r="M171" s="11">
        <f>(VLOOKUP(I171,资产!$A:$AF,13,0)+VLOOKUP(I171,资产!$A:$AF,14,0)+VLOOKUP(I171,资产!$A:$AF,15,0))/100</f>
        <v>10719.32</v>
      </c>
      <c r="N171" s="11">
        <f>VLOOKUP(I171,资产!$A:$AF,16,0)/100</f>
        <v>18698.75</v>
      </c>
      <c r="O171" s="11">
        <f>VLOOKUP(I171,资产!$A:$AF,17,0)/100</f>
        <v>9087.99</v>
      </c>
      <c r="P171" s="11">
        <f>VLOOKUP(I171,资产!$A:$AF,18,0)/100</f>
        <v>14783.2</v>
      </c>
      <c r="Q171" s="11">
        <f>VLOOKUP(I171,资产!$A:$AF,20,0)/100</f>
        <v>26087.41</v>
      </c>
      <c r="R171" s="35">
        <f>VLOOKUP(I171,负债!$A:$P,5,0)/100</f>
        <v>34442.1</v>
      </c>
      <c r="S171" s="35">
        <f>VLOOKUP(I171,负债!$A:$P,6,0)/100</f>
        <v>2776.43</v>
      </c>
      <c r="T171" s="37">
        <f>VLOOKUP(I171,资产!$A:$AF,2,0)/100</f>
        <v>86393</v>
      </c>
      <c r="U171" s="37">
        <f>VLOOKUP(I171,资产!$A:$AF,7,0)/100</f>
        <v>79400.14</v>
      </c>
      <c r="V171" s="37">
        <f>VLOOKUP(I171,负债!$A:$P,9,0)/100</f>
        <v>24231.26</v>
      </c>
      <c r="W171" s="37">
        <f>VLOOKUP(I171,负债!$A:$P,6,0)/100</f>
        <v>2776.43</v>
      </c>
      <c r="X171" s="11">
        <f>VLOOKUP(I171,负债!$A:$P,2,0)/100</f>
        <v>85967.99</v>
      </c>
      <c r="Y171" s="11">
        <f t="shared" si="2"/>
        <v>59385.310000000005</v>
      </c>
    </row>
    <row r="172" spans="9:25" s="12" customFormat="1" x14ac:dyDescent="0.35">
      <c r="I172" s="24">
        <v>45007</v>
      </c>
      <c r="J172" s="11">
        <f>VLOOKUP(I172,资产!$A:$AF,8,0)/100</f>
        <v>53289.760000000002</v>
      </c>
      <c r="K172" s="11">
        <f>VLOOKUP(I172,资产!$A:$AF,9,0)/100</f>
        <v>2823.74</v>
      </c>
      <c r="L172" s="11">
        <f>VLOOKUP(I172,资产!$A:$AF,10,0)/100</f>
        <v>45666.32</v>
      </c>
      <c r="M172" s="11">
        <f>(VLOOKUP(I172,资产!$A:$AF,13,0)+VLOOKUP(I172,资产!$A:$AF,14,0)+VLOOKUP(I172,资产!$A:$AF,15,0))/100</f>
        <v>10764.82</v>
      </c>
      <c r="N172" s="11">
        <f>VLOOKUP(I172,资产!$A:$AF,16,0)/100</f>
        <v>18649.12</v>
      </c>
      <c r="O172" s="11">
        <f>VLOOKUP(I172,资产!$A:$AF,17,0)/100</f>
        <v>9090.34</v>
      </c>
      <c r="P172" s="11">
        <f>VLOOKUP(I172,资产!$A:$AF,18,0)/100</f>
        <v>14785.47</v>
      </c>
      <c r="Q172" s="11">
        <f>VLOOKUP(I172,资产!$A:$AF,20,0)/100</f>
        <v>26052.35</v>
      </c>
      <c r="R172" s="35">
        <f>VLOOKUP(I172,负债!$A:$P,5,0)/100</f>
        <v>33699.86</v>
      </c>
      <c r="S172" s="35">
        <f>VLOOKUP(I172,负债!$A:$P,6,0)/100</f>
        <v>1998.56</v>
      </c>
      <c r="T172" s="37">
        <f>VLOOKUP(I172,资产!$A:$AF,2,0)/100</f>
        <v>87337.87</v>
      </c>
      <c r="U172" s="37">
        <f>VLOOKUP(I172,资产!$A:$AF,7,0)/100</f>
        <v>79365.58</v>
      </c>
      <c r="V172" s="37">
        <f>VLOOKUP(I172,负债!$A:$P,9,0)/100</f>
        <v>26499.84</v>
      </c>
      <c r="W172" s="37">
        <f>VLOOKUP(I172,负债!$A:$P,6,0)/100</f>
        <v>1998.56</v>
      </c>
      <c r="X172" s="11">
        <f>VLOOKUP(I172,负债!$A:$P,2,0)/100</f>
        <v>86912.86</v>
      </c>
      <c r="Y172" s="11">
        <f t="shared" si="2"/>
        <v>58839.47</v>
      </c>
    </row>
    <row r="173" spans="9:25" s="12" customFormat="1" x14ac:dyDescent="0.35">
      <c r="I173" s="24">
        <v>45014</v>
      </c>
      <c r="J173" s="11">
        <f>VLOOKUP(I173,资产!$A:$AF,8,0)/100</f>
        <v>53293.03</v>
      </c>
      <c r="K173" s="11">
        <f>VLOOKUP(I173,资产!$A:$AF,9,0)/100</f>
        <v>2818.4</v>
      </c>
      <c r="L173" s="11">
        <f>VLOOKUP(I173,资产!$A:$AF,10,0)/100</f>
        <v>45666.32</v>
      </c>
      <c r="M173" s="11">
        <f>(VLOOKUP(I173,资产!$A:$AF,13,0)+VLOOKUP(I173,资产!$A:$AF,14,0)+VLOOKUP(I173,资产!$A:$AF,15,0))/100</f>
        <v>10759.95</v>
      </c>
      <c r="N173" s="11">
        <f>VLOOKUP(I173,资产!$A:$AF,16,0)/100</f>
        <v>18652.650000000001</v>
      </c>
      <c r="O173" s="11">
        <f>VLOOKUP(I173,资产!$A:$AF,17,0)/100</f>
        <v>9092.69</v>
      </c>
      <c r="P173" s="11">
        <f>VLOOKUP(I173,资产!$A:$AF,18,0)/100</f>
        <v>14787.75</v>
      </c>
      <c r="Q173" s="11">
        <f>VLOOKUP(I173,资产!$A:$AF,20,0)/100</f>
        <v>25944.799999999999</v>
      </c>
      <c r="R173" s="35">
        <f>VLOOKUP(I173,负债!$A:$P,5,0)/100</f>
        <v>34018</v>
      </c>
      <c r="S173" s="35">
        <f>VLOOKUP(I173,负债!$A:$P,6,0)/100</f>
        <v>1627.58</v>
      </c>
      <c r="T173" s="37">
        <f>VLOOKUP(I173,资产!$A:$AF,2,0)/100</f>
        <v>87059.42</v>
      </c>
      <c r="U173" s="37">
        <f>VLOOKUP(I173,资产!$A:$AF,7,0)/100</f>
        <v>79261.31</v>
      </c>
      <c r="V173" s="37">
        <f>VLOOKUP(I173,负债!$A:$P,9,0)/100</f>
        <v>26325.42</v>
      </c>
      <c r="W173" s="37">
        <f>VLOOKUP(I173,负债!$A:$P,6,0)/100</f>
        <v>1627.58</v>
      </c>
      <c r="X173" s="11">
        <f>VLOOKUP(I173,负债!$A:$P,2,0)/100</f>
        <v>86637.4</v>
      </c>
      <c r="Y173" s="11">
        <f t="shared" si="2"/>
        <v>59106.42</v>
      </c>
    </row>
    <row r="174" spans="9:25" s="12" customFormat="1" x14ac:dyDescent="0.35">
      <c r="I174" s="24">
        <v>45021</v>
      </c>
      <c r="J174" s="11">
        <f>VLOOKUP(I174,资产!$A:$AF,8,0)/100</f>
        <v>52802.87</v>
      </c>
      <c r="K174" s="11">
        <f>VLOOKUP(I174,资产!$A:$AF,9,0)/100</f>
        <v>2809.66</v>
      </c>
      <c r="L174" s="11">
        <f>VLOOKUP(I174,资产!$A:$AF,10,0)/100</f>
        <v>45177.96</v>
      </c>
      <c r="M174" s="11">
        <f>(VLOOKUP(I174,资产!$A:$AF,13,0)+VLOOKUP(I174,资产!$A:$AF,14,0)+VLOOKUP(I174,资产!$A:$AF,15,0))/100</f>
        <v>10657.94</v>
      </c>
      <c r="N174" s="11">
        <f>VLOOKUP(I174,资产!$A:$AF,16,0)/100</f>
        <v>18429.63</v>
      </c>
      <c r="O174" s="11">
        <f>VLOOKUP(I174,资产!$A:$AF,17,0)/100</f>
        <v>8925.7099999999991</v>
      </c>
      <c r="P174" s="11">
        <f>VLOOKUP(I174,资产!$A:$AF,18,0)/100</f>
        <v>14789.59</v>
      </c>
      <c r="Q174" s="11">
        <f>VLOOKUP(I174,资产!$A:$AF,20,0)/100</f>
        <v>25944.799999999999</v>
      </c>
      <c r="R174" s="35">
        <f>VLOOKUP(I174,负债!$A:$P,5,0)/100</f>
        <v>33813.51</v>
      </c>
      <c r="S174" s="35">
        <f>VLOOKUP(I174,负债!$A:$P,6,0)/100</f>
        <v>1406.88</v>
      </c>
      <c r="T174" s="37">
        <f>VLOOKUP(I174,资产!$A:$AF,2,0)/100</f>
        <v>86323.839999999997</v>
      </c>
      <c r="U174" s="37">
        <f>VLOOKUP(I174,资产!$A:$AF,7,0)/100</f>
        <v>78771.14</v>
      </c>
      <c r="V174" s="37">
        <f>VLOOKUP(I174,负债!$A:$P,9,0)/100</f>
        <v>25994.03</v>
      </c>
      <c r="W174" s="37">
        <f>VLOOKUP(I174,负债!$A:$P,6,0)/100</f>
        <v>1406.88</v>
      </c>
      <c r="X174" s="11">
        <f>VLOOKUP(I174,负债!$A:$P,2,0)/100</f>
        <v>85901.82</v>
      </c>
      <c r="Y174" s="11">
        <f t="shared" si="2"/>
        <v>58922.93</v>
      </c>
    </row>
    <row r="175" spans="9:25" s="12" customFormat="1" x14ac:dyDescent="0.35">
      <c r="I175" s="24">
        <v>45028</v>
      </c>
      <c r="J175" s="11">
        <f>VLOOKUP(I175,资产!$A:$AF,8,0)/100</f>
        <v>52809.14</v>
      </c>
      <c r="K175" s="11">
        <f>VLOOKUP(I175,资产!$A:$AF,9,0)/100</f>
        <v>2809.66</v>
      </c>
      <c r="L175" s="11">
        <f>VLOOKUP(I175,资产!$A:$AF,10,0)/100</f>
        <v>45177.96</v>
      </c>
      <c r="M175" s="11">
        <f>(VLOOKUP(I175,资产!$A:$AF,13,0)+VLOOKUP(I175,资产!$A:$AF,14,0)+VLOOKUP(I175,资产!$A:$AF,15,0))/100</f>
        <v>10658.28</v>
      </c>
      <c r="N175" s="11">
        <f>VLOOKUP(I175,资产!$A:$AF,16,0)/100</f>
        <v>18432.2</v>
      </c>
      <c r="O175" s="11">
        <f>VLOOKUP(I175,资产!$A:$AF,17,0)/100</f>
        <v>8927.42</v>
      </c>
      <c r="P175" s="11">
        <f>VLOOKUP(I175,资产!$A:$AF,18,0)/100</f>
        <v>14791.24</v>
      </c>
      <c r="Q175" s="11">
        <f>VLOOKUP(I175,资产!$A:$AF,20,0)/100</f>
        <v>25944.799999999999</v>
      </c>
      <c r="R175" s="35">
        <f>VLOOKUP(I175,负债!$A:$P,5,0)/100</f>
        <v>33475.53</v>
      </c>
      <c r="S175" s="35">
        <f>VLOOKUP(I175,负债!$A:$P,6,0)/100</f>
        <v>865.54</v>
      </c>
      <c r="T175" s="37">
        <f>VLOOKUP(I175,资产!$A:$AF,2,0)/100</f>
        <v>86147.97</v>
      </c>
      <c r="U175" s="37">
        <f>VLOOKUP(I175,资产!$A:$AF,7,0)/100</f>
        <v>78777.41</v>
      </c>
      <c r="V175" s="37">
        <f>VLOOKUP(I175,负债!$A:$P,9,0)/100</f>
        <v>26767.27</v>
      </c>
      <c r="W175" s="37">
        <f>VLOOKUP(I175,负债!$A:$P,6,0)/100</f>
        <v>865.54</v>
      </c>
      <c r="X175" s="11">
        <f>VLOOKUP(I175,负债!$A:$P,2,0)/100</f>
        <v>85725.95</v>
      </c>
      <c r="Y175" s="11">
        <f t="shared" si="2"/>
        <v>58515.159999999996</v>
      </c>
    </row>
    <row r="176" spans="9:25" s="12" customFormat="1" x14ac:dyDescent="0.35">
      <c r="I176" s="24">
        <v>45035</v>
      </c>
      <c r="J176" s="11">
        <f>VLOOKUP(I176,资产!$A:$AF,8,0)/100</f>
        <v>52650.7</v>
      </c>
      <c r="K176" s="11">
        <f>VLOOKUP(I176,资产!$A:$AF,9,0)/100</f>
        <v>2809.66</v>
      </c>
      <c r="L176" s="11">
        <f>VLOOKUP(I176,资产!$A:$AF,10,0)/100</f>
        <v>45153.62</v>
      </c>
      <c r="M176" s="11">
        <f>(VLOOKUP(I176,资产!$A:$AF,13,0)+VLOOKUP(I176,资产!$A:$AF,14,0)+VLOOKUP(I176,资产!$A:$AF,15,0))/100</f>
        <v>10826.07</v>
      </c>
      <c r="N176" s="11">
        <f>VLOOKUP(I176,资产!$A:$AF,16,0)/100</f>
        <v>18226.37</v>
      </c>
      <c r="O176" s="11">
        <f>VLOOKUP(I176,资产!$A:$AF,17,0)/100</f>
        <v>8793.85</v>
      </c>
      <c r="P176" s="11">
        <f>VLOOKUP(I176,资产!$A:$AF,18,0)/100</f>
        <v>14804.41</v>
      </c>
      <c r="Q176" s="11">
        <f>VLOOKUP(I176,资产!$A:$AF,20,0)/100</f>
        <v>25930.42</v>
      </c>
      <c r="R176" s="35">
        <f>VLOOKUP(I176,负债!$A:$P,5,0)/100</f>
        <v>31648.91</v>
      </c>
      <c r="S176" s="35">
        <f>VLOOKUP(I176,负债!$A:$P,6,0)/100</f>
        <v>2650.95</v>
      </c>
      <c r="T176" s="37">
        <f>VLOOKUP(I176,资产!$A:$AF,2,0)/100</f>
        <v>85932.63</v>
      </c>
      <c r="U176" s="37">
        <f>VLOOKUP(I176,资产!$A:$AF,7,0)/100</f>
        <v>78604.59</v>
      </c>
      <c r="V176" s="37">
        <f>VLOOKUP(I176,负债!$A:$P,9,0)/100</f>
        <v>26663.43</v>
      </c>
      <c r="W176" s="37">
        <f>VLOOKUP(I176,负债!$A:$P,6,0)/100</f>
        <v>2650.95</v>
      </c>
      <c r="X176" s="11">
        <f>VLOOKUP(I176,负债!$A:$P,2,0)/100</f>
        <v>85510.61</v>
      </c>
      <c r="Y176" s="11">
        <f t="shared" si="2"/>
        <v>56618.250000000007</v>
      </c>
    </row>
    <row r="177" spans="9:25" s="12" customFormat="1" x14ac:dyDescent="0.35">
      <c r="I177" s="24">
        <v>45042</v>
      </c>
      <c r="J177" s="11">
        <f>VLOOKUP(I177,资产!$A:$AF,8,0)/100</f>
        <v>52657.279999999999</v>
      </c>
      <c r="K177" s="11">
        <f>VLOOKUP(I177,资产!$A:$AF,9,0)/100</f>
        <v>2809.66</v>
      </c>
      <c r="L177" s="11">
        <f>VLOOKUP(I177,资产!$A:$AF,10,0)/100</f>
        <v>45154.12</v>
      </c>
      <c r="M177" s="11">
        <f>(VLOOKUP(I177,资产!$A:$AF,13,0)+VLOOKUP(I177,资产!$A:$AF,14,0)+VLOOKUP(I177,资产!$A:$AF,15,0))/100</f>
        <v>10826.39</v>
      </c>
      <c r="N177" s="11">
        <f>VLOOKUP(I177,资产!$A:$AF,16,0)/100</f>
        <v>18228.98</v>
      </c>
      <c r="O177" s="11">
        <f>VLOOKUP(I177,资产!$A:$AF,17,0)/100</f>
        <v>8795.86</v>
      </c>
      <c r="P177" s="11">
        <f>VLOOKUP(I177,资产!$A:$AF,18,0)/100</f>
        <v>14806.06</v>
      </c>
      <c r="Q177" s="11">
        <f>VLOOKUP(I177,资产!$A:$AF,20,0)/100</f>
        <v>25757.759999999998</v>
      </c>
      <c r="R177" s="35">
        <f>VLOOKUP(I177,负债!$A:$P,5,0)/100</f>
        <v>31321</v>
      </c>
      <c r="S177" s="35">
        <f>VLOOKUP(I177,负债!$A:$P,6,0)/100</f>
        <v>2962.09</v>
      </c>
      <c r="T177" s="37">
        <f>VLOOKUP(I177,资产!$A:$AF,2,0)/100</f>
        <v>85627.68</v>
      </c>
      <c r="U177" s="37">
        <f>VLOOKUP(I177,资产!$A:$AF,7,0)/100</f>
        <v>78438.52</v>
      </c>
      <c r="V177" s="37">
        <f>VLOOKUP(I177,负债!$A:$P,9,0)/100</f>
        <v>26388.05</v>
      </c>
      <c r="W177" s="37">
        <f>VLOOKUP(I177,负债!$A:$P,6,0)/100</f>
        <v>2962.09</v>
      </c>
      <c r="X177" s="11">
        <f>VLOOKUP(I177,负债!$A:$P,2,0)/100</f>
        <v>85205.63</v>
      </c>
      <c r="Y177" s="11">
        <f t="shared" si="2"/>
        <v>56277.539999999994</v>
      </c>
    </row>
    <row r="178" spans="9:25" s="12" customFormat="1" x14ac:dyDescent="0.35">
      <c r="I178" s="24">
        <v>45049</v>
      </c>
      <c r="J178" s="11">
        <f>VLOOKUP(I178,资产!$A:$AF,8,0)/100</f>
        <v>52226.84</v>
      </c>
      <c r="K178" s="11">
        <f>VLOOKUP(I178,资产!$A:$AF,9,0)/100</f>
        <v>2809.66</v>
      </c>
      <c r="L178" s="11">
        <f>VLOOKUP(I178,资产!$A:$AF,10,0)/100</f>
        <v>44718.7</v>
      </c>
      <c r="M178" s="11">
        <f>(VLOOKUP(I178,资产!$A:$AF,13,0)+VLOOKUP(I178,资产!$A:$AF,14,0)+VLOOKUP(I178,资产!$A:$AF,15,0))/100</f>
        <v>10476.69</v>
      </c>
      <c r="N178" s="11">
        <f>VLOOKUP(I178,资产!$A:$AF,16,0)/100</f>
        <v>18218.18</v>
      </c>
      <c r="O178" s="11">
        <f>VLOOKUP(I178,资产!$A:$AF,17,0)/100</f>
        <v>8712.84</v>
      </c>
      <c r="P178" s="11">
        <f>VLOOKUP(I178,资产!$A:$AF,18,0)/100</f>
        <v>14819.13</v>
      </c>
      <c r="Q178" s="11">
        <f>VLOOKUP(I178,资产!$A:$AF,20,0)/100</f>
        <v>25757.8</v>
      </c>
      <c r="R178" s="35">
        <f>VLOOKUP(I178,负债!$A:$P,5,0)/100</f>
        <v>31662.36</v>
      </c>
      <c r="S178" s="35">
        <f>VLOOKUP(I178,负债!$A:$P,6,0)/100</f>
        <v>1883.09</v>
      </c>
      <c r="T178" s="37">
        <f>VLOOKUP(I178,资产!$A:$AF,2,0)/100</f>
        <v>85039.94</v>
      </c>
      <c r="U178" s="37">
        <f>VLOOKUP(I178,资产!$A:$AF,7,0)/100</f>
        <v>78008.12</v>
      </c>
      <c r="V178" s="37">
        <f>VLOOKUP(I178,负债!$A:$P,9,0)/100</f>
        <v>26409.51</v>
      </c>
      <c r="W178" s="37">
        <f>VLOOKUP(I178,负债!$A:$P,6,0)/100</f>
        <v>1883.09</v>
      </c>
      <c r="X178" s="11">
        <f>VLOOKUP(I178,负债!$A:$P,2,0)/100</f>
        <v>84617.89</v>
      </c>
      <c r="Y178" s="11">
        <f t="shared" si="2"/>
        <v>56747.340000000011</v>
      </c>
    </row>
    <row r="179" spans="9:25" s="12" customFormat="1" x14ac:dyDescent="0.35">
      <c r="I179" s="24">
        <v>45056</v>
      </c>
      <c r="J179" s="11">
        <f>VLOOKUP(I179,资产!$A:$AF,8,0)/100</f>
        <v>52231.46</v>
      </c>
      <c r="K179" s="11">
        <f>VLOOKUP(I179,资产!$A:$AF,9,0)/100</f>
        <v>2810.41</v>
      </c>
      <c r="L179" s="11">
        <f>VLOOKUP(I179,资产!$A:$AF,10,0)/100</f>
        <v>44718.7</v>
      </c>
      <c r="M179" s="11">
        <f>(VLOOKUP(I179,资产!$A:$AF,13,0)+VLOOKUP(I179,资产!$A:$AF,14,0)+VLOOKUP(I179,资产!$A:$AF,15,0))/100</f>
        <v>10477.629999999999</v>
      </c>
      <c r="N179" s="11">
        <f>VLOOKUP(I179,资产!$A:$AF,16,0)/100</f>
        <v>18219.8</v>
      </c>
      <c r="O179" s="11">
        <f>VLOOKUP(I179,资产!$A:$AF,17,0)/100</f>
        <v>8713.9500000000007</v>
      </c>
      <c r="P179" s="11">
        <f>VLOOKUP(I179,资产!$A:$AF,18,0)/100</f>
        <v>14820.09</v>
      </c>
      <c r="Q179" s="11">
        <f>VLOOKUP(I179,资产!$A:$AF,20,0)/100</f>
        <v>25757.8</v>
      </c>
      <c r="R179" s="35">
        <f>VLOOKUP(I179,负债!$A:$P,5,0)/100</f>
        <v>32253.11</v>
      </c>
      <c r="S179" s="35">
        <f>VLOOKUP(I179,负债!$A:$P,6,0)/100</f>
        <v>1548.08</v>
      </c>
      <c r="T179" s="37">
        <f>VLOOKUP(I179,资产!$A:$AF,2,0)/100</f>
        <v>85030.17</v>
      </c>
      <c r="U179" s="37">
        <f>VLOOKUP(I179,资产!$A:$AF,7,0)/100</f>
        <v>78012.73</v>
      </c>
      <c r="V179" s="37">
        <f>VLOOKUP(I179,负债!$A:$P,9,0)/100</f>
        <v>26181.78</v>
      </c>
      <c r="W179" s="37">
        <f>VLOOKUP(I179,负债!$A:$P,6,0)/100</f>
        <v>1548.08</v>
      </c>
      <c r="X179" s="11">
        <f>VLOOKUP(I179,负债!$A:$P,2,0)/100</f>
        <v>84606.14</v>
      </c>
      <c r="Y179" s="11">
        <f t="shared" si="2"/>
        <v>57300.31</v>
      </c>
    </row>
    <row r="180" spans="9:25" s="12" customFormat="1" x14ac:dyDescent="0.35">
      <c r="I180" s="24">
        <v>45063</v>
      </c>
      <c r="J180" s="11">
        <f>VLOOKUP(I180,资产!$A:$AF,8,0)/100</f>
        <v>51946.1</v>
      </c>
      <c r="K180" s="11">
        <f>VLOOKUP(I180,资产!$A:$AF,9,0)/100</f>
        <v>2810.41</v>
      </c>
      <c r="L180" s="11">
        <f>VLOOKUP(I180,资产!$A:$AF,10,0)/100</f>
        <v>44429.83</v>
      </c>
      <c r="M180" s="11">
        <f>(VLOOKUP(I180,资产!$A:$AF,13,0)+VLOOKUP(I180,资产!$A:$AF,14,0)+VLOOKUP(I180,资产!$A:$AF,15,0))/100</f>
        <v>10397.290000000001</v>
      </c>
      <c r="N180" s="11">
        <f>VLOOKUP(I180,资产!$A:$AF,16,0)/100</f>
        <v>17969.61</v>
      </c>
      <c r="O180" s="11">
        <f>VLOOKUP(I180,资产!$A:$AF,17,0)/100</f>
        <v>8605.59</v>
      </c>
      <c r="P180" s="11">
        <f>VLOOKUP(I180,资产!$A:$AF,18,0)/100</f>
        <v>14973.61</v>
      </c>
      <c r="Q180" s="11">
        <f>VLOOKUP(I180,资产!$A:$AF,20,0)/100</f>
        <v>25744.28</v>
      </c>
      <c r="R180" s="35">
        <f>VLOOKUP(I180,负债!$A:$P,5,0)/100</f>
        <v>32799.870000000003</v>
      </c>
      <c r="S180" s="35">
        <f>VLOOKUP(I180,负债!$A:$P,6,0)/100</f>
        <v>683.32</v>
      </c>
      <c r="T180" s="37">
        <f>VLOOKUP(I180,资产!$A:$AF,2,0)/100</f>
        <v>84567.6</v>
      </c>
      <c r="U180" s="37">
        <f>VLOOKUP(I180,资产!$A:$AF,7,0)/100</f>
        <v>77713.850000000006</v>
      </c>
      <c r="V180" s="37">
        <f>VLOOKUP(I180,负债!$A:$P,9,0)/100</f>
        <v>25986.27</v>
      </c>
      <c r="W180" s="37">
        <f>VLOOKUP(I180,负债!$A:$P,6,0)/100</f>
        <v>683.32</v>
      </c>
      <c r="X180" s="11">
        <f>VLOOKUP(I180,负债!$A:$P,2,0)/100</f>
        <v>84143.58</v>
      </c>
      <c r="Y180" s="11">
        <f t="shared" si="2"/>
        <v>57898.01</v>
      </c>
    </row>
    <row r="181" spans="9:25" s="12" customFormat="1" x14ac:dyDescent="0.35">
      <c r="I181" s="24">
        <v>45070</v>
      </c>
      <c r="J181" s="11">
        <f>VLOOKUP(I181,资产!$A:$AF,8,0)/100</f>
        <v>51949.61</v>
      </c>
      <c r="K181" s="11">
        <f>VLOOKUP(I181,资产!$A:$AF,9,0)/100</f>
        <v>2810.41</v>
      </c>
      <c r="L181" s="11">
        <f>VLOOKUP(I181,资产!$A:$AF,10,0)/100</f>
        <v>44429.83</v>
      </c>
      <c r="M181" s="11">
        <f>(VLOOKUP(I181,资产!$A:$AF,13,0)+VLOOKUP(I181,资产!$A:$AF,14,0)+VLOOKUP(I181,资产!$A:$AF,15,0))/100</f>
        <v>10397.469999999999</v>
      </c>
      <c r="N181" s="11">
        <f>VLOOKUP(I181,资产!$A:$AF,16,0)/100</f>
        <v>17971.12</v>
      </c>
      <c r="O181" s="11">
        <f>VLOOKUP(I181,资产!$A:$AF,17,0)/100</f>
        <v>8701.81</v>
      </c>
      <c r="P181" s="11">
        <f>VLOOKUP(I181,资产!$A:$AF,18,0)/100</f>
        <v>14879.21</v>
      </c>
      <c r="Q181" s="11">
        <f>VLOOKUP(I181,资产!$A:$AF,20,0)/100</f>
        <v>25704.25</v>
      </c>
      <c r="R181" s="35">
        <f>VLOOKUP(I181,负债!$A:$P,5,0)/100</f>
        <v>32507.71</v>
      </c>
      <c r="S181" s="35">
        <f>VLOOKUP(I181,负债!$A:$P,6,0)/100</f>
        <v>494.73</v>
      </c>
      <c r="T181" s="37">
        <f>VLOOKUP(I181,资产!$A:$AF,2,0)/100</f>
        <v>84362.55</v>
      </c>
      <c r="U181" s="37">
        <f>VLOOKUP(I181,资产!$A:$AF,7,0)/100</f>
        <v>77677.33</v>
      </c>
      <c r="V181" s="37">
        <f>VLOOKUP(I181,负债!$A:$P,9,0)/100</f>
        <v>26110.06</v>
      </c>
      <c r="W181" s="37">
        <f>VLOOKUP(I181,负债!$A:$P,6,0)/100</f>
        <v>494.73</v>
      </c>
      <c r="X181" s="11">
        <f>VLOOKUP(I181,负债!$A:$P,2,0)/100</f>
        <v>83938.54</v>
      </c>
      <c r="Y181" s="11">
        <f t="shared" si="2"/>
        <v>57757.760000000002</v>
      </c>
    </row>
    <row r="182" spans="9:25" s="12" customFormat="1" x14ac:dyDescent="0.35">
      <c r="I182" s="24">
        <v>45077</v>
      </c>
      <c r="J182" s="11">
        <f>VLOOKUP(I182,资产!$A:$AF,8,0)/100</f>
        <v>51642.37</v>
      </c>
      <c r="K182" s="11">
        <f>VLOOKUP(I182,资产!$A:$AF,9,0)/100</f>
        <v>2810.41</v>
      </c>
      <c r="L182" s="11">
        <f>VLOOKUP(I182,资产!$A:$AF,10,0)/100</f>
        <v>44090.53</v>
      </c>
      <c r="M182" s="11">
        <f>(VLOOKUP(I182,资产!$A:$AF,13,0)+VLOOKUP(I182,资产!$A:$AF,14,0)+VLOOKUP(I182,资产!$A:$AF,15,0))/100</f>
        <v>9804.83</v>
      </c>
      <c r="N182" s="11">
        <f>VLOOKUP(I182,资产!$A:$AF,16,0)/100</f>
        <v>18252.59</v>
      </c>
      <c r="O182" s="11">
        <f>VLOOKUP(I182,资产!$A:$AF,17,0)/100</f>
        <v>8676.61</v>
      </c>
      <c r="P182" s="11">
        <f>VLOOKUP(I182,资产!$A:$AF,18,0)/100</f>
        <v>14908.34</v>
      </c>
      <c r="Q182" s="11">
        <f>VLOOKUP(I182,资产!$A:$AF,20,0)/100</f>
        <v>25582.36</v>
      </c>
      <c r="R182" s="35">
        <f>VLOOKUP(I182,负债!$A:$P,5,0)/100</f>
        <v>32055.26</v>
      </c>
      <c r="S182" s="35">
        <f>VLOOKUP(I182,负债!$A:$P,6,0)/100</f>
        <v>485.12</v>
      </c>
      <c r="T182" s="37">
        <f>VLOOKUP(I182,资产!$A:$AF,2,0)/100</f>
        <v>83858.539999999994</v>
      </c>
      <c r="U182" s="37">
        <f>VLOOKUP(I182,资产!$A:$AF,7,0)/100</f>
        <v>77248.2</v>
      </c>
      <c r="V182" s="37">
        <f>VLOOKUP(I182,负债!$A:$P,9,0)/100</f>
        <v>26156.77</v>
      </c>
      <c r="W182" s="37">
        <f>VLOOKUP(I182,负债!$A:$P,6,0)/100</f>
        <v>485.12</v>
      </c>
      <c r="X182" s="11">
        <f>VLOOKUP(I182,负债!$A:$P,2,0)/100</f>
        <v>83434.460000000006</v>
      </c>
      <c r="Y182" s="11">
        <f t="shared" si="2"/>
        <v>57216.649999999987</v>
      </c>
    </row>
    <row r="183" spans="9:25" s="12" customFormat="1" x14ac:dyDescent="0.35">
      <c r="I183" s="24">
        <v>45084</v>
      </c>
      <c r="J183" s="11">
        <f>VLOOKUP(I183,资产!$A:$AF,8,0)/100</f>
        <v>51618.22</v>
      </c>
      <c r="K183" s="11">
        <f>VLOOKUP(I183,资产!$A:$AF,9,0)/100</f>
        <v>2780.66</v>
      </c>
      <c r="L183" s="11">
        <f>VLOOKUP(I183,资产!$A:$AF,10,0)/100</f>
        <v>44090.53</v>
      </c>
      <c r="M183" s="11">
        <f>(VLOOKUP(I183,资产!$A:$AF,13,0)+VLOOKUP(I183,资产!$A:$AF,14,0)+VLOOKUP(I183,资产!$A:$AF,15,0))/100</f>
        <v>10206.879999999999</v>
      </c>
      <c r="N183" s="11">
        <f>VLOOKUP(I183,资产!$A:$AF,16,0)/100</f>
        <v>17823.46</v>
      </c>
      <c r="O183" s="11">
        <f>VLOOKUP(I183,资产!$A:$AF,17,0)/100</f>
        <v>8678.02</v>
      </c>
      <c r="P183" s="11">
        <f>VLOOKUP(I183,资产!$A:$AF,18,0)/100</f>
        <v>14909.85</v>
      </c>
      <c r="Q183" s="11">
        <f>VLOOKUP(I183,资产!$A:$AF,20,0)/100</f>
        <v>25582.36</v>
      </c>
      <c r="R183" s="35">
        <f>VLOOKUP(I183,负债!$A:$P,5,0)/100</f>
        <v>33061.54</v>
      </c>
      <c r="S183" s="35">
        <f>VLOOKUP(I183,负债!$A:$P,6,0)/100</f>
        <v>775</v>
      </c>
      <c r="T183" s="37">
        <f>VLOOKUP(I183,资产!$A:$AF,2,0)/100</f>
        <v>83893.25</v>
      </c>
      <c r="U183" s="37">
        <f>VLOOKUP(I183,资产!$A:$AF,7,0)/100</f>
        <v>77224.05</v>
      </c>
      <c r="V183" s="37">
        <f>VLOOKUP(I183,负债!$A:$P,9,0)/100</f>
        <v>25080.76</v>
      </c>
      <c r="W183" s="37">
        <f>VLOOKUP(I183,负债!$A:$P,6,0)/100</f>
        <v>775</v>
      </c>
      <c r="X183" s="11">
        <f>VLOOKUP(I183,负债!$A:$P,2,0)/100</f>
        <v>83469.119999999995</v>
      </c>
      <c r="Y183" s="11">
        <f t="shared" si="2"/>
        <v>58037.490000000005</v>
      </c>
    </row>
    <row r="184" spans="9:25" s="12" customFormat="1" x14ac:dyDescent="0.35">
      <c r="I184" s="24">
        <v>45091</v>
      </c>
      <c r="J184" s="11">
        <f>VLOOKUP(I184,资产!$A:$AF,8,0)/100</f>
        <v>51602.51</v>
      </c>
      <c r="K184" s="11">
        <f>VLOOKUP(I184,资产!$A:$AF,9,0)/100</f>
        <v>2759.36</v>
      </c>
      <c r="L184" s="11">
        <f>VLOOKUP(I184,资产!$A:$AF,10,0)/100</f>
        <v>44090.53</v>
      </c>
      <c r="M184" s="11">
        <f>(VLOOKUP(I184,资产!$A:$AF,13,0)+VLOOKUP(I184,资产!$A:$AF,14,0)+VLOOKUP(I184,资产!$A:$AF,15,0))/100</f>
        <v>10185.86</v>
      </c>
      <c r="N184" s="11">
        <f>VLOOKUP(I184,资产!$A:$AF,16,0)/100</f>
        <v>17825.84</v>
      </c>
      <c r="O184" s="11">
        <f>VLOOKUP(I184,资产!$A:$AF,17,0)/100</f>
        <v>8679.43</v>
      </c>
      <c r="P184" s="11">
        <f>VLOOKUP(I184,资产!$A:$AF,18,0)/100</f>
        <v>14911.37</v>
      </c>
      <c r="Q184" s="11">
        <f>VLOOKUP(I184,资产!$A:$AF,20,0)/100</f>
        <v>25581.72</v>
      </c>
      <c r="R184" s="35">
        <f>VLOOKUP(I184,负债!$A:$P,5,0)/100</f>
        <v>33063.11</v>
      </c>
      <c r="S184" s="35">
        <f>VLOOKUP(I184,负债!$A:$P,6,0)/100</f>
        <v>1348.57</v>
      </c>
      <c r="T184" s="37">
        <f>VLOOKUP(I184,资产!$A:$AF,2,0)/100</f>
        <v>83883.23</v>
      </c>
      <c r="U184" s="37">
        <f>VLOOKUP(I184,资产!$A:$AF,7,0)/100</f>
        <v>77207.7</v>
      </c>
      <c r="V184" s="37">
        <f>VLOOKUP(I184,负债!$A:$P,9,0)/100</f>
        <v>24370.71</v>
      </c>
      <c r="W184" s="37">
        <f>VLOOKUP(I184,负债!$A:$P,6,0)/100</f>
        <v>1348.57</v>
      </c>
      <c r="X184" s="11">
        <f>VLOOKUP(I184,负债!$A:$P,2,0)/100</f>
        <v>83459.100000000006</v>
      </c>
      <c r="Y184" s="11">
        <f t="shared" si="2"/>
        <v>58163.95</v>
      </c>
    </row>
    <row r="185" spans="9:25" s="12" customFormat="1" x14ac:dyDescent="0.35">
      <c r="I185" s="24">
        <v>45098</v>
      </c>
      <c r="J185" s="11">
        <f>VLOOKUP(I185,资产!$A:$AF,8,0)/100</f>
        <v>51457.120000000003</v>
      </c>
      <c r="K185" s="11">
        <f>VLOOKUP(I185,资产!$A:$AF,9,0)/100</f>
        <v>2729.67</v>
      </c>
      <c r="L185" s="11">
        <f>VLOOKUP(I185,资产!$A:$AF,10,0)/100</f>
        <v>43969.23</v>
      </c>
      <c r="M185" s="11">
        <f>(VLOOKUP(I185,资产!$A:$AF,13,0)+VLOOKUP(I185,资产!$A:$AF,14,0)+VLOOKUP(I185,资产!$A:$AF,15,0))/100</f>
        <v>10163.31</v>
      </c>
      <c r="N185" s="11">
        <f>VLOOKUP(I185,资产!$A:$AF,16,0)/100</f>
        <v>17699.59</v>
      </c>
      <c r="O185" s="11">
        <f>VLOOKUP(I185,资产!$A:$AF,17,0)/100</f>
        <v>8680.84</v>
      </c>
      <c r="P185" s="11">
        <f>VLOOKUP(I185,资产!$A:$AF,18,0)/100</f>
        <v>14913.38</v>
      </c>
      <c r="Q185" s="11">
        <f>VLOOKUP(I185,资产!$A:$AF,20,0)/100</f>
        <v>25533.5</v>
      </c>
      <c r="R185" s="35">
        <f>VLOOKUP(I185,负债!$A:$P,5,0)/100</f>
        <v>32039.63</v>
      </c>
      <c r="S185" s="35">
        <f>VLOOKUP(I185,负债!$A:$P,6,0)/100</f>
        <v>2921.06</v>
      </c>
      <c r="T185" s="37">
        <f>VLOOKUP(I185,资产!$A:$AF,2,0)/100</f>
        <v>83620.600000000006</v>
      </c>
      <c r="U185" s="37">
        <f>VLOOKUP(I185,资产!$A:$AF,7,0)/100</f>
        <v>77014.09</v>
      </c>
      <c r="V185" s="37">
        <f>VLOOKUP(I185,负债!$A:$P,9,0)/100</f>
        <v>23702.69</v>
      </c>
      <c r="W185" s="37">
        <f>VLOOKUP(I185,负债!$A:$P,6,0)/100</f>
        <v>2921.06</v>
      </c>
      <c r="X185" s="11">
        <f>VLOOKUP(I185,负债!$A:$P,2,0)/100</f>
        <v>83196.45</v>
      </c>
      <c r="Y185" s="11">
        <f t="shared" si="2"/>
        <v>56996.850000000006</v>
      </c>
    </row>
    <row r="186" spans="9:25" s="12" customFormat="1" x14ac:dyDescent="0.35">
      <c r="I186" s="24">
        <v>45105</v>
      </c>
      <c r="J186" s="11">
        <f>VLOOKUP(I186,资产!$A:$AF,8,0)/100</f>
        <v>51450.8</v>
      </c>
      <c r="K186" s="11">
        <f>VLOOKUP(I186,资产!$A:$AF,9,0)/100</f>
        <v>2718.03</v>
      </c>
      <c r="L186" s="11">
        <f>VLOOKUP(I186,资产!$A:$AF,10,0)/100</f>
        <v>43969.23</v>
      </c>
      <c r="M186" s="11">
        <f>(VLOOKUP(I186,资产!$A:$AF,13,0)+VLOOKUP(I186,资产!$A:$AF,14,0)+VLOOKUP(I186,资产!$A:$AF,15,0))/100</f>
        <v>10151.959999999999</v>
      </c>
      <c r="N186" s="11">
        <f>VLOOKUP(I186,资产!$A:$AF,16,0)/100</f>
        <v>17701.97</v>
      </c>
      <c r="O186" s="11">
        <f>VLOOKUP(I186,资产!$A:$AF,17,0)/100</f>
        <v>8682.02</v>
      </c>
      <c r="P186" s="11">
        <f>VLOOKUP(I186,资产!$A:$AF,18,0)/100</f>
        <v>14914.86</v>
      </c>
      <c r="Q186" s="11">
        <f>VLOOKUP(I186,资产!$A:$AF,20,0)/100</f>
        <v>25381.38</v>
      </c>
      <c r="R186" s="35">
        <f>VLOOKUP(I186,负债!$A:$P,5,0)/100</f>
        <v>31760.38</v>
      </c>
      <c r="S186" s="35">
        <f>VLOOKUP(I186,负债!$A:$P,6,0)/100</f>
        <v>4085.61</v>
      </c>
      <c r="T186" s="37">
        <f>VLOOKUP(I186,资产!$A:$AF,2,0)/100</f>
        <v>83409.14</v>
      </c>
      <c r="U186" s="37">
        <f>VLOOKUP(I186,资产!$A:$AF,7,0)/100</f>
        <v>76855.649999999994</v>
      </c>
      <c r="V186" s="37">
        <f>VLOOKUP(I186,负债!$A:$P,9,0)/100</f>
        <v>22718.71</v>
      </c>
      <c r="W186" s="37">
        <f>VLOOKUP(I186,负债!$A:$P,6,0)/100</f>
        <v>4085.61</v>
      </c>
      <c r="X186" s="11">
        <f>VLOOKUP(I186,负债!$A:$P,2,0)/100</f>
        <v>82984.990000000005</v>
      </c>
      <c r="Y186" s="11">
        <f t="shared" si="2"/>
        <v>56604.82</v>
      </c>
    </row>
    <row r="187" spans="9:25" s="12" customFormat="1" x14ac:dyDescent="0.35">
      <c r="I187" s="24">
        <v>45112</v>
      </c>
      <c r="J187" s="11">
        <f>VLOOKUP(I187,资产!$A:$AF,8,0)/100</f>
        <v>51064.6</v>
      </c>
      <c r="K187" s="11">
        <f>VLOOKUP(I187,资产!$A:$AF,9,0)/100</f>
        <v>2689.28</v>
      </c>
      <c r="L187" s="11">
        <f>VLOOKUP(I187,资产!$A:$AF,10,0)/100</f>
        <v>43608.25</v>
      </c>
      <c r="M187" s="11">
        <f>(VLOOKUP(I187,资产!$A:$AF,13,0)+VLOOKUP(I187,资产!$A:$AF,14,0)+VLOOKUP(I187,资产!$A:$AF,15,0))/100</f>
        <v>9990.51</v>
      </c>
      <c r="N187" s="11">
        <f>VLOOKUP(I187,资产!$A:$AF,16,0)/100</f>
        <v>17617.560000000001</v>
      </c>
      <c r="O187" s="11">
        <f>VLOOKUP(I187,资产!$A:$AF,17,0)/100</f>
        <v>8540.7199999999993</v>
      </c>
      <c r="P187" s="11">
        <f>VLOOKUP(I187,资产!$A:$AF,18,0)/100</f>
        <v>14915.81</v>
      </c>
      <c r="Q187" s="11">
        <f>VLOOKUP(I187,资产!$A:$AF,20,0)/100</f>
        <v>25381.38</v>
      </c>
      <c r="R187" s="35">
        <f>VLOOKUP(I187,负债!$A:$P,5,0)/100</f>
        <v>31796.46</v>
      </c>
      <c r="S187" s="35">
        <f>VLOOKUP(I187,负债!$A:$P,6,0)/100</f>
        <v>4468.6400000000003</v>
      </c>
      <c r="T187" s="37">
        <f>VLOOKUP(I187,资产!$A:$AF,2,0)/100</f>
        <v>82983.12</v>
      </c>
      <c r="U187" s="37">
        <f>VLOOKUP(I187,资产!$A:$AF,7,0)/100</f>
        <v>76469.460000000006</v>
      </c>
      <c r="V187" s="37">
        <f>VLOOKUP(I187,负债!$A:$P,9,0)/100</f>
        <v>21913.200000000001</v>
      </c>
      <c r="W187" s="37">
        <f>VLOOKUP(I187,负债!$A:$P,6,0)/100</f>
        <v>4468.6400000000003</v>
      </c>
      <c r="X187" s="11">
        <f>VLOOKUP(I187,负债!$A:$P,2,0)/100</f>
        <v>82558.960000000006</v>
      </c>
      <c r="Y187" s="11">
        <f t="shared" si="2"/>
        <v>56601.279999999999</v>
      </c>
    </row>
    <row r="188" spans="9:25" s="12" customFormat="1" x14ac:dyDescent="0.35">
      <c r="I188" s="24">
        <v>45119</v>
      </c>
      <c r="J188" s="11">
        <f>VLOOKUP(I188,资产!$A:$AF,8,0)/100</f>
        <v>51043.48</v>
      </c>
      <c r="K188" s="11">
        <f>VLOOKUP(I188,资产!$A:$AF,9,0)/100</f>
        <v>2665.44</v>
      </c>
      <c r="L188" s="11">
        <f>VLOOKUP(I188,资产!$A:$AF,10,0)/100</f>
        <v>43608.25</v>
      </c>
      <c r="M188" s="11">
        <f>(VLOOKUP(I188,资产!$A:$AF,13,0)+VLOOKUP(I188,资产!$A:$AF,14,0)+VLOOKUP(I188,资产!$A:$AF,15,0))/100</f>
        <v>9966.81</v>
      </c>
      <c r="N188" s="11">
        <f>VLOOKUP(I188,资产!$A:$AF,16,0)/100</f>
        <v>17618.72</v>
      </c>
      <c r="O188" s="11">
        <f>VLOOKUP(I188,资产!$A:$AF,17,0)/100</f>
        <v>8541.4</v>
      </c>
      <c r="P188" s="11">
        <f>VLOOKUP(I188,资产!$A:$AF,18,0)/100</f>
        <v>14916.55</v>
      </c>
      <c r="Q188" s="11">
        <f>VLOOKUP(I188,资产!$A:$AF,20,0)/100</f>
        <v>25381.38</v>
      </c>
      <c r="R188" s="35">
        <f>VLOOKUP(I188,负债!$A:$P,5,0)/100</f>
        <v>31621.26</v>
      </c>
      <c r="S188" s="35">
        <f>VLOOKUP(I188,负债!$A:$P,6,0)/100</f>
        <v>5174.18</v>
      </c>
      <c r="T188" s="37">
        <f>VLOOKUP(I188,资产!$A:$AF,2,0)/100</f>
        <v>82969.23</v>
      </c>
      <c r="U188" s="37">
        <f>VLOOKUP(I188,资产!$A:$AF,7,0)/100</f>
        <v>76448.33</v>
      </c>
      <c r="V188" s="37">
        <f>VLOOKUP(I188,负债!$A:$P,9,0)/100</f>
        <v>21478.43</v>
      </c>
      <c r="W188" s="37">
        <f>VLOOKUP(I188,负债!$A:$P,6,0)/100</f>
        <v>5174.18</v>
      </c>
      <c r="X188" s="11">
        <f>VLOOKUP(I188,负债!$A:$P,2,0)/100</f>
        <v>82545.070000000007</v>
      </c>
      <c r="Y188" s="11">
        <f t="shared" si="2"/>
        <v>56316.619999999995</v>
      </c>
    </row>
    <row r="189" spans="9:25" s="12" customFormat="1" x14ac:dyDescent="0.35">
      <c r="I189" s="24">
        <v>45126</v>
      </c>
      <c r="J189" s="11">
        <f>VLOOKUP(I189,资产!$A:$AF,8,0)/100</f>
        <v>50830.36</v>
      </c>
      <c r="K189" s="11">
        <f>VLOOKUP(I189,资产!$A:$AF,9,0)/100</f>
        <v>2636.17</v>
      </c>
      <c r="L189" s="11">
        <f>VLOOKUP(I189,资产!$A:$AF,10,0)/100</f>
        <v>43469.72</v>
      </c>
      <c r="M189" s="11">
        <f>(VLOOKUP(I189,资产!$A:$AF,13,0)+VLOOKUP(I189,资产!$A:$AF,14,0)+VLOOKUP(I189,资产!$A:$AF,15,0))/100</f>
        <v>10088.209999999999</v>
      </c>
      <c r="N189" s="11">
        <f>VLOOKUP(I189,资产!$A:$AF,16,0)/100</f>
        <v>17403.189999999999</v>
      </c>
      <c r="O189" s="11">
        <f>VLOOKUP(I189,资产!$A:$AF,17,0)/100</f>
        <v>8421.68</v>
      </c>
      <c r="P189" s="11">
        <f>VLOOKUP(I189,资产!$A:$AF,18,0)/100</f>
        <v>14917.28</v>
      </c>
      <c r="Q189" s="11">
        <f>VLOOKUP(I189,资产!$A:$AF,20,0)/100</f>
        <v>25380.59</v>
      </c>
      <c r="R189" s="35">
        <f>VLOOKUP(I189,负债!$A:$P,5,0)/100</f>
        <v>32205.9</v>
      </c>
      <c r="S189" s="35">
        <f>VLOOKUP(I189,负债!$A:$P,6,0)/100</f>
        <v>5374.41</v>
      </c>
      <c r="T189" s="37">
        <f>VLOOKUP(I189,资产!$A:$AF,2,0)/100</f>
        <v>82745.52</v>
      </c>
      <c r="U189" s="37">
        <f>VLOOKUP(I189,资产!$A:$AF,7,0)/100</f>
        <v>76234.41</v>
      </c>
      <c r="V189" s="37">
        <f>VLOOKUP(I189,负债!$A:$P,9,0)/100</f>
        <v>20586.849999999999</v>
      </c>
      <c r="W189" s="37">
        <f>VLOOKUP(I189,负债!$A:$P,6,0)/100</f>
        <v>5374.41</v>
      </c>
      <c r="X189" s="11">
        <f>VLOOKUP(I189,负债!$A:$P,2,0)/100</f>
        <v>82321.38</v>
      </c>
      <c r="Y189" s="11">
        <f t="shared" si="2"/>
        <v>56784.260000000009</v>
      </c>
    </row>
    <row r="190" spans="9:25" s="12" customFormat="1" x14ac:dyDescent="0.35">
      <c r="I190" s="24">
        <v>45133</v>
      </c>
      <c r="J190" s="11">
        <f>VLOOKUP(I190,资产!$A:$AF,8,0)/100</f>
        <v>50809.81</v>
      </c>
      <c r="K190" s="11">
        <f>VLOOKUP(I190,资产!$A:$AF,9,0)/100</f>
        <v>2612.94</v>
      </c>
      <c r="L190" s="11">
        <f>VLOOKUP(I190,资产!$A:$AF,10,0)/100</f>
        <v>43469.72</v>
      </c>
      <c r="M190" s="11">
        <f>(VLOOKUP(I190,资产!$A:$AF,13,0)+VLOOKUP(I190,资产!$A:$AF,14,0)+VLOOKUP(I190,资产!$A:$AF,15,0))/100</f>
        <v>10065.14</v>
      </c>
      <c r="N190" s="11">
        <f>VLOOKUP(I190,资产!$A:$AF,16,0)/100</f>
        <v>17404.36</v>
      </c>
      <c r="O190" s="11">
        <f>VLOOKUP(I190,资产!$A:$AF,17,0)/100</f>
        <v>8422.2999999999993</v>
      </c>
      <c r="P190" s="11">
        <f>VLOOKUP(I190,资产!$A:$AF,18,0)/100</f>
        <v>14918.01</v>
      </c>
      <c r="Q190" s="11">
        <f>VLOOKUP(I190,资产!$A:$AF,20,0)/100</f>
        <v>25175.59</v>
      </c>
      <c r="R190" s="35">
        <f>VLOOKUP(I190,负债!$A:$P,5,0)/100</f>
        <v>31667.67</v>
      </c>
      <c r="S190" s="35">
        <f>VLOOKUP(I190,负债!$A:$P,6,0)/100</f>
        <v>5498.97</v>
      </c>
      <c r="T190" s="37">
        <f>VLOOKUP(I190,资产!$A:$AF,2,0)/100</f>
        <v>82433.440000000002</v>
      </c>
      <c r="U190" s="37">
        <f>VLOOKUP(I190,资产!$A:$AF,7,0)/100</f>
        <v>76008.88</v>
      </c>
      <c r="V190" s="37">
        <f>VLOOKUP(I190,负债!$A:$P,9,0)/100</f>
        <v>20669.75</v>
      </c>
      <c r="W190" s="37">
        <f>VLOOKUP(I190,负债!$A:$P,6,0)/100</f>
        <v>5498.97</v>
      </c>
      <c r="X190" s="11">
        <f>VLOOKUP(I190,负债!$A:$P,2,0)/100</f>
        <v>82009.3</v>
      </c>
      <c r="Y190" s="11">
        <f t="shared" si="2"/>
        <v>56264.72</v>
      </c>
    </row>
    <row r="191" spans="9:25" s="12" customFormat="1" x14ac:dyDescent="0.35">
      <c r="I191" s="24">
        <v>45140</v>
      </c>
      <c r="J191" s="11">
        <f>VLOOKUP(I191,资产!$A:$AF,8,0)/100</f>
        <v>50480.25</v>
      </c>
      <c r="K191" s="11">
        <f>VLOOKUP(I191,资产!$A:$AF,9,0)/100</f>
        <v>2594.2199999999998</v>
      </c>
      <c r="L191" s="11">
        <f>VLOOKUP(I191,资产!$A:$AF,10,0)/100</f>
        <v>43155.99</v>
      </c>
      <c r="M191" s="11">
        <f>(VLOOKUP(I191,资产!$A:$AF,13,0)+VLOOKUP(I191,资产!$A:$AF,14,0)+VLOOKUP(I191,资产!$A:$AF,15,0))/100</f>
        <v>9970.5300000000007</v>
      </c>
      <c r="N191" s="11">
        <f>VLOOKUP(I191,资产!$A:$AF,16,0)/100</f>
        <v>17237.3</v>
      </c>
      <c r="O191" s="11">
        <f>VLOOKUP(I191,资产!$A:$AF,17,0)/100</f>
        <v>8353.6200000000008</v>
      </c>
      <c r="P191" s="11">
        <f>VLOOKUP(I191,资产!$A:$AF,18,0)/100</f>
        <v>14918.8</v>
      </c>
      <c r="Q191" s="11">
        <f>VLOOKUP(I191,资产!$A:$AF,20,0)/100</f>
        <v>25175.59</v>
      </c>
      <c r="R191" s="35">
        <f>VLOOKUP(I191,负债!$A:$P,5,0)/100</f>
        <v>32173.98</v>
      </c>
      <c r="S191" s="35">
        <f>VLOOKUP(I191,负债!$A:$P,6,0)/100</f>
        <v>4609.26</v>
      </c>
      <c r="T191" s="37">
        <f>VLOOKUP(I191,资产!$A:$AF,2,0)/100</f>
        <v>82067.64</v>
      </c>
      <c r="U191" s="37">
        <f>VLOOKUP(I191,资产!$A:$AF,7,0)/100</f>
        <v>75679.31</v>
      </c>
      <c r="V191" s="37">
        <f>VLOOKUP(I191,负债!$A:$P,9,0)/100</f>
        <v>20724.09</v>
      </c>
      <c r="W191" s="37">
        <f>VLOOKUP(I191,负债!$A:$P,6,0)/100</f>
        <v>4609.26</v>
      </c>
      <c r="X191" s="11">
        <f>VLOOKUP(I191,负债!$A:$P,2,0)/100</f>
        <v>81642.22</v>
      </c>
      <c r="Y191" s="11">
        <f t="shared" si="2"/>
        <v>56734.29</v>
      </c>
    </row>
    <row r="192" spans="9:25" s="12" customFormat="1" x14ac:dyDescent="0.35">
      <c r="I192" s="24">
        <v>45147</v>
      </c>
      <c r="J192" s="11">
        <f>VLOOKUP(I192,资产!$A:$AF,8,0)/100</f>
        <v>50483.7</v>
      </c>
      <c r="K192" s="11">
        <f>VLOOKUP(I192,资产!$A:$AF,9,0)/100</f>
        <v>2594.2199999999998</v>
      </c>
      <c r="L192" s="11">
        <f>VLOOKUP(I192,资产!$A:$AF,10,0)/100</f>
        <v>43155.99</v>
      </c>
      <c r="M192" s="11">
        <f>(VLOOKUP(I192,资产!$A:$AF,13,0)+VLOOKUP(I192,资产!$A:$AF,14,0)+VLOOKUP(I192,资产!$A:$AF,15,0))/100</f>
        <v>9970.75</v>
      </c>
      <c r="N192" s="11">
        <f>VLOOKUP(I192,资产!$A:$AF,16,0)/100</f>
        <v>17238.8</v>
      </c>
      <c r="O192" s="11">
        <f>VLOOKUP(I192,资产!$A:$AF,17,0)/100</f>
        <v>8354.41</v>
      </c>
      <c r="P192" s="11">
        <f>VLOOKUP(I192,资产!$A:$AF,18,0)/100</f>
        <v>14919.75</v>
      </c>
      <c r="Q192" s="11">
        <f>VLOOKUP(I192,资产!$A:$AF,20,0)/100</f>
        <v>25175.59</v>
      </c>
      <c r="R192" s="35">
        <f>VLOOKUP(I192,负债!$A:$P,5,0)/100</f>
        <v>32285.82</v>
      </c>
      <c r="S192" s="35">
        <f>VLOOKUP(I192,负债!$A:$P,6,0)/100</f>
        <v>4322.62</v>
      </c>
      <c r="T192" s="37">
        <f>VLOOKUP(I192,资产!$A:$AF,2,0)/100</f>
        <v>82082.41</v>
      </c>
      <c r="U192" s="37">
        <f>VLOOKUP(I192,资产!$A:$AF,7,0)/100</f>
        <v>75682.77</v>
      </c>
      <c r="V192" s="37">
        <f>VLOOKUP(I192,负债!$A:$P,9,0)/100</f>
        <v>20964.52</v>
      </c>
      <c r="W192" s="37">
        <f>VLOOKUP(I192,负债!$A:$P,6,0)/100</f>
        <v>4322.62</v>
      </c>
      <c r="X192" s="11">
        <f>VLOOKUP(I192,负债!$A:$P,2,0)/100</f>
        <v>81655.31</v>
      </c>
      <c r="Y192" s="11">
        <f t="shared" si="2"/>
        <v>56795.27</v>
      </c>
    </row>
    <row r="193" spans="9:25" s="12" customFormat="1" x14ac:dyDescent="0.35">
      <c r="I193" s="24">
        <v>45154</v>
      </c>
      <c r="J193" s="11">
        <f>VLOOKUP(I193,资产!$A:$AF,8,0)/100</f>
        <v>50060.75</v>
      </c>
      <c r="K193" s="11">
        <f>VLOOKUP(I193,资产!$A:$AF,9,0)/100</f>
        <v>2594.2199999999998</v>
      </c>
      <c r="L193" s="11">
        <f>VLOOKUP(I193,资产!$A:$AF,10,0)/100</f>
        <v>42729.59</v>
      </c>
      <c r="M193" s="11">
        <f>(VLOOKUP(I193,资产!$A:$AF,13,0)+VLOOKUP(I193,资产!$A:$AF,14,0)+VLOOKUP(I193,资产!$A:$AF,15,0))/100</f>
        <v>9546.84</v>
      </c>
      <c r="N193" s="11">
        <f>VLOOKUP(I193,资产!$A:$AF,16,0)/100</f>
        <v>17188.45</v>
      </c>
      <c r="O193" s="11">
        <f>VLOOKUP(I193,资产!$A:$AF,17,0)/100</f>
        <v>8176.56</v>
      </c>
      <c r="P193" s="11">
        <f>VLOOKUP(I193,资产!$A:$AF,18,0)/100</f>
        <v>15148.9</v>
      </c>
      <c r="Q193" s="11">
        <f>VLOOKUP(I193,资产!$A:$AF,20,0)/100</f>
        <v>25174.83</v>
      </c>
      <c r="R193" s="35">
        <f>VLOOKUP(I193,负债!$A:$P,5,0)/100</f>
        <v>32289.53</v>
      </c>
      <c r="S193" s="35">
        <f>VLOOKUP(I193,负债!$A:$P,6,0)/100</f>
        <v>3848.14</v>
      </c>
      <c r="T193" s="37">
        <f>VLOOKUP(I193,资产!$A:$AF,2,0)/100</f>
        <v>81457.27</v>
      </c>
      <c r="U193" s="37">
        <f>VLOOKUP(I193,资产!$A:$AF,7,0)/100</f>
        <v>75259.05</v>
      </c>
      <c r="V193" s="37">
        <f>VLOOKUP(I193,负债!$A:$P,9,0)/100</f>
        <v>20966.66</v>
      </c>
      <c r="W193" s="37">
        <f>VLOOKUP(I193,负债!$A:$P,6,0)/100</f>
        <v>3848.14</v>
      </c>
      <c r="X193" s="11">
        <f>VLOOKUP(I193,负债!$A:$P,2,0)/100</f>
        <v>81030.080000000002</v>
      </c>
      <c r="Y193" s="11">
        <f t="shared" si="2"/>
        <v>56642.47</v>
      </c>
    </row>
    <row r="194" spans="9:25" s="12" customFormat="1" x14ac:dyDescent="0.35">
      <c r="I194" s="24">
        <v>45161</v>
      </c>
      <c r="J194" s="11">
        <f>VLOOKUP(I194,资产!$A:$AF,8,0)/100</f>
        <v>50064.94</v>
      </c>
      <c r="K194" s="11">
        <f>VLOOKUP(I194,资产!$A:$AF,9,0)/100</f>
        <v>2594.2199999999998</v>
      </c>
      <c r="L194" s="11">
        <f>VLOOKUP(I194,资产!$A:$AF,10,0)/100</f>
        <v>42730.34</v>
      </c>
      <c r="M194" s="11">
        <f>(VLOOKUP(I194,资产!$A:$AF,13,0)+VLOOKUP(I194,资产!$A:$AF,14,0)+VLOOKUP(I194,资产!$A:$AF,15,0))/100</f>
        <v>9547.07</v>
      </c>
      <c r="N194" s="11">
        <f>VLOOKUP(I194,资产!$A:$AF,16,0)/100</f>
        <v>17190.7</v>
      </c>
      <c r="O194" s="11">
        <f>VLOOKUP(I194,资产!$A:$AF,17,0)/100</f>
        <v>8319.51</v>
      </c>
      <c r="P194" s="11">
        <f>VLOOKUP(I194,资产!$A:$AF,18,0)/100</f>
        <v>15007.68</v>
      </c>
      <c r="Q194" s="11">
        <f>VLOOKUP(I194,资产!$A:$AF,20,0)/100</f>
        <v>25131.4</v>
      </c>
      <c r="R194" s="35">
        <f>VLOOKUP(I194,负债!$A:$P,5,0)/100</f>
        <v>31773.8</v>
      </c>
      <c r="S194" s="35">
        <f>VLOOKUP(I194,负债!$A:$P,6,0)/100</f>
        <v>4160.3100000000004</v>
      </c>
      <c r="T194" s="37">
        <f>VLOOKUP(I194,资产!$A:$AF,2,0)/100</f>
        <v>81390.66</v>
      </c>
      <c r="U194" s="37">
        <f>VLOOKUP(I194,资产!$A:$AF,7,0)/100</f>
        <v>75219.81</v>
      </c>
      <c r="V194" s="37">
        <f>VLOOKUP(I194,负债!$A:$P,9,0)/100</f>
        <v>21125.14</v>
      </c>
      <c r="W194" s="37">
        <f>VLOOKUP(I194,负债!$A:$P,6,0)/100</f>
        <v>4160.3100000000004</v>
      </c>
      <c r="X194" s="11">
        <f>VLOOKUP(I194,负债!$A:$P,2,0)/100</f>
        <v>80963.47</v>
      </c>
      <c r="Y194" s="11">
        <f t="shared" si="2"/>
        <v>56105.210000000006</v>
      </c>
    </row>
    <row r="195" spans="9:25" s="12" customFormat="1" x14ac:dyDescent="0.35">
      <c r="I195" s="24">
        <v>45168</v>
      </c>
      <c r="J195" s="11">
        <f>VLOOKUP(I195,资产!$A:$AF,8,0)/100</f>
        <v>50068.39</v>
      </c>
      <c r="K195" s="11">
        <f>VLOOKUP(I195,资产!$A:$AF,9,0)/100</f>
        <v>2594.2199999999998</v>
      </c>
      <c r="L195" s="11">
        <f>VLOOKUP(I195,资产!$A:$AF,10,0)/100</f>
        <v>42730.34</v>
      </c>
      <c r="M195" s="11">
        <f>(VLOOKUP(I195,资产!$A:$AF,13,0)+VLOOKUP(I195,资产!$A:$AF,14,0)+VLOOKUP(I195,资产!$A:$AF,15,0))/100</f>
        <v>9547.2800000000007</v>
      </c>
      <c r="N195" s="11">
        <f>VLOOKUP(I195,资产!$A:$AF,16,0)/100</f>
        <v>17192.2</v>
      </c>
      <c r="O195" s="11">
        <f>VLOOKUP(I195,资产!$A:$AF,17,0)/100</f>
        <v>8320.2999999999993</v>
      </c>
      <c r="P195" s="11">
        <f>VLOOKUP(I195,资产!$A:$AF,18,0)/100</f>
        <v>15008.62</v>
      </c>
      <c r="Q195" s="11">
        <f>VLOOKUP(I195,资产!$A:$AF,20,0)/100</f>
        <v>24988.7</v>
      </c>
      <c r="R195" s="35">
        <f>VLOOKUP(I195,负债!$A:$P,5,0)/100</f>
        <v>31965.43</v>
      </c>
      <c r="S195" s="35">
        <f>VLOOKUP(I195,负债!$A:$P,6,0)/100</f>
        <v>5007.0200000000004</v>
      </c>
      <c r="T195" s="37">
        <f>VLOOKUP(I195,资产!$A:$AF,2,0)/100</f>
        <v>81213.16</v>
      </c>
      <c r="U195" s="37">
        <f>VLOOKUP(I195,资产!$A:$AF,7,0)/100</f>
        <v>75080.570000000007</v>
      </c>
      <c r="V195" s="37">
        <f>VLOOKUP(I195,负债!$A:$P,9,0)/100</f>
        <v>19983.23</v>
      </c>
      <c r="W195" s="37">
        <f>VLOOKUP(I195,负债!$A:$P,6,0)/100</f>
        <v>5007.0200000000004</v>
      </c>
      <c r="X195" s="11">
        <f>VLOOKUP(I195,负债!$A:$P,2,0)/100</f>
        <v>80785.97</v>
      </c>
      <c r="Y195" s="11">
        <f t="shared" si="2"/>
        <v>56222.91</v>
      </c>
    </row>
    <row r="196" spans="9:25" s="12" customFormat="1" x14ac:dyDescent="0.35">
      <c r="I196" s="24">
        <v>45175</v>
      </c>
      <c r="J196" s="11">
        <f>VLOOKUP(I196,资产!$A:$AF,8,0)/100</f>
        <v>49884.71</v>
      </c>
      <c r="K196" s="11">
        <f>VLOOKUP(I196,资产!$A:$AF,9,0)/100</f>
        <v>2581.61</v>
      </c>
      <c r="L196" s="11">
        <f>VLOOKUP(I196,资产!$A:$AF,10,0)/100</f>
        <v>42548.43</v>
      </c>
      <c r="M196" s="11">
        <f>(VLOOKUP(I196,资产!$A:$AF,13,0)+VLOOKUP(I196,资产!$A:$AF,14,0)+VLOOKUP(I196,资产!$A:$AF,15,0))/100</f>
        <v>9462.49</v>
      </c>
      <c r="N196" s="11">
        <f>VLOOKUP(I196,资产!$A:$AF,16,0)/100</f>
        <v>17121.54</v>
      </c>
      <c r="O196" s="11">
        <f>VLOOKUP(I196,资产!$A:$AF,17,0)/100</f>
        <v>8266.2900000000009</v>
      </c>
      <c r="P196" s="11">
        <f>VLOOKUP(I196,资产!$A:$AF,18,0)/100</f>
        <v>15034.41</v>
      </c>
      <c r="Q196" s="11">
        <f>VLOOKUP(I196,资产!$A:$AF,20,0)/100</f>
        <v>24988.7</v>
      </c>
      <c r="R196" s="35">
        <f>VLOOKUP(I196,负债!$A:$P,5,0)/100</f>
        <v>32904.75</v>
      </c>
      <c r="S196" s="35">
        <f>VLOOKUP(I196,负债!$A:$P,6,0)/100</f>
        <v>4815.5200000000004</v>
      </c>
      <c r="T196" s="37">
        <f>VLOOKUP(I196,资产!$A:$AF,2,0)/100</f>
        <v>81013.179999999993</v>
      </c>
      <c r="U196" s="37">
        <f>VLOOKUP(I196,资产!$A:$AF,7,0)/100</f>
        <v>74896.89</v>
      </c>
      <c r="V196" s="37">
        <f>VLOOKUP(I196,负债!$A:$P,9,0)/100</f>
        <v>18998.78</v>
      </c>
      <c r="W196" s="37">
        <f>VLOOKUP(I196,负债!$A:$P,6,0)/100</f>
        <v>4815.5200000000004</v>
      </c>
      <c r="X196" s="11">
        <f>VLOOKUP(I196,负债!$A:$P,2,0)/100</f>
        <v>80585.98</v>
      </c>
      <c r="Y196" s="11">
        <f t="shared" si="2"/>
        <v>57198.87999999999</v>
      </c>
    </row>
    <row r="197" spans="9:25" s="12" customFormat="1" x14ac:dyDescent="0.35">
      <c r="I197" s="24">
        <v>45182</v>
      </c>
      <c r="J197" s="11">
        <f>VLOOKUP(I197,资产!$A:$AF,8,0)/100</f>
        <v>49824.79</v>
      </c>
      <c r="K197" s="11">
        <f>VLOOKUP(I197,资产!$A:$AF,9,0)/100</f>
        <v>2519.8200000000002</v>
      </c>
      <c r="L197" s="11">
        <f>VLOOKUP(I197,资产!$A:$AF,10,0)/100</f>
        <v>42548.18</v>
      </c>
      <c r="M197" s="11">
        <f>(VLOOKUP(I197,资产!$A:$AF,13,0)+VLOOKUP(I197,资产!$A:$AF,14,0)+VLOOKUP(I197,资产!$A:$AF,15,0))/100</f>
        <v>9400.83</v>
      </c>
      <c r="N197" s="11">
        <f>VLOOKUP(I197,资产!$A:$AF,16,0)/100</f>
        <v>17122.689999999999</v>
      </c>
      <c r="O197" s="11">
        <f>VLOOKUP(I197,资产!$A:$AF,17,0)/100</f>
        <v>8266.77</v>
      </c>
      <c r="P197" s="11">
        <f>VLOOKUP(I197,资产!$A:$AF,18,0)/100</f>
        <v>15034.49</v>
      </c>
      <c r="Q197" s="11">
        <f>VLOOKUP(I197,资产!$A:$AF,20,0)/100</f>
        <v>24988.7</v>
      </c>
      <c r="R197" s="35">
        <f>VLOOKUP(I197,负债!$A:$P,5,0)/100</f>
        <v>33105.31</v>
      </c>
      <c r="S197" s="35">
        <f>VLOOKUP(I197,负债!$A:$P,6,0)/100</f>
        <v>5373.64</v>
      </c>
      <c r="T197" s="37">
        <f>VLOOKUP(I197,资产!$A:$AF,2,0)/100</f>
        <v>80987.789999999994</v>
      </c>
      <c r="U197" s="37">
        <f>VLOOKUP(I197,资产!$A:$AF,7,0)/100</f>
        <v>74836.960000000006</v>
      </c>
      <c r="V197" s="37">
        <f>VLOOKUP(I197,负债!$A:$P,9,0)/100</f>
        <v>18356.34</v>
      </c>
      <c r="W197" s="37">
        <f>VLOOKUP(I197,负债!$A:$P,6,0)/100</f>
        <v>5373.64</v>
      </c>
      <c r="X197" s="11">
        <f>VLOOKUP(I197,负债!$A:$P,2,0)/100</f>
        <v>80560.59</v>
      </c>
      <c r="Y197" s="11">
        <f t="shared" si="2"/>
        <v>57257.81</v>
      </c>
    </row>
    <row r="198" spans="9:25" s="12" customFormat="1" x14ac:dyDescent="0.35">
      <c r="I198" s="24">
        <v>45189</v>
      </c>
      <c r="J198" s="11">
        <f>VLOOKUP(I198,资产!$A:$AF,8,0)/100</f>
        <v>49607.35</v>
      </c>
      <c r="K198" s="11">
        <f>VLOOKUP(I198,资产!$A:$AF,9,0)/100</f>
        <v>2469.46</v>
      </c>
      <c r="L198" s="11">
        <f>VLOOKUP(I198,资产!$A:$AF,10,0)/100</f>
        <v>42378.98</v>
      </c>
      <c r="M198" s="11">
        <f>(VLOOKUP(I198,资产!$A:$AF,13,0)+VLOOKUP(I198,资产!$A:$AF,14,0)+VLOOKUP(I198,资产!$A:$AF,15,0))/100</f>
        <v>9244.16</v>
      </c>
      <c r="N198" s="11">
        <f>VLOOKUP(I198,资产!$A:$AF,16,0)/100</f>
        <v>17060.87</v>
      </c>
      <c r="O198" s="11">
        <f>VLOOKUP(I198,资产!$A:$AF,17,0)/100</f>
        <v>8267.26</v>
      </c>
      <c r="P198" s="11">
        <f>VLOOKUP(I198,资产!$A:$AF,18,0)/100</f>
        <v>15035.07</v>
      </c>
      <c r="Q198" s="11">
        <f>VLOOKUP(I198,资产!$A:$AF,20,0)/100</f>
        <v>24944.6</v>
      </c>
      <c r="R198" s="35">
        <f>VLOOKUP(I198,负债!$A:$P,5,0)/100</f>
        <v>31444.12</v>
      </c>
      <c r="S198" s="35">
        <f>VLOOKUP(I198,负债!$A:$P,6,0)/100</f>
        <v>6617.17</v>
      </c>
      <c r="T198" s="37">
        <f>VLOOKUP(I198,资产!$A:$AF,2,0)/100</f>
        <v>80240.899999999994</v>
      </c>
      <c r="U198" s="37">
        <f>VLOOKUP(I198,资产!$A:$AF,7,0)/100</f>
        <v>74575.41</v>
      </c>
      <c r="V198" s="37">
        <f>VLOOKUP(I198,负债!$A:$P,9,0)/100</f>
        <v>18047.07</v>
      </c>
      <c r="W198" s="37">
        <f>VLOOKUP(I198,负债!$A:$P,6,0)/100</f>
        <v>6617.17</v>
      </c>
      <c r="X198" s="11">
        <f>VLOOKUP(I198,负债!$A:$P,2,0)/100</f>
        <v>79813.600000000006</v>
      </c>
      <c r="Y198" s="11">
        <f t="shared" ref="Y198:Y261" si="3">T198-V198-W198</f>
        <v>55576.659999999996</v>
      </c>
    </row>
    <row r="199" spans="9:25" s="12" customFormat="1" x14ac:dyDescent="0.35">
      <c r="I199" s="24">
        <v>45196</v>
      </c>
      <c r="J199" s="11">
        <f>VLOOKUP(I199,资产!$A:$AF,8,0)/100</f>
        <v>49581.38</v>
      </c>
      <c r="K199" s="11">
        <f>VLOOKUP(I199,资产!$A:$AF,9,0)/100</f>
        <v>2441.37</v>
      </c>
      <c r="L199" s="11">
        <f>VLOOKUP(I199,资产!$A:$AF,10,0)/100</f>
        <v>42378.98</v>
      </c>
      <c r="M199" s="11">
        <f>(VLOOKUP(I199,资产!$A:$AF,13,0)+VLOOKUP(I199,资产!$A:$AF,14,0)+VLOOKUP(I199,资产!$A:$AF,15,0))/100</f>
        <v>9216.2000000000007</v>
      </c>
      <c r="N199" s="11">
        <f>VLOOKUP(I199,资产!$A:$AF,16,0)/100</f>
        <v>17061.78</v>
      </c>
      <c r="O199" s="11">
        <f>VLOOKUP(I199,资产!$A:$AF,17,0)/100</f>
        <v>8267.74</v>
      </c>
      <c r="P199" s="11">
        <f>VLOOKUP(I199,资产!$A:$AF,18,0)/100</f>
        <v>15035.65</v>
      </c>
      <c r="Q199" s="11">
        <f>VLOOKUP(I199,资产!$A:$AF,20,0)/100</f>
        <v>24797.26</v>
      </c>
      <c r="R199" s="35">
        <f>VLOOKUP(I199,负债!$A:$P,5,0)/100</f>
        <v>31685.02</v>
      </c>
      <c r="S199" s="35">
        <f>VLOOKUP(I199,负债!$A:$P,6,0)/100</f>
        <v>6721.42</v>
      </c>
      <c r="T199" s="37">
        <f>VLOOKUP(I199,资产!$A:$AF,2,0)/100</f>
        <v>80020.639999999999</v>
      </c>
      <c r="U199" s="37">
        <f>VLOOKUP(I199,资产!$A:$AF,7,0)/100</f>
        <v>74402.11</v>
      </c>
      <c r="V199" s="37">
        <f>VLOOKUP(I199,负债!$A:$P,9,0)/100</f>
        <v>17551.09</v>
      </c>
      <c r="W199" s="37">
        <f>VLOOKUP(I199,负债!$A:$P,6,0)/100</f>
        <v>6721.42</v>
      </c>
      <c r="X199" s="11">
        <f>VLOOKUP(I199,负债!$A:$P,2,0)/100</f>
        <v>79593.34</v>
      </c>
      <c r="Y199" s="11">
        <f t="shared" si="3"/>
        <v>55748.130000000005</v>
      </c>
    </row>
    <row r="200" spans="9:25" s="12" customFormat="1" x14ac:dyDescent="0.35">
      <c r="I200" s="24">
        <v>45203</v>
      </c>
      <c r="J200" s="11">
        <f>VLOOKUP(I200,资产!$A:$AF,8,0)/100</f>
        <v>49304.1</v>
      </c>
      <c r="K200" s="11">
        <f>VLOOKUP(I200,资产!$A:$AF,9,0)/100</f>
        <v>2385.33</v>
      </c>
      <c r="L200" s="11">
        <f>VLOOKUP(I200,资产!$A:$AF,10,0)/100</f>
        <v>42154.16</v>
      </c>
      <c r="M200" s="11">
        <f>(VLOOKUP(I200,资产!$A:$AF,13,0)+VLOOKUP(I200,资产!$A:$AF,14,0)+VLOOKUP(I200,资产!$A:$AF,15,0))/100</f>
        <v>9178.17</v>
      </c>
      <c r="N200" s="11">
        <f>VLOOKUP(I200,资产!$A:$AF,16,0)/100</f>
        <v>16906.72</v>
      </c>
      <c r="O200" s="11">
        <f>VLOOKUP(I200,资产!$A:$AF,17,0)/100</f>
        <v>8182.58</v>
      </c>
      <c r="P200" s="11">
        <f>VLOOKUP(I200,资产!$A:$AF,18,0)/100</f>
        <v>15036.64</v>
      </c>
      <c r="Q200" s="11">
        <f>VLOOKUP(I200,资产!$A:$AF,20,0)/100</f>
        <v>24797.26</v>
      </c>
      <c r="R200" s="35">
        <f>VLOOKUP(I200,负债!$A:$P,5,0)/100</f>
        <v>32407.07</v>
      </c>
      <c r="S200" s="35">
        <f>VLOOKUP(I200,负债!$A:$P,6,0)/100</f>
        <v>6789.59</v>
      </c>
      <c r="T200" s="37">
        <f>VLOOKUP(I200,资产!$A:$AF,2,0)/100</f>
        <v>79557.820000000007</v>
      </c>
      <c r="U200" s="37">
        <f>VLOOKUP(I200,资产!$A:$AF,7,0)/100</f>
        <v>74124.83</v>
      </c>
      <c r="V200" s="37">
        <f>VLOOKUP(I200,负债!$A:$P,9,0)/100</f>
        <v>16320.15</v>
      </c>
      <c r="W200" s="37">
        <f>VLOOKUP(I200,负债!$A:$P,6,0)/100</f>
        <v>6789.59</v>
      </c>
      <c r="X200" s="11">
        <f>VLOOKUP(I200,负债!$A:$P,2,0)/100</f>
        <v>79130.509999999995</v>
      </c>
      <c r="Y200" s="11">
        <f t="shared" si="3"/>
        <v>56448.08</v>
      </c>
    </row>
    <row r="201" spans="9:25" s="12" customFormat="1" x14ac:dyDescent="0.35">
      <c r="I201" s="24">
        <v>45210</v>
      </c>
      <c r="J201" s="11">
        <f>VLOOKUP(I201,资产!$A:$AF,8,0)/100</f>
        <v>49285.07</v>
      </c>
      <c r="K201" s="11">
        <f>VLOOKUP(I201,资产!$A:$AF,9,0)/100</f>
        <v>2361.6</v>
      </c>
      <c r="L201" s="11">
        <f>VLOOKUP(I201,资产!$A:$AF,10,0)/100</f>
        <v>42154.16</v>
      </c>
      <c r="M201" s="11">
        <f>(VLOOKUP(I201,资产!$A:$AF,13,0)+VLOOKUP(I201,资产!$A:$AF,14,0)+VLOOKUP(I201,资产!$A:$AF,15,0))/100</f>
        <v>9154.74</v>
      </c>
      <c r="N201" s="11">
        <f>VLOOKUP(I201,资产!$A:$AF,16,0)/100</f>
        <v>16908.75</v>
      </c>
      <c r="O201" s="11">
        <f>VLOOKUP(I201,资产!$A:$AF,17,0)/100</f>
        <v>8183.66</v>
      </c>
      <c r="P201" s="11">
        <f>VLOOKUP(I201,资产!$A:$AF,18,0)/100</f>
        <v>15037.93</v>
      </c>
      <c r="Q201" s="11">
        <f>VLOOKUP(I201,资产!$A:$AF,20,0)/100</f>
        <v>24797.26</v>
      </c>
      <c r="R201" s="35">
        <f>VLOOKUP(I201,负债!$A:$P,5,0)/100</f>
        <v>33156.5</v>
      </c>
      <c r="S201" s="35">
        <f>VLOOKUP(I201,负债!$A:$P,6,0)/100</f>
        <v>7130</v>
      </c>
      <c r="T201" s="37">
        <f>VLOOKUP(I201,资产!$A:$AF,2,0)/100</f>
        <v>79520.539999999994</v>
      </c>
      <c r="U201" s="37">
        <f>VLOOKUP(I201,资产!$A:$AF,7,0)/100</f>
        <v>74105.8</v>
      </c>
      <c r="V201" s="37">
        <f>VLOOKUP(I201,负债!$A:$P,9,0)/100</f>
        <v>15297.52</v>
      </c>
      <c r="W201" s="37">
        <f>VLOOKUP(I201,负债!$A:$P,6,0)/100</f>
        <v>7130</v>
      </c>
      <c r="X201" s="11">
        <f>VLOOKUP(I201,负债!$A:$P,2,0)/100</f>
        <v>79093.240000000005</v>
      </c>
      <c r="Y201" s="11">
        <f t="shared" si="3"/>
        <v>57093.01999999999</v>
      </c>
    </row>
    <row r="202" spans="9:25" s="12" customFormat="1" x14ac:dyDescent="0.35">
      <c r="I202" s="24">
        <v>45217</v>
      </c>
      <c r="J202" s="11">
        <f>VLOOKUP(I202,资产!$A:$AF,8,0)/100</f>
        <v>49134.57</v>
      </c>
      <c r="K202" s="11">
        <f>VLOOKUP(I202,资产!$A:$AF,9,0)/100</f>
        <v>2345.31</v>
      </c>
      <c r="L202" s="11">
        <f>VLOOKUP(I202,资产!$A:$AF,10,0)/100</f>
        <v>42015.26</v>
      </c>
      <c r="M202" s="11">
        <f>(VLOOKUP(I202,资产!$A:$AF,13,0)+VLOOKUP(I202,资产!$A:$AF,14,0)+VLOOKUP(I202,资产!$A:$AF,15,0))/100</f>
        <v>9084.86</v>
      </c>
      <c r="N202" s="11">
        <f>VLOOKUP(I202,资产!$A:$AF,16,0)/100</f>
        <v>16825.77</v>
      </c>
      <c r="O202" s="11">
        <f>VLOOKUP(I202,资产!$A:$AF,17,0)/100</f>
        <v>8184.73</v>
      </c>
      <c r="P202" s="11">
        <f>VLOOKUP(I202,资产!$A:$AF,18,0)/100</f>
        <v>15039.22</v>
      </c>
      <c r="Q202" s="11">
        <f>VLOOKUP(I202,资产!$A:$AF,20,0)/100</f>
        <v>24796.52</v>
      </c>
      <c r="R202" s="35">
        <f>VLOOKUP(I202,负债!$A:$P,5,0)/100</f>
        <v>32502.3</v>
      </c>
      <c r="S202" s="35">
        <f>VLOOKUP(I202,负债!$A:$P,6,0)/100</f>
        <v>8411.0300000000007</v>
      </c>
      <c r="T202" s="37">
        <f>VLOOKUP(I202,资产!$A:$AF,2,0)/100</f>
        <v>79331.62</v>
      </c>
      <c r="U202" s="37">
        <f>VLOOKUP(I202,资产!$A:$AF,7,0)/100</f>
        <v>73954.559999999998</v>
      </c>
      <c r="V202" s="37">
        <f>VLOOKUP(I202,负债!$A:$P,9,0)/100</f>
        <v>14489.28</v>
      </c>
      <c r="W202" s="37">
        <f>VLOOKUP(I202,负债!$A:$P,6,0)/100</f>
        <v>8411.0300000000007</v>
      </c>
      <c r="X202" s="11">
        <f>VLOOKUP(I202,负债!$A:$P,2,0)/100</f>
        <v>78904.289999999994</v>
      </c>
      <c r="Y202" s="11">
        <f t="shared" si="3"/>
        <v>56431.31</v>
      </c>
    </row>
    <row r="203" spans="9:25" s="12" customFormat="1" x14ac:dyDescent="0.35">
      <c r="I203" s="24">
        <v>45224</v>
      </c>
      <c r="J203" s="11">
        <f>VLOOKUP(I203,资产!$A:$AF,8,0)/100</f>
        <v>49122</v>
      </c>
      <c r="K203" s="11">
        <f>VLOOKUP(I203,资产!$A:$AF,9,0)/100</f>
        <v>2328.04</v>
      </c>
      <c r="L203" s="11">
        <f>VLOOKUP(I203,资产!$A:$AF,10,0)/100</f>
        <v>42015.26</v>
      </c>
      <c r="M203" s="11">
        <f>(VLOOKUP(I203,资产!$A:$AF,13,0)+VLOOKUP(I203,资产!$A:$AF,14,0)+VLOOKUP(I203,资产!$A:$AF,15,0))/100</f>
        <v>9067.93</v>
      </c>
      <c r="N203" s="11">
        <f>VLOOKUP(I203,资产!$A:$AF,16,0)/100</f>
        <v>16827.759999999998</v>
      </c>
      <c r="O203" s="11">
        <f>VLOOKUP(I203,资产!$A:$AF,17,0)/100</f>
        <v>8185.8</v>
      </c>
      <c r="P203" s="11">
        <f>VLOOKUP(I203,资产!$A:$AF,18,0)/100</f>
        <v>15040.5</v>
      </c>
      <c r="Q203" s="11">
        <f>VLOOKUP(I203,资产!$A:$AF,20,0)/100</f>
        <v>24629.07</v>
      </c>
      <c r="R203" s="35">
        <f>VLOOKUP(I203,负债!$A:$P,5,0)/100</f>
        <v>32639.71</v>
      </c>
      <c r="S203" s="35">
        <f>VLOOKUP(I203,负债!$A:$P,6,0)/100</f>
        <v>8477.17</v>
      </c>
      <c r="T203" s="37">
        <f>VLOOKUP(I203,资产!$A:$AF,2,0)/100</f>
        <v>79078.3</v>
      </c>
      <c r="U203" s="37">
        <f>VLOOKUP(I203,资产!$A:$AF,7,0)/100</f>
        <v>73774.539999999994</v>
      </c>
      <c r="V203" s="37">
        <f>VLOOKUP(I203,负债!$A:$P,9,0)/100</f>
        <v>14031.15</v>
      </c>
      <c r="W203" s="37">
        <f>VLOOKUP(I203,负债!$A:$P,6,0)/100</f>
        <v>8477.17</v>
      </c>
      <c r="X203" s="11">
        <f>VLOOKUP(I203,负债!$A:$P,2,0)/100</f>
        <v>78650.97</v>
      </c>
      <c r="Y203" s="11">
        <f t="shared" si="3"/>
        <v>56569.98</v>
      </c>
    </row>
    <row r="204" spans="9:25" s="12" customFormat="1" x14ac:dyDescent="0.35">
      <c r="I204" s="24">
        <v>45231</v>
      </c>
      <c r="J204" s="11">
        <f>VLOOKUP(I204,资产!$A:$AF,8,0)/100</f>
        <v>48726.01</v>
      </c>
      <c r="K204" s="11">
        <f>VLOOKUP(I204,资产!$A:$AF,9,0)/100</f>
        <v>2312.66</v>
      </c>
      <c r="L204" s="11">
        <f>VLOOKUP(I204,资产!$A:$AF,10,0)/100</f>
        <v>41630.239999999998</v>
      </c>
      <c r="M204" s="11">
        <f>(VLOOKUP(I204,资产!$A:$AF,13,0)+VLOOKUP(I204,资产!$A:$AF,14,0)+VLOOKUP(I204,资产!$A:$AF,15,0))/100</f>
        <v>8889.7199999999993</v>
      </c>
      <c r="N204" s="11">
        <f>VLOOKUP(I204,资产!$A:$AF,16,0)/100</f>
        <v>16715.439999999999</v>
      </c>
      <c r="O204" s="11">
        <f>VLOOKUP(I204,资产!$A:$AF,17,0)/100</f>
        <v>8078.63</v>
      </c>
      <c r="P204" s="11">
        <f>VLOOKUP(I204,资产!$A:$AF,18,0)/100</f>
        <v>15042.22</v>
      </c>
      <c r="Q204" s="11">
        <f>VLOOKUP(I204,资产!$A:$AF,20,0)/100</f>
        <v>24629.07</v>
      </c>
      <c r="R204" s="35">
        <f>VLOOKUP(I204,负债!$A:$P,5,0)/100</f>
        <v>33146.300000000003</v>
      </c>
      <c r="S204" s="35">
        <f>VLOOKUP(I204,负债!$A:$P,6,0)/100</f>
        <v>7530.08</v>
      </c>
      <c r="T204" s="37">
        <f>VLOOKUP(I204,资产!$A:$AF,2,0)/100</f>
        <v>78666.64</v>
      </c>
      <c r="U204" s="37">
        <f>VLOOKUP(I204,资产!$A:$AF,7,0)/100</f>
        <v>73378.55</v>
      </c>
      <c r="V204" s="37">
        <f>VLOOKUP(I204,负债!$A:$P,9,0)/100</f>
        <v>13965.15</v>
      </c>
      <c r="W204" s="37">
        <f>VLOOKUP(I204,负债!$A:$P,6,0)/100</f>
        <v>7530.08</v>
      </c>
      <c r="X204" s="11">
        <f>VLOOKUP(I204,负债!$A:$P,2,0)/100</f>
        <v>78239.289999999994</v>
      </c>
      <c r="Y204" s="11">
        <f t="shared" si="3"/>
        <v>57171.409999999996</v>
      </c>
    </row>
    <row r="205" spans="9:25" s="12" customFormat="1" x14ac:dyDescent="0.35">
      <c r="I205" s="24">
        <v>45238</v>
      </c>
      <c r="J205" s="11">
        <f>VLOOKUP(I205,资产!$A:$AF,8,0)/100</f>
        <v>48729.14</v>
      </c>
      <c r="K205" s="11">
        <f>VLOOKUP(I205,资产!$A:$AF,9,0)/100</f>
        <v>2312.66</v>
      </c>
      <c r="L205" s="11">
        <f>VLOOKUP(I205,资产!$A:$AF,10,0)/100</f>
        <v>41630.239999999998</v>
      </c>
      <c r="M205" s="11">
        <f>(VLOOKUP(I205,资产!$A:$AF,13,0)+VLOOKUP(I205,资产!$A:$AF,14,0)+VLOOKUP(I205,资产!$A:$AF,15,0))/100</f>
        <v>8889.93</v>
      </c>
      <c r="N205" s="11">
        <f>VLOOKUP(I205,资产!$A:$AF,16,0)/100</f>
        <v>16716.62</v>
      </c>
      <c r="O205" s="11">
        <f>VLOOKUP(I205,资产!$A:$AF,17,0)/100</f>
        <v>8079.28</v>
      </c>
      <c r="P205" s="11">
        <f>VLOOKUP(I205,资产!$A:$AF,18,0)/100</f>
        <v>15043.32</v>
      </c>
      <c r="Q205" s="11">
        <f>VLOOKUP(I205,资产!$A:$AF,20,0)/100</f>
        <v>24629.07</v>
      </c>
      <c r="R205" s="35">
        <f>VLOOKUP(I205,负债!$A:$P,5,0)/100</f>
        <v>33604.28</v>
      </c>
      <c r="S205" s="35">
        <f>VLOOKUP(I205,负债!$A:$P,6,0)/100</f>
        <v>7634.59</v>
      </c>
      <c r="T205" s="37">
        <f>VLOOKUP(I205,资产!$A:$AF,2,0)/100</f>
        <v>78606.91</v>
      </c>
      <c r="U205" s="37">
        <f>VLOOKUP(I205,资产!$A:$AF,7,0)/100</f>
        <v>73381.679999999993</v>
      </c>
      <c r="V205" s="37">
        <f>VLOOKUP(I205,负债!$A:$P,9,0)/100</f>
        <v>13438.57</v>
      </c>
      <c r="W205" s="37">
        <f>VLOOKUP(I205,负债!$A:$P,6,0)/100</f>
        <v>7634.59</v>
      </c>
      <c r="X205" s="11">
        <f>VLOOKUP(I205,负债!$A:$P,2,0)/100</f>
        <v>78179.149999999994</v>
      </c>
      <c r="Y205" s="11">
        <f t="shared" si="3"/>
        <v>57533.75</v>
      </c>
    </row>
    <row r="206" spans="9:25" s="12" customFormat="1" x14ac:dyDescent="0.35">
      <c r="I206" s="24">
        <v>45245</v>
      </c>
      <c r="J206" s="11">
        <f>VLOOKUP(I206,资产!$A:$AF,8,0)/100</f>
        <v>48426.19</v>
      </c>
      <c r="K206" s="11">
        <f>VLOOKUP(I206,资产!$A:$AF,9,0)/100</f>
        <v>2312.66</v>
      </c>
      <c r="L206" s="11">
        <f>VLOOKUP(I206,资产!$A:$AF,10,0)/100</f>
        <v>41324.51</v>
      </c>
      <c r="M206" s="11">
        <f>(VLOOKUP(I206,资产!$A:$AF,13,0)+VLOOKUP(I206,资产!$A:$AF,14,0)+VLOOKUP(I206,资产!$A:$AF,15,0))/100</f>
        <v>8563.6299999999992</v>
      </c>
      <c r="N206" s="11">
        <f>VLOOKUP(I206,资产!$A:$AF,16,0)/100</f>
        <v>16966.009999999998</v>
      </c>
      <c r="O206" s="11">
        <f>VLOOKUP(I206,资产!$A:$AF,17,0)/100</f>
        <v>7840.28</v>
      </c>
      <c r="P206" s="11">
        <f>VLOOKUP(I206,资产!$A:$AF,18,0)/100</f>
        <v>15056.26</v>
      </c>
      <c r="Q206" s="11">
        <f>VLOOKUP(I206,资产!$A:$AF,20,0)/100</f>
        <v>24629.31</v>
      </c>
      <c r="R206" s="35">
        <f>VLOOKUP(I206,负债!$A:$P,5,0)/100</f>
        <v>34833.25</v>
      </c>
      <c r="S206" s="35">
        <f>VLOOKUP(I206,负债!$A:$P,6,0)/100</f>
        <v>6699.76</v>
      </c>
      <c r="T206" s="37">
        <f>VLOOKUP(I206,资产!$A:$AF,2,0)/100</f>
        <v>78149.91</v>
      </c>
      <c r="U206" s="37">
        <f>VLOOKUP(I206,资产!$A:$AF,7,0)/100</f>
        <v>73078.97</v>
      </c>
      <c r="V206" s="37">
        <f>VLOOKUP(I206,负债!$A:$P,9,0)/100</f>
        <v>12679.73</v>
      </c>
      <c r="W206" s="37">
        <f>VLOOKUP(I206,负债!$A:$P,6,0)/100</f>
        <v>6699.76</v>
      </c>
      <c r="X206" s="11">
        <f>VLOOKUP(I206,负债!$A:$P,2,0)/100</f>
        <v>77722.149999999994</v>
      </c>
      <c r="Y206" s="11">
        <f t="shared" si="3"/>
        <v>58770.420000000006</v>
      </c>
    </row>
    <row r="207" spans="9:25" s="12" customFormat="1" x14ac:dyDescent="0.35">
      <c r="I207" s="24">
        <v>45252</v>
      </c>
      <c r="J207" s="11">
        <f>VLOOKUP(I207,资产!$A:$AF,8,0)/100</f>
        <v>48429.36</v>
      </c>
      <c r="K207" s="11">
        <f>VLOOKUP(I207,资产!$A:$AF,9,0)/100</f>
        <v>2312.66</v>
      </c>
      <c r="L207" s="11">
        <f>VLOOKUP(I207,资产!$A:$AF,10,0)/100</f>
        <v>41324.51</v>
      </c>
      <c r="M207" s="11">
        <f>(VLOOKUP(I207,资产!$A:$AF,13,0)+VLOOKUP(I207,资产!$A:$AF,14,0)+VLOOKUP(I207,资产!$A:$AF,15,0))/100</f>
        <v>9040.59</v>
      </c>
      <c r="N207" s="11">
        <f>VLOOKUP(I207,资产!$A:$AF,16,0)/100</f>
        <v>16490.63</v>
      </c>
      <c r="O207" s="11">
        <f>VLOOKUP(I207,资产!$A:$AF,17,0)/100</f>
        <v>7848.62</v>
      </c>
      <c r="P207" s="11">
        <f>VLOOKUP(I207,资产!$A:$AF,18,0)/100</f>
        <v>15049.52</v>
      </c>
      <c r="Q207" s="11">
        <f>VLOOKUP(I207,资产!$A:$AF,20,0)/100</f>
        <v>24595.95</v>
      </c>
      <c r="R207" s="35">
        <f>VLOOKUP(I207,负债!$A:$P,5,0)/100</f>
        <v>34550.629999999997</v>
      </c>
      <c r="S207" s="35">
        <f>VLOOKUP(I207,负债!$A:$P,6,0)/100</f>
        <v>6930.07</v>
      </c>
      <c r="T207" s="37">
        <f>VLOOKUP(I207,资产!$A:$AF,2,0)/100</f>
        <v>78108.14</v>
      </c>
      <c r="U207" s="37">
        <f>VLOOKUP(I207,资产!$A:$AF,7,0)/100</f>
        <v>73048.78</v>
      </c>
      <c r="V207" s="37">
        <f>VLOOKUP(I207,负债!$A:$P,9,0)/100</f>
        <v>12716.79</v>
      </c>
      <c r="W207" s="37">
        <f>VLOOKUP(I207,负债!$A:$P,6,0)/100</f>
        <v>6930.07</v>
      </c>
      <c r="X207" s="11">
        <f>VLOOKUP(I207,负债!$A:$P,2,0)/100</f>
        <v>77680.39</v>
      </c>
      <c r="Y207" s="11">
        <f t="shared" si="3"/>
        <v>58461.279999999999</v>
      </c>
    </row>
    <row r="208" spans="9:25" s="12" customFormat="1" x14ac:dyDescent="0.35">
      <c r="I208" s="24">
        <v>45259</v>
      </c>
      <c r="J208" s="11">
        <f>VLOOKUP(I208,资产!$A:$AF,8,0)/100</f>
        <v>48431.74</v>
      </c>
      <c r="K208" s="11">
        <f>VLOOKUP(I208,资产!$A:$AF,9,0)/100</f>
        <v>2312.66</v>
      </c>
      <c r="L208" s="11">
        <f>VLOOKUP(I208,资产!$A:$AF,10,0)/100</f>
        <v>41324.51</v>
      </c>
      <c r="M208" s="11">
        <f>(VLOOKUP(I208,资产!$A:$AF,13,0)+VLOOKUP(I208,资产!$A:$AF,14,0)+VLOOKUP(I208,资产!$A:$AF,15,0))/100</f>
        <v>9040.77</v>
      </c>
      <c r="N208" s="11">
        <f>VLOOKUP(I208,资产!$A:$AF,16,0)/100</f>
        <v>16491.64</v>
      </c>
      <c r="O208" s="11">
        <f>VLOOKUP(I208,资产!$A:$AF,17,0)/100</f>
        <v>7849.16</v>
      </c>
      <c r="P208" s="11">
        <f>VLOOKUP(I208,资产!$A:$AF,18,0)/100</f>
        <v>15050.17</v>
      </c>
      <c r="Q208" s="11">
        <f>VLOOKUP(I208,资产!$A:$AF,20,0)/100</f>
        <v>24470.35</v>
      </c>
      <c r="R208" s="35">
        <f>VLOOKUP(I208,负债!$A:$P,5,0)/100</f>
        <v>33953.96</v>
      </c>
      <c r="S208" s="35">
        <f>VLOOKUP(I208,负债!$A:$P,6,0)/100</f>
        <v>7535.7</v>
      </c>
      <c r="T208" s="37">
        <f>VLOOKUP(I208,资产!$A:$AF,2,0)/100</f>
        <v>77961.45</v>
      </c>
      <c r="U208" s="37">
        <f>VLOOKUP(I208,资产!$A:$AF,7,0)/100</f>
        <v>72925.56</v>
      </c>
      <c r="V208" s="37">
        <f>VLOOKUP(I208,负债!$A:$P,9,0)/100</f>
        <v>12541.56</v>
      </c>
      <c r="W208" s="37">
        <f>VLOOKUP(I208,负债!$A:$P,6,0)/100</f>
        <v>7535.7</v>
      </c>
      <c r="X208" s="11">
        <f>VLOOKUP(I208,负债!$A:$P,2,0)/100</f>
        <v>77533.69</v>
      </c>
      <c r="Y208" s="11">
        <f t="shared" si="3"/>
        <v>57884.19</v>
      </c>
    </row>
    <row r="209" spans="9:25" s="12" customFormat="1" x14ac:dyDescent="0.35">
      <c r="I209" s="24">
        <v>45266</v>
      </c>
      <c r="J209" s="11">
        <f>VLOOKUP(I209,资产!$A:$AF,8,0)/100</f>
        <v>48128.2</v>
      </c>
      <c r="K209" s="11">
        <f>VLOOKUP(I209,资产!$A:$AF,9,0)/100</f>
        <v>2304.08</v>
      </c>
      <c r="L209" s="11">
        <f>VLOOKUP(I209,资产!$A:$AF,10,0)/100</f>
        <v>41027.760000000002</v>
      </c>
      <c r="M209" s="11">
        <f>(VLOOKUP(I209,资产!$A:$AF,13,0)+VLOOKUP(I209,资产!$A:$AF,14,0)+VLOOKUP(I209,资产!$A:$AF,15,0))/100</f>
        <v>8928.9599999999991</v>
      </c>
      <c r="N209" s="11">
        <f>VLOOKUP(I209,资产!$A:$AF,16,0)/100</f>
        <v>16353.54</v>
      </c>
      <c r="O209" s="11">
        <f>VLOOKUP(I209,资产!$A:$AF,17,0)/100</f>
        <v>7793.68</v>
      </c>
      <c r="P209" s="11">
        <f>VLOOKUP(I209,资产!$A:$AF,18,0)/100</f>
        <v>15052.02</v>
      </c>
      <c r="Q209" s="11">
        <f>VLOOKUP(I209,资产!$A:$AF,20,0)/100</f>
        <v>24470.35</v>
      </c>
      <c r="R209" s="35">
        <f>VLOOKUP(I209,负债!$A:$P,5,0)/100</f>
        <v>34967.54</v>
      </c>
      <c r="S209" s="35">
        <f>VLOOKUP(I209,负债!$A:$P,6,0)/100</f>
        <v>6676.78</v>
      </c>
      <c r="T209" s="37">
        <f>VLOOKUP(I209,资产!$A:$AF,2,0)/100</f>
        <v>77373.850000000006</v>
      </c>
      <c r="U209" s="37">
        <f>VLOOKUP(I209,资产!$A:$AF,7,0)/100</f>
        <v>72622.02</v>
      </c>
      <c r="V209" s="37">
        <f>VLOOKUP(I209,负债!$A:$P,9,0)/100</f>
        <v>11845.28</v>
      </c>
      <c r="W209" s="37">
        <f>VLOOKUP(I209,负债!$A:$P,6,0)/100</f>
        <v>6676.78</v>
      </c>
      <c r="X209" s="11">
        <f>VLOOKUP(I209,负债!$A:$P,2,0)/100</f>
        <v>76945.350000000006</v>
      </c>
      <c r="Y209" s="11">
        <f t="shared" si="3"/>
        <v>58851.790000000008</v>
      </c>
    </row>
    <row r="210" spans="9:25" s="12" customFormat="1" x14ac:dyDescent="0.35">
      <c r="I210" s="24">
        <v>45273</v>
      </c>
      <c r="J210" s="11">
        <f>VLOOKUP(I210,资产!$A:$AF,8,0)/100</f>
        <v>48097.34</v>
      </c>
      <c r="K210" s="11">
        <f>VLOOKUP(I210,资产!$A:$AF,9,0)/100</f>
        <v>2273.63</v>
      </c>
      <c r="L210" s="11">
        <f>VLOOKUP(I210,资产!$A:$AF,10,0)/100</f>
        <v>41027.760000000002</v>
      </c>
      <c r="M210" s="11">
        <f>(VLOOKUP(I210,资产!$A:$AF,13,0)+VLOOKUP(I210,资产!$A:$AF,14,0)+VLOOKUP(I210,资产!$A:$AF,15,0))/100</f>
        <v>8898.49</v>
      </c>
      <c r="N210" s="11">
        <f>VLOOKUP(I210,资产!$A:$AF,16,0)/100</f>
        <v>16353.36</v>
      </c>
      <c r="O210" s="11">
        <f>VLOOKUP(I210,资产!$A:$AF,17,0)/100</f>
        <v>7793.58</v>
      </c>
      <c r="P210" s="11">
        <f>VLOOKUP(I210,资产!$A:$AF,18,0)/100</f>
        <v>15051.91</v>
      </c>
      <c r="Q210" s="11">
        <f>VLOOKUP(I210,资产!$A:$AF,20,0)/100</f>
        <v>24469.01</v>
      </c>
      <c r="R210" s="35">
        <f>VLOOKUP(I210,负债!$A:$P,5,0)/100</f>
        <v>35677.72</v>
      </c>
      <c r="S210" s="35">
        <f>VLOOKUP(I210,负债!$A:$P,6,0)/100</f>
        <v>6306.18</v>
      </c>
      <c r="T210" s="37">
        <f>VLOOKUP(I210,资产!$A:$AF,2,0)/100</f>
        <v>77395.66</v>
      </c>
      <c r="U210" s="37">
        <f>VLOOKUP(I210,资产!$A:$AF,7,0)/100</f>
        <v>72589.820000000007</v>
      </c>
      <c r="V210" s="37">
        <f>VLOOKUP(I210,负债!$A:$P,9,0)/100</f>
        <v>11522.32</v>
      </c>
      <c r="W210" s="37">
        <f>VLOOKUP(I210,负债!$A:$P,6,0)/100</f>
        <v>6306.18</v>
      </c>
      <c r="X210" s="11">
        <f>VLOOKUP(I210,负债!$A:$P,2,0)/100</f>
        <v>76967.16</v>
      </c>
      <c r="Y210" s="11">
        <f t="shared" si="3"/>
        <v>59567.159999999996</v>
      </c>
    </row>
    <row r="211" spans="9:25" s="12" customFormat="1" x14ac:dyDescent="0.35">
      <c r="I211" s="24">
        <v>45280</v>
      </c>
      <c r="J211" s="11">
        <f>VLOOKUP(I211,资产!$A:$AF,8,0)/100</f>
        <v>47923.29</v>
      </c>
      <c r="K211" s="11">
        <f>VLOOKUP(I211,资产!$A:$AF,9,0)/100</f>
        <v>2240.9499999999998</v>
      </c>
      <c r="L211" s="11">
        <f>VLOOKUP(I211,资产!$A:$AF,10,0)/100</f>
        <v>40886.81</v>
      </c>
      <c r="M211" s="11">
        <f>(VLOOKUP(I211,资产!$A:$AF,13,0)+VLOOKUP(I211,资产!$A:$AF,14,0)+VLOOKUP(I211,资产!$A:$AF,15,0))/100</f>
        <v>8803.69</v>
      </c>
      <c r="N211" s="11">
        <f>VLOOKUP(I211,资产!$A:$AF,16,0)/100</f>
        <v>16274.31</v>
      </c>
      <c r="O211" s="11">
        <f>VLOOKUP(I211,资产!$A:$AF,17,0)/100</f>
        <v>7793.49</v>
      </c>
      <c r="P211" s="11">
        <f>VLOOKUP(I211,资产!$A:$AF,18,0)/100</f>
        <v>15051.8</v>
      </c>
      <c r="Q211" s="11">
        <f>VLOOKUP(I211,资产!$A:$AF,20,0)/100</f>
        <v>24434.92</v>
      </c>
      <c r="R211" s="35">
        <f>VLOOKUP(I211,负债!$A:$P,5,0)/100</f>
        <v>34772.879999999997</v>
      </c>
      <c r="S211" s="35">
        <f>VLOOKUP(I211,负债!$A:$P,6,0)/100</f>
        <v>7327.21</v>
      </c>
      <c r="T211" s="37">
        <f>VLOOKUP(I211,资产!$A:$AF,2,0)/100</f>
        <v>77240.63</v>
      </c>
      <c r="U211" s="37">
        <f>VLOOKUP(I211,资产!$A:$AF,7,0)/100</f>
        <v>72381.679999999993</v>
      </c>
      <c r="V211" s="37">
        <f>VLOOKUP(I211,负债!$A:$P,9,0)/100</f>
        <v>11242.02</v>
      </c>
      <c r="W211" s="37">
        <f>VLOOKUP(I211,负债!$A:$P,6,0)/100</f>
        <v>7327.21</v>
      </c>
      <c r="X211" s="11">
        <f>VLOOKUP(I211,负债!$A:$P,2,0)/100</f>
        <v>76812.13</v>
      </c>
      <c r="Y211" s="11">
        <f t="shared" si="3"/>
        <v>58671.4</v>
      </c>
    </row>
    <row r="212" spans="9:25" s="12" customFormat="1" x14ac:dyDescent="0.35">
      <c r="I212" s="24">
        <v>45287</v>
      </c>
      <c r="J212" s="11">
        <f>VLOOKUP(I212,资产!$A:$AF,8,0)/100</f>
        <v>47905.47</v>
      </c>
      <c r="K212" s="11">
        <f>VLOOKUP(I212,资产!$A:$AF,9,0)/100</f>
        <v>2223.54</v>
      </c>
      <c r="L212" s="11">
        <f>VLOOKUP(I212,资产!$A:$AF,10,0)/100</f>
        <v>40886.81</v>
      </c>
      <c r="M212" s="11">
        <f>(VLOOKUP(I212,资产!$A:$AF,13,0)+VLOOKUP(I212,资产!$A:$AF,14,0)+VLOOKUP(I212,资产!$A:$AF,15,0))/100</f>
        <v>8786.27</v>
      </c>
      <c r="N212" s="11">
        <f>VLOOKUP(I212,资产!$A:$AF,16,0)/100</f>
        <v>16274.13</v>
      </c>
      <c r="O212" s="11">
        <f>VLOOKUP(I212,资产!$A:$AF,17,0)/100</f>
        <v>7793.39</v>
      </c>
      <c r="P212" s="11">
        <f>VLOOKUP(I212,资产!$A:$AF,18,0)/100</f>
        <v>15051.68</v>
      </c>
      <c r="Q212" s="11">
        <f>VLOOKUP(I212,资产!$A:$AF,20,0)/100</f>
        <v>24317.73</v>
      </c>
      <c r="R212" s="35">
        <f>VLOOKUP(I212,负债!$A:$P,5,0)/100</f>
        <v>34342.14</v>
      </c>
      <c r="S212" s="35">
        <f>VLOOKUP(I212,负债!$A:$P,6,0)/100</f>
        <v>7130.64</v>
      </c>
      <c r="T212" s="37">
        <f>VLOOKUP(I212,资产!$A:$AF,2,0)/100</f>
        <v>77127.81</v>
      </c>
      <c r="U212" s="37">
        <f>VLOOKUP(I212,资产!$A:$AF,7,0)/100</f>
        <v>72246.67</v>
      </c>
      <c r="V212" s="37">
        <f>VLOOKUP(I212,负债!$A:$P,9,0)/100</f>
        <v>11655.74</v>
      </c>
      <c r="W212" s="37">
        <f>VLOOKUP(I212,负债!$A:$P,6,0)/100</f>
        <v>7130.64</v>
      </c>
      <c r="X212" s="11">
        <f>VLOOKUP(I212,负债!$A:$P,2,0)/100</f>
        <v>76699.320000000007</v>
      </c>
      <c r="Y212" s="11">
        <f t="shared" si="3"/>
        <v>58341.43</v>
      </c>
    </row>
    <row r="213" spans="9:25" s="12" customFormat="1" x14ac:dyDescent="0.35">
      <c r="I213" s="24">
        <v>45294</v>
      </c>
      <c r="J213" s="11">
        <f>VLOOKUP(I213,资产!$A:$AF,8,0)/100</f>
        <v>47533.3</v>
      </c>
      <c r="K213" s="11">
        <f>VLOOKUP(I213,资产!$A:$AF,9,0)/100</f>
        <v>2167.88</v>
      </c>
      <c r="L213" s="11">
        <f>VLOOKUP(I213,资产!$A:$AF,10,0)/100</f>
        <v>40571.47</v>
      </c>
      <c r="M213" s="11">
        <f>(VLOOKUP(I213,资产!$A:$AF,13,0)+VLOOKUP(I213,资产!$A:$AF,14,0)+VLOOKUP(I213,资产!$A:$AF,15,0))/100</f>
        <v>8615.52</v>
      </c>
      <c r="N213" s="11">
        <f>VLOOKUP(I213,资产!$A:$AF,16,0)/100</f>
        <v>16149.38</v>
      </c>
      <c r="O213" s="11">
        <f>VLOOKUP(I213,资产!$A:$AF,17,0)/100</f>
        <v>7717.04</v>
      </c>
      <c r="P213" s="11">
        <f>VLOOKUP(I213,资产!$A:$AF,18,0)/100</f>
        <v>15051.36</v>
      </c>
      <c r="Q213" s="11">
        <f>VLOOKUP(I213,资产!$A:$AF,20,0)/100</f>
        <v>24317.73</v>
      </c>
      <c r="R213" s="35">
        <f>VLOOKUP(I213,负债!$A:$P,5,0)/100</f>
        <v>34594.089999999997</v>
      </c>
      <c r="S213" s="35">
        <f>VLOOKUP(I213,负债!$A:$P,6,0)/100</f>
        <v>7434.64</v>
      </c>
      <c r="T213" s="37">
        <f>VLOOKUP(I213,资产!$A:$AF,2,0)/100</f>
        <v>76810.240000000005</v>
      </c>
      <c r="U213" s="37">
        <f>VLOOKUP(I213,资产!$A:$AF,7,0)/100</f>
        <v>71874.5</v>
      </c>
      <c r="V213" s="37">
        <f>VLOOKUP(I213,负债!$A:$P,9,0)/100</f>
        <v>10859.75</v>
      </c>
      <c r="W213" s="37">
        <f>VLOOKUP(I213,负债!$A:$P,6,0)/100</f>
        <v>7434.64</v>
      </c>
      <c r="X213" s="11">
        <f>VLOOKUP(I213,负债!$A:$P,2,0)/100</f>
        <v>76381.740000000005</v>
      </c>
      <c r="Y213" s="11">
        <f t="shared" si="3"/>
        <v>58515.850000000006</v>
      </c>
    </row>
    <row r="214" spans="9:25" s="12" customFormat="1" x14ac:dyDescent="0.35">
      <c r="I214" s="24">
        <v>45301</v>
      </c>
      <c r="J214" s="11">
        <f>VLOOKUP(I214,资产!$A:$AF,8,0)/100</f>
        <v>47515.15</v>
      </c>
      <c r="K214" s="11">
        <f>VLOOKUP(I214,资产!$A:$AF,9,0)/100</f>
        <v>2151.92</v>
      </c>
      <c r="L214" s="11">
        <f>VLOOKUP(I214,资产!$A:$AF,10,0)/100</f>
        <v>40571.47</v>
      </c>
      <c r="M214" s="11">
        <f>(VLOOKUP(I214,资产!$A:$AF,13,0)+VLOOKUP(I214,资产!$A:$AF,14,0)+VLOOKUP(I214,资产!$A:$AF,15,0))/100</f>
        <v>8599.3799999999992</v>
      </c>
      <c r="N214" s="11">
        <f>VLOOKUP(I214,资产!$A:$AF,16,0)/100</f>
        <v>16148.45</v>
      </c>
      <c r="O214" s="11">
        <f>VLOOKUP(I214,资产!$A:$AF,17,0)/100</f>
        <v>7716.54</v>
      </c>
      <c r="P214" s="11">
        <f>VLOOKUP(I214,资产!$A:$AF,18,0)/100</f>
        <v>15050.76</v>
      </c>
      <c r="Q214" s="11">
        <f>VLOOKUP(I214,资产!$A:$AF,20,0)/100</f>
        <v>24317.73</v>
      </c>
      <c r="R214" s="35">
        <f>VLOOKUP(I214,负债!$A:$P,5,0)/100</f>
        <v>35373.83</v>
      </c>
      <c r="S214" s="35">
        <f>VLOOKUP(I214,负债!$A:$P,6,0)/100</f>
        <v>7278.56</v>
      </c>
      <c r="T214" s="37">
        <f>VLOOKUP(I214,资产!$A:$AF,2,0)/100</f>
        <v>76867.100000000006</v>
      </c>
      <c r="U214" s="37">
        <f>VLOOKUP(I214,资产!$A:$AF,7,0)/100</f>
        <v>71856.350000000006</v>
      </c>
      <c r="V214" s="37">
        <f>VLOOKUP(I214,负债!$A:$P,9,0)/100</f>
        <v>10411.44</v>
      </c>
      <c r="W214" s="37">
        <f>VLOOKUP(I214,负债!$A:$P,6,0)/100</f>
        <v>7278.56</v>
      </c>
      <c r="X214" s="11">
        <f>VLOOKUP(I214,负债!$A:$P,2,0)/100</f>
        <v>76438.600000000006</v>
      </c>
      <c r="Y214" s="11">
        <f t="shared" si="3"/>
        <v>59177.100000000006</v>
      </c>
    </row>
    <row r="215" spans="9:25" s="12" customFormat="1" x14ac:dyDescent="0.35">
      <c r="I215" s="24">
        <v>45308</v>
      </c>
      <c r="J215" s="11">
        <f>VLOOKUP(I215,资产!$A:$AF,8,0)/100</f>
        <v>47240.25</v>
      </c>
      <c r="K215" s="11">
        <f>VLOOKUP(I215,资产!$A:$AF,9,0)/100</f>
        <v>2137.4899999999998</v>
      </c>
      <c r="L215" s="11">
        <f>VLOOKUP(I215,资产!$A:$AF,10,0)/100</f>
        <v>40383.72</v>
      </c>
      <c r="M215" s="11">
        <f>(VLOOKUP(I215,资产!$A:$AF,13,0)+VLOOKUP(I215,资产!$A:$AF,14,0)+VLOOKUP(I215,资产!$A:$AF,15,0))/100</f>
        <v>8743.25</v>
      </c>
      <c r="N215" s="11">
        <f>VLOOKUP(I215,资产!$A:$AF,16,0)/100</f>
        <v>15948.9</v>
      </c>
      <c r="O215" s="11">
        <f>VLOOKUP(I215,资产!$A:$AF,17,0)/100</f>
        <v>7497.92</v>
      </c>
      <c r="P215" s="11">
        <f>VLOOKUP(I215,资产!$A:$AF,18,0)/100</f>
        <v>15050.16</v>
      </c>
      <c r="Q215" s="11">
        <f>VLOOKUP(I215,资产!$A:$AF,20,0)/100</f>
        <v>24317.1</v>
      </c>
      <c r="R215" s="35">
        <f>VLOOKUP(I215,负债!$A:$P,5,0)/100</f>
        <v>35923.269999999997</v>
      </c>
      <c r="S215" s="35">
        <f>VLOOKUP(I215,负债!$A:$P,6,0)/100</f>
        <v>7735.44</v>
      </c>
      <c r="T215" s="37">
        <f>VLOOKUP(I215,资产!$A:$AF,2,0)/100</f>
        <v>76737.41</v>
      </c>
      <c r="U215" s="37">
        <f>VLOOKUP(I215,资产!$A:$AF,7,0)/100</f>
        <v>71580.81</v>
      </c>
      <c r="V215" s="37">
        <f>VLOOKUP(I215,负债!$A:$P,9,0)/100</f>
        <v>9363.23</v>
      </c>
      <c r="W215" s="37">
        <f>VLOOKUP(I215,负债!$A:$P,6,0)/100</f>
        <v>7735.44</v>
      </c>
      <c r="X215" s="11">
        <f>VLOOKUP(I215,负债!$A:$P,2,0)/100</f>
        <v>76308.899999999994</v>
      </c>
      <c r="Y215" s="11">
        <f t="shared" si="3"/>
        <v>59638.740000000005</v>
      </c>
    </row>
    <row r="216" spans="9:25" s="12" customFormat="1" x14ac:dyDescent="0.35">
      <c r="I216" s="24">
        <v>45315</v>
      </c>
      <c r="J216" s="11">
        <f>VLOOKUP(I216,资产!$A:$AF,8,0)/100</f>
        <v>47223.02</v>
      </c>
      <c r="K216" s="11">
        <f>VLOOKUP(I216,资产!$A:$AF,9,0)/100</f>
        <v>2122.42</v>
      </c>
      <c r="L216" s="11">
        <f>VLOOKUP(I216,资产!$A:$AF,10,0)/100</f>
        <v>40383.72</v>
      </c>
      <c r="M216" s="11">
        <f>(VLOOKUP(I216,资产!$A:$AF,13,0)+VLOOKUP(I216,资产!$A:$AF,14,0)+VLOOKUP(I216,资产!$A:$AF,15,0))/100</f>
        <v>8727.9</v>
      </c>
      <c r="N216" s="11">
        <f>VLOOKUP(I216,资产!$A:$AF,16,0)/100</f>
        <v>15948.03</v>
      </c>
      <c r="O216" s="11">
        <f>VLOOKUP(I216,资产!$A:$AF,17,0)/100</f>
        <v>7497.52</v>
      </c>
      <c r="P216" s="11">
        <f>VLOOKUP(I216,资产!$A:$AF,18,0)/100</f>
        <v>15049.56</v>
      </c>
      <c r="Q216" s="11">
        <f>VLOOKUP(I216,资产!$A:$AF,20,0)/100</f>
        <v>24286.44</v>
      </c>
      <c r="R216" s="35">
        <f>VLOOKUP(I216,负债!$A:$P,5,0)/100</f>
        <v>34897.11</v>
      </c>
      <c r="S216" s="35">
        <f>VLOOKUP(I216,负债!$A:$P,6,0)/100</f>
        <v>8151.59</v>
      </c>
      <c r="T216" s="37">
        <f>VLOOKUP(I216,资产!$A:$AF,2,0)/100</f>
        <v>76772.3</v>
      </c>
      <c r="U216" s="37">
        <f>VLOOKUP(I216,资产!$A:$AF,7,0)/100</f>
        <v>71532.929999999993</v>
      </c>
      <c r="V216" s="37">
        <f>VLOOKUP(I216,负债!$A:$P,9,0)/100</f>
        <v>9800.69</v>
      </c>
      <c r="W216" s="37">
        <f>VLOOKUP(I216,负债!$A:$P,6,0)/100</f>
        <v>8151.59</v>
      </c>
      <c r="X216" s="11">
        <f>VLOOKUP(I216,负债!$A:$P,2,0)/100</f>
        <v>76343.789999999994</v>
      </c>
      <c r="Y216" s="11">
        <f t="shared" si="3"/>
        <v>58820.020000000004</v>
      </c>
    </row>
    <row r="217" spans="9:25" s="12" customFormat="1" x14ac:dyDescent="0.35">
      <c r="I217" s="24">
        <v>45322</v>
      </c>
      <c r="J217" s="11">
        <f>VLOOKUP(I217,资产!$A:$AF,8,0)/100</f>
        <v>46927.21</v>
      </c>
      <c r="K217" s="11">
        <f>VLOOKUP(I217,资产!$A:$AF,9,0)/100</f>
        <v>2103.5300000000002</v>
      </c>
      <c r="L217" s="11">
        <f>VLOOKUP(I217,资产!$A:$AF,10,0)/100</f>
        <v>40108.94</v>
      </c>
      <c r="M217" s="11">
        <f>(VLOOKUP(I217,资产!$A:$AF,13,0)+VLOOKUP(I217,资产!$A:$AF,14,0)+VLOOKUP(I217,资产!$A:$AF,15,0))/100</f>
        <v>8433.9699999999993</v>
      </c>
      <c r="N217" s="11">
        <f>VLOOKUP(I217,资产!$A:$AF,16,0)/100</f>
        <v>16026.37</v>
      </c>
      <c r="O217" s="11">
        <f>VLOOKUP(I217,资产!$A:$AF,17,0)/100</f>
        <v>7417.9</v>
      </c>
      <c r="P217" s="11">
        <f>VLOOKUP(I217,资产!$A:$AF,18,0)/100</f>
        <v>15048.97</v>
      </c>
      <c r="Q217" s="11">
        <f>VLOOKUP(I217,资产!$A:$AF,20,0)/100</f>
        <v>24171.56</v>
      </c>
      <c r="R217" s="35">
        <f>VLOOKUP(I217,负债!$A:$P,5,0)/100</f>
        <v>34117.17</v>
      </c>
      <c r="S217" s="35">
        <f>VLOOKUP(I217,负债!$A:$P,6,0)/100</f>
        <v>8654.81</v>
      </c>
      <c r="T217" s="37">
        <f>VLOOKUP(I217,资产!$A:$AF,2,0)/100</f>
        <v>76301.240000000005</v>
      </c>
      <c r="U217" s="37">
        <f>VLOOKUP(I217,资产!$A:$AF,7,0)/100</f>
        <v>71122.240000000005</v>
      </c>
      <c r="V217" s="37">
        <f>VLOOKUP(I217,负债!$A:$P,9,0)/100</f>
        <v>9776.0300000000007</v>
      </c>
      <c r="W217" s="37">
        <f>VLOOKUP(I217,负债!$A:$P,6,0)/100</f>
        <v>8654.81</v>
      </c>
      <c r="X217" s="11">
        <f>VLOOKUP(I217,负债!$A:$P,2,0)/100</f>
        <v>75872.73</v>
      </c>
      <c r="Y217" s="11">
        <f t="shared" si="3"/>
        <v>57870.400000000009</v>
      </c>
    </row>
    <row r="218" spans="9:25" s="12" customFormat="1" x14ac:dyDescent="0.35">
      <c r="I218" s="24">
        <v>45329</v>
      </c>
      <c r="J218" s="11">
        <f>VLOOKUP(I218,资产!$A:$AF,8,0)/100</f>
        <v>46926.080000000002</v>
      </c>
      <c r="K218" s="11">
        <f>VLOOKUP(I218,资产!$A:$AF,9,0)/100</f>
        <v>2103.5300000000002</v>
      </c>
      <c r="L218" s="11">
        <f>VLOOKUP(I218,资产!$A:$AF,10,0)/100</f>
        <v>40108.94</v>
      </c>
      <c r="M218" s="11">
        <f>(VLOOKUP(I218,资产!$A:$AF,13,0)+VLOOKUP(I218,资产!$A:$AF,14,0)+VLOOKUP(I218,资产!$A:$AF,15,0))/100</f>
        <v>8656.2099999999991</v>
      </c>
      <c r="N218" s="11">
        <f>VLOOKUP(I218,资产!$A:$AF,16,0)/100</f>
        <v>15803.52</v>
      </c>
      <c r="O218" s="11">
        <f>VLOOKUP(I218,资产!$A:$AF,17,0)/100</f>
        <v>7417.69</v>
      </c>
      <c r="P218" s="11">
        <f>VLOOKUP(I218,资产!$A:$AF,18,0)/100</f>
        <v>15048.65</v>
      </c>
      <c r="Q218" s="11">
        <f>VLOOKUP(I218,资产!$A:$AF,20,0)/100</f>
        <v>24171.56</v>
      </c>
      <c r="R218" s="35">
        <f>VLOOKUP(I218,负债!$A:$P,5,0)/100</f>
        <v>35557.379999999997</v>
      </c>
      <c r="S218" s="35">
        <f>VLOOKUP(I218,负债!$A:$P,6,0)/100</f>
        <v>8215.75</v>
      </c>
      <c r="T218" s="37">
        <f>VLOOKUP(I218,资产!$A:$AF,2,0)/100</f>
        <v>76313</v>
      </c>
      <c r="U218" s="37">
        <f>VLOOKUP(I218,资产!$A:$AF,7,0)/100</f>
        <v>71121.119999999995</v>
      </c>
      <c r="V218" s="37">
        <f>VLOOKUP(I218,负债!$A:$P,9,0)/100</f>
        <v>8901.7900000000009</v>
      </c>
      <c r="W218" s="37">
        <f>VLOOKUP(I218,负债!$A:$P,6,0)/100</f>
        <v>8215.75</v>
      </c>
      <c r="X218" s="11">
        <f>VLOOKUP(I218,负债!$A:$P,2,0)/100</f>
        <v>75881.61</v>
      </c>
      <c r="Y218" s="11">
        <f t="shared" si="3"/>
        <v>59195.459999999992</v>
      </c>
    </row>
    <row r="219" spans="9:25" s="12" customFormat="1" x14ac:dyDescent="0.35">
      <c r="I219" s="24">
        <v>45336</v>
      </c>
      <c r="J219" s="11">
        <f>VLOOKUP(I219,资产!$A:$AF,8,0)/100</f>
        <v>46924.95</v>
      </c>
      <c r="K219" s="11">
        <f>VLOOKUP(I219,资产!$A:$AF,9,0)/100</f>
        <v>2103.5300000000002</v>
      </c>
      <c r="L219" s="11">
        <f>VLOOKUP(I219,资产!$A:$AF,10,0)/100</f>
        <v>40108.94</v>
      </c>
      <c r="M219" s="11">
        <f>(VLOOKUP(I219,资产!$A:$AF,13,0)+VLOOKUP(I219,资产!$A:$AF,14,0)+VLOOKUP(I219,资产!$A:$AF,15,0))/100</f>
        <v>8656.06</v>
      </c>
      <c r="N219" s="11">
        <f>VLOOKUP(I219,资产!$A:$AF,16,0)/100</f>
        <v>15803.06</v>
      </c>
      <c r="O219" s="11">
        <f>VLOOKUP(I219,资产!$A:$AF,17,0)/100</f>
        <v>7417.48</v>
      </c>
      <c r="P219" s="11">
        <f>VLOOKUP(I219,资产!$A:$AF,18,0)/100</f>
        <v>15048.34</v>
      </c>
      <c r="Q219" s="11">
        <f>VLOOKUP(I219,资产!$A:$AF,20,0)/100</f>
        <v>24172.27</v>
      </c>
      <c r="R219" s="35">
        <f>VLOOKUP(I219,负债!$A:$P,5,0)/100</f>
        <v>35374.69</v>
      </c>
      <c r="S219" s="35">
        <f>VLOOKUP(I219,负债!$A:$P,6,0)/100</f>
        <v>8318.7999999999993</v>
      </c>
      <c r="T219" s="37">
        <f>VLOOKUP(I219,资产!$A:$AF,2,0)/100</f>
        <v>76338.740000000005</v>
      </c>
      <c r="U219" s="37">
        <f>VLOOKUP(I219,资产!$A:$AF,7,0)/100</f>
        <v>71120.69</v>
      </c>
      <c r="V219" s="37">
        <f>VLOOKUP(I219,负债!$A:$P,9,0)/100</f>
        <v>9055.7199999999993</v>
      </c>
      <c r="W219" s="37">
        <f>VLOOKUP(I219,负债!$A:$P,6,0)/100</f>
        <v>8318.7999999999993</v>
      </c>
      <c r="X219" s="11">
        <f>VLOOKUP(I219,负债!$A:$P,2,0)/100</f>
        <v>75907.350000000006</v>
      </c>
      <c r="Y219" s="11">
        <f t="shared" si="3"/>
        <v>58964.22</v>
      </c>
    </row>
    <row r="220" spans="9:25" s="12" customFormat="1" x14ac:dyDescent="0.35">
      <c r="I220" s="24">
        <v>45343</v>
      </c>
      <c r="J220" s="11">
        <f>VLOOKUP(I220,资产!$A:$AF,8,0)/100</f>
        <v>46614.21</v>
      </c>
      <c r="K220" s="11">
        <f>VLOOKUP(I220,资产!$A:$AF,9,0)/100</f>
        <v>2103.5300000000002</v>
      </c>
      <c r="L220" s="11">
        <f>VLOOKUP(I220,资产!$A:$AF,10,0)/100</f>
        <v>39799.33</v>
      </c>
      <c r="M220" s="11">
        <f>(VLOOKUP(I220,资产!$A:$AF,13,0)+VLOOKUP(I220,资产!$A:$AF,14,0)+VLOOKUP(I220,资产!$A:$AF,15,0))/100</f>
        <v>8747.9</v>
      </c>
      <c r="N220" s="11">
        <f>VLOOKUP(I220,资产!$A:$AF,16,0)/100</f>
        <v>15637.03</v>
      </c>
      <c r="O220" s="11">
        <f>VLOOKUP(I220,资产!$A:$AF,17,0)/100</f>
        <v>7162.76</v>
      </c>
      <c r="P220" s="11">
        <f>VLOOKUP(I220,资产!$A:$AF,18,0)/100</f>
        <v>15066.51</v>
      </c>
      <c r="Q220" s="11">
        <f>VLOOKUP(I220,资产!$A:$AF,20,0)/100</f>
        <v>24142.2</v>
      </c>
      <c r="R220" s="35">
        <f>VLOOKUP(I220,负债!$A:$P,5,0)/100</f>
        <v>35230.949999999997</v>
      </c>
      <c r="S220" s="35">
        <f>VLOOKUP(I220,负债!$A:$P,6,0)/100</f>
        <v>7887.59</v>
      </c>
      <c r="T220" s="37">
        <f>VLOOKUP(I220,资产!$A:$AF,2,0)/100</f>
        <v>75816.83</v>
      </c>
      <c r="U220" s="37">
        <f>VLOOKUP(I220,资产!$A:$AF,7,0)/100</f>
        <v>70779.88</v>
      </c>
      <c r="V220" s="37">
        <f>VLOOKUP(I220,负债!$A:$P,9,0)/100</f>
        <v>9146.25</v>
      </c>
      <c r="W220" s="37">
        <f>VLOOKUP(I220,负债!$A:$P,6,0)/100</f>
        <v>7887.59</v>
      </c>
      <c r="X220" s="11">
        <f>VLOOKUP(I220,负债!$A:$P,2,0)/100</f>
        <v>75385.42</v>
      </c>
      <c r="Y220" s="11">
        <f t="shared" si="3"/>
        <v>58782.990000000005</v>
      </c>
    </row>
    <row r="221" spans="9:25" s="12" customFormat="1" x14ac:dyDescent="0.35">
      <c r="I221" s="24">
        <v>45350</v>
      </c>
      <c r="J221" s="11">
        <f>VLOOKUP(I221,资产!$A:$AF,8,0)/100</f>
        <v>46612.57</v>
      </c>
      <c r="K221" s="11">
        <f>VLOOKUP(I221,资产!$A:$AF,9,0)/100</f>
        <v>2103.5300000000002</v>
      </c>
      <c r="L221" s="11">
        <f>VLOOKUP(I221,资产!$A:$AF,10,0)/100</f>
        <v>39798.83</v>
      </c>
      <c r="M221" s="11">
        <f>(VLOOKUP(I221,资产!$A:$AF,13,0)+VLOOKUP(I221,资产!$A:$AF,14,0)+VLOOKUP(I221,资产!$A:$AF,15,0))/100</f>
        <v>8747.76</v>
      </c>
      <c r="N221" s="11">
        <f>VLOOKUP(I221,资产!$A:$AF,16,0)/100</f>
        <v>15722.06</v>
      </c>
      <c r="O221" s="11">
        <f>VLOOKUP(I221,资产!$A:$AF,17,0)/100</f>
        <v>7076.56</v>
      </c>
      <c r="P221" s="11">
        <f>VLOOKUP(I221,资产!$A:$AF,18,0)/100</f>
        <v>15066.19</v>
      </c>
      <c r="Q221" s="11">
        <f>VLOOKUP(I221,资产!$A:$AF,20,0)/100</f>
        <v>24032.35</v>
      </c>
      <c r="R221" s="35">
        <f>VLOOKUP(I221,负债!$A:$P,5,0)/100</f>
        <v>35409.82</v>
      </c>
      <c r="S221" s="35">
        <f>VLOOKUP(I221,负债!$A:$P,6,0)/100</f>
        <v>7676.72</v>
      </c>
      <c r="T221" s="37">
        <f>VLOOKUP(I221,资产!$A:$AF,2,0)/100</f>
        <v>75678.070000000007</v>
      </c>
      <c r="U221" s="37">
        <f>VLOOKUP(I221,资产!$A:$AF,7,0)/100</f>
        <v>70668.39</v>
      </c>
      <c r="V221" s="37">
        <f>VLOOKUP(I221,负债!$A:$P,9,0)/100</f>
        <v>9088.01</v>
      </c>
      <c r="W221" s="37">
        <f>VLOOKUP(I221,负债!$A:$P,6,0)/100</f>
        <v>7676.72</v>
      </c>
      <c r="X221" s="11">
        <f>VLOOKUP(I221,负债!$A:$P,2,0)/100</f>
        <v>75246.67</v>
      </c>
      <c r="Y221" s="11">
        <f t="shared" si="3"/>
        <v>58913.340000000011</v>
      </c>
    </row>
    <row r="222" spans="9:25" s="12" customFormat="1" x14ac:dyDescent="0.35">
      <c r="I222" s="24">
        <v>45357</v>
      </c>
      <c r="J222" s="11">
        <f>VLOOKUP(I222,资产!$A:$AF,8,0)/100</f>
        <v>46317.06</v>
      </c>
      <c r="K222" s="11">
        <f>VLOOKUP(I222,资产!$A:$AF,9,0)/100</f>
        <v>2093.12</v>
      </c>
      <c r="L222" s="11">
        <f>VLOOKUP(I222,资产!$A:$AF,10,0)/100</f>
        <v>39505.03</v>
      </c>
      <c r="M222" s="11">
        <f>(VLOOKUP(I222,资产!$A:$AF,13,0)+VLOOKUP(I222,资产!$A:$AF,14,0)+VLOOKUP(I222,资产!$A:$AF,15,0))/100</f>
        <v>8703.81</v>
      </c>
      <c r="N222" s="11">
        <f>VLOOKUP(I222,资产!$A:$AF,16,0)/100</f>
        <v>15438.78</v>
      </c>
      <c r="O222" s="11">
        <f>VLOOKUP(I222,资产!$A:$AF,17,0)/100</f>
        <v>7095.63</v>
      </c>
      <c r="P222" s="11">
        <f>VLOOKUP(I222,资产!$A:$AF,18,0)/100</f>
        <v>15078.83</v>
      </c>
      <c r="Q222" s="11">
        <f>VLOOKUP(I222,资产!$A:$AF,20,0)/100</f>
        <v>24032.35</v>
      </c>
      <c r="R222" s="35">
        <f>VLOOKUP(I222,负债!$A:$P,5,0)/100</f>
        <v>36206.89</v>
      </c>
      <c r="S222" s="35">
        <f>VLOOKUP(I222,负债!$A:$P,6,0)/100</f>
        <v>7605.5</v>
      </c>
      <c r="T222" s="37">
        <f>VLOOKUP(I222,资产!$A:$AF,2,0)/100</f>
        <v>75388.570000000007</v>
      </c>
      <c r="U222" s="37">
        <f>VLOOKUP(I222,资产!$A:$AF,7,0)/100</f>
        <v>70372.88</v>
      </c>
      <c r="V222" s="37">
        <f>VLOOKUP(I222,负债!$A:$P,9,0)/100</f>
        <v>7933.94</v>
      </c>
      <c r="W222" s="37">
        <f>VLOOKUP(I222,负债!$A:$P,6,0)/100</f>
        <v>7605.5</v>
      </c>
      <c r="X222" s="11">
        <f>VLOOKUP(I222,负债!$A:$P,2,0)/100</f>
        <v>74957.149999999994</v>
      </c>
      <c r="Y222" s="11">
        <f t="shared" si="3"/>
        <v>59849.130000000005</v>
      </c>
    </row>
    <row r="223" spans="9:25" s="12" customFormat="1" x14ac:dyDescent="0.35">
      <c r="I223" s="24">
        <v>45364</v>
      </c>
      <c r="J223" s="11">
        <f>VLOOKUP(I223,资产!$A:$AF,8,0)/100</f>
        <v>46288.51</v>
      </c>
      <c r="K223" s="11">
        <f>VLOOKUP(I223,资产!$A:$AF,9,0)/100</f>
        <v>2058.27</v>
      </c>
      <c r="L223" s="11">
        <f>VLOOKUP(I223,资产!$A:$AF,10,0)/100</f>
        <v>39505.53</v>
      </c>
      <c r="M223" s="11">
        <f>(VLOOKUP(I223,资产!$A:$AF,13,0)+VLOOKUP(I223,资产!$A:$AF,14,0)+VLOOKUP(I223,资产!$A:$AF,15,0))/100</f>
        <v>8669.7199999999993</v>
      </c>
      <c r="N223" s="11">
        <f>VLOOKUP(I223,资产!$A:$AF,16,0)/100</f>
        <v>15441.34</v>
      </c>
      <c r="O223" s="11">
        <f>VLOOKUP(I223,资产!$A:$AF,17,0)/100</f>
        <v>7097</v>
      </c>
      <c r="P223" s="11">
        <f>VLOOKUP(I223,资产!$A:$AF,18,0)/100</f>
        <v>15080.45</v>
      </c>
      <c r="Q223" s="11">
        <f>VLOOKUP(I223,资产!$A:$AF,20,0)/100</f>
        <v>24032.35</v>
      </c>
      <c r="R223" s="35">
        <f>VLOOKUP(I223,负债!$A:$P,5,0)/100</f>
        <v>35731.53</v>
      </c>
      <c r="S223" s="35">
        <f>VLOOKUP(I223,负债!$A:$P,6,0)/100</f>
        <v>7483.88</v>
      </c>
      <c r="T223" s="37">
        <f>VLOOKUP(I223,资产!$A:$AF,2,0)/100</f>
        <v>75419.69</v>
      </c>
      <c r="U223" s="37">
        <f>VLOOKUP(I223,资产!$A:$AF,7,0)/100</f>
        <v>70344.33</v>
      </c>
      <c r="V223" s="37">
        <f>VLOOKUP(I223,负债!$A:$P,9,0)/100</f>
        <v>8546.7800000000007</v>
      </c>
      <c r="W223" s="37">
        <f>VLOOKUP(I223,负债!$A:$P,6,0)/100</f>
        <v>7483.88</v>
      </c>
      <c r="X223" s="11">
        <f>VLOOKUP(I223,负债!$A:$P,2,0)/100</f>
        <v>74988.27</v>
      </c>
      <c r="Y223" s="11">
        <f t="shared" si="3"/>
        <v>59389.030000000006</v>
      </c>
    </row>
    <row r="224" spans="9:25" s="12" customFormat="1" x14ac:dyDescent="0.35">
      <c r="I224" s="24">
        <v>45371</v>
      </c>
      <c r="J224" s="11">
        <f>VLOOKUP(I224,资产!$A:$AF,8,0)/100</f>
        <v>46204.35</v>
      </c>
      <c r="K224" s="11">
        <f>VLOOKUP(I224,资产!$A:$AF,9,0)/100</f>
        <v>2021.48</v>
      </c>
      <c r="L224" s="11">
        <f>VLOOKUP(I224,资产!$A:$AF,10,0)/100</f>
        <v>39452.36</v>
      </c>
      <c r="M224" s="11">
        <f>(VLOOKUP(I224,资产!$A:$AF,13,0)+VLOOKUP(I224,资产!$A:$AF,14,0)+VLOOKUP(I224,资产!$A:$AF,15,0))/100</f>
        <v>8661.17</v>
      </c>
      <c r="N224" s="11">
        <f>VLOOKUP(I224,资产!$A:$AF,16,0)/100</f>
        <v>15363.04</v>
      </c>
      <c r="O224" s="11">
        <f>VLOOKUP(I224,资产!$A:$AF,17,0)/100</f>
        <v>7098.08</v>
      </c>
      <c r="P224" s="11">
        <f>VLOOKUP(I224,资产!$A:$AF,18,0)/100</f>
        <v>15082.07</v>
      </c>
      <c r="Q224" s="11">
        <f>VLOOKUP(I224,资产!$A:$AF,20,0)/100</f>
        <v>23999.919999999998</v>
      </c>
      <c r="R224" s="35">
        <f>VLOOKUP(I224,负债!$A:$P,5,0)/100</f>
        <v>34895.769999999997</v>
      </c>
      <c r="S224" s="35">
        <f>VLOOKUP(I224,负债!$A:$P,6,0)/100</f>
        <v>8126.05</v>
      </c>
      <c r="T224" s="37">
        <f>VLOOKUP(I224,资产!$A:$AF,2,0)/100</f>
        <v>75143.48</v>
      </c>
      <c r="U224" s="37">
        <f>VLOOKUP(I224,资产!$A:$AF,7,0)/100</f>
        <v>70227.740000000005</v>
      </c>
      <c r="V224" s="37">
        <f>VLOOKUP(I224,负债!$A:$P,9,0)/100</f>
        <v>8454.66</v>
      </c>
      <c r="W224" s="37">
        <f>VLOOKUP(I224,负债!$A:$P,6,0)/100</f>
        <v>8126.05</v>
      </c>
      <c r="X224" s="11">
        <f>VLOOKUP(I224,负债!$A:$P,2,0)/100</f>
        <v>74712.06</v>
      </c>
      <c r="Y224" s="11">
        <f t="shared" si="3"/>
        <v>58562.76999999999</v>
      </c>
    </row>
    <row r="225" spans="9:25" s="12" customFormat="1" x14ac:dyDescent="0.35">
      <c r="I225" s="24">
        <v>45378</v>
      </c>
      <c r="J225" s="11">
        <f>VLOOKUP(I225,资产!$A:$AF,8,0)/100</f>
        <v>46180.82</v>
      </c>
      <c r="K225" s="11">
        <f>VLOOKUP(I225,资产!$A:$AF,9,0)/100</f>
        <v>1992.15</v>
      </c>
      <c r="L225" s="11">
        <f>VLOOKUP(I225,资产!$A:$AF,10,0)/100</f>
        <v>39452.36</v>
      </c>
      <c r="M225" s="11">
        <f>(VLOOKUP(I225,资产!$A:$AF,13,0)+VLOOKUP(I225,资产!$A:$AF,14,0)+VLOOKUP(I225,资产!$A:$AF,15,0))/100</f>
        <v>8632.57</v>
      </c>
      <c r="N225" s="11">
        <f>VLOOKUP(I225,资产!$A:$AF,16,0)/100</f>
        <v>15365.4</v>
      </c>
      <c r="O225" s="11">
        <f>VLOOKUP(I225,资产!$A:$AF,17,0)/100</f>
        <v>7099.16</v>
      </c>
      <c r="P225" s="11">
        <f>VLOOKUP(I225,资产!$A:$AF,18,0)/100</f>
        <v>15083.69</v>
      </c>
      <c r="Q225" s="11">
        <f>VLOOKUP(I225,资产!$A:$AF,20,0)/100</f>
        <v>23884.35</v>
      </c>
      <c r="R225" s="35">
        <f>VLOOKUP(I225,负债!$A:$P,5,0)/100</f>
        <v>34724.03</v>
      </c>
      <c r="S225" s="35">
        <f>VLOOKUP(I225,负债!$A:$P,6,0)/100</f>
        <v>7722.6</v>
      </c>
      <c r="T225" s="37">
        <f>VLOOKUP(I225,资产!$A:$AF,2,0)/100</f>
        <v>74847.39</v>
      </c>
      <c r="U225" s="37">
        <f>VLOOKUP(I225,资产!$A:$AF,7,0)/100</f>
        <v>70088.639999999999</v>
      </c>
      <c r="V225" s="37">
        <f>VLOOKUP(I225,负债!$A:$P,9,0)/100</f>
        <v>8727.4599999999991</v>
      </c>
      <c r="W225" s="37">
        <f>VLOOKUP(I225,负债!$A:$P,6,0)/100</f>
        <v>7722.6</v>
      </c>
      <c r="X225" s="11">
        <f>VLOOKUP(I225,负债!$A:$P,2,0)/100</f>
        <v>74415.960000000006</v>
      </c>
      <c r="Y225" s="11">
        <f t="shared" si="3"/>
        <v>58397.329999999994</v>
      </c>
    </row>
    <row r="226" spans="9:25" s="12" customFormat="1" x14ac:dyDescent="0.35">
      <c r="I226" s="24">
        <v>45385</v>
      </c>
      <c r="J226" s="11">
        <f>VLOOKUP(I226,资产!$A:$AF,8,0)/100</f>
        <v>45751.62</v>
      </c>
      <c r="K226" s="11">
        <f>VLOOKUP(I226,资产!$A:$AF,9,0)/100</f>
        <v>1951.43</v>
      </c>
      <c r="L226" s="11">
        <f>VLOOKUP(I226,资产!$A:$AF,10,0)/100</f>
        <v>39057.629999999997</v>
      </c>
      <c r="M226" s="11">
        <f>(VLOOKUP(I226,资产!$A:$AF,13,0)+VLOOKUP(I226,资产!$A:$AF,14,0)+VLOOKUP(I226,资产!$A:$AF,15,0))/100</f>
        <v>8450.65</v>
      </c>
      <c r="N226" s="11">
        <f>VLOOKUP(I226,资产!$A:$AF,16,0)/100</f>
        <v>15202.73</v>
      </c>
      <c r="O226" s="11">
        <f>VLOOKUP(I226,资产!$A:$AF,17,0)/100</f>
        <v>7012.79</v>
      </c>
      <c r="P226" s="11">
        <f>VLOOKUP(I226,资产!$A:$AF,18,0)/100</f>
        <v>15085.44</v>
      </c>
      <c r="Q226" s="11">
        <f>VLOOKUP(I226,资产!$A:$AF,20,0)/100</f>
        <v>23884.35</v>
      </c>
      <c r="R226" s="35">
        <f>VLOOKUP(I226,负债!$A:$P,5,0)/100</f>
        <v>35411.67</v>
      </c>
      <c r="S226" s="35">
        <f>VLOOKUP(I226,负债!$A:$P,6,0)/100</f>
        <v>7328.28</v>
      </c>
      <c r="T226" s="37">
        <f>VLOOKUP(I226,资产!$A:$AF,2,0)/100</f>
        <v>74395.58</v>
      </c>
      <c r="U226" s="37">
        <f>VLOOKUP(I226,资产!$A:$AF,7,0)/100</f>
        <v>69659.44</v>
      </c>
      <c r="V226" s="37">
        <f>VLOOKUP(I226,负债!$A:$P,9,0)/100</f>
        <v>8016.36</v>
      </c>
      <c r="W226" s="37">
        <f>VLOOKUP(I226,负债!$A:$P,6,0)/100</f>
        <v>7328.28</v>
      </c>
      <c r="X226" s="11">
        <f>VLOOKUP(I226,负债!$A:$P,2,0)/100</f>
        <v>73964.179999999993</v>
      </c>
      <c r="Y226" s="11">
        <f t="shared" si="3"/>
        <v>59050.94</v>
      </c>
    </row>
    <row r="227" spans="9:25" s="12" customFormat="1" x14ac:dyDescent="0.35">
      <c r="I227" s="24">
        <v>45392</v>
      </c>
      <c r="J227" s="11">
        <f>VLOOKUP(I227,资产!$A:$AF,8,0)/100</f>
        <v>45758.46</v>
      </c>
      <c r="K227" s="11">
        <f>VLOOKUP(I227,资产!$A:$AF,9,0)/100</f>
        <v>1951.43</v>
      </c>
      <c r="L227" s="11">
        <f>VLOOKUP(I227,资产!$A:$AF,10,0)/100</f>
        <v>39057.629999999997</v>
      </c>
      <c r="M227" s="11">
        <f>(VLOOKUP(I227,资产!$A:$AF,13,0)+VLOOKUP(I227,资产!$A:$AF,14,0)+VLOOKUP(I227,资产!$A:$AF,15,0))/100</f>
        <v>8451.5400000000009</v>
      </c>
      <c r="N227" s="11">
        <f>VLOOKUP(I227,资产!$A:$AF,16,0)/100</f>
        <v>15205.51</v>
      </c>
      <c r="O227" s="11">
        <f>VLOOKUP(I227,资产!$A:$AF,17,0)/100</f>
        <v>7014.07</v>
      </c>
      <c r="P227" s="11">
        <f>VLOOKUP(I227,资产!$A:$AF,18,0)/100</f>
        <v>15087.35</v>
      </c>
      <c r="Q227" s="11">
        <f>VLOOKUP(I227,资产!$A:$AF,20,0)/100</f>
        <v>23884.35</v>
      </c>
      <c r="R227" s="35">
        <f>VLOOKUP(I227,负债!$A:$P,5,0)/100</f>
        <v>36156.910000000003</v>
      </c>
      <c r="S227" s="35">
        <f>VLOOKUP(I227,负债!$A:$P,6,0)/100</f>
        <v>6725.37</v>
      </c>
      <c r="T227" s="37">
        <f>VLOOKUP(I227,资产!$A:$AF,2,0)/100</f>
        <v>74381.759999999995</v>
      </c>
      <c r="U227" s="37">
        <f>VLOOKUP(I227,资产!$A:$AF,7,0)/100</f>
        <v>69666.289999999994</v>
      </c>
      <c r="V227" s="37">
        <f>VLOOKUP(I227,负债!$A:$P,9,0)/100</f>
        <v>7991.97</v>
      </c>
      <c r="W227" s="37">
        <f>VLOOKUP(I227,负债!$A:$P,6,0)/100</f>
        <v>6725.37</v>
      </c>
      <c r="X227" s="11">
        <f>VLOOKUP(I227,负债!$A:$P,2,0)/100</f>
        <v>73950.36</v>
      </c>
      <c r="Y227" s="11">
        <f t="shared" si="3"/>
        <v>59664.419999999991</v>
      </c>
    </row>
    <row r="228" spans="9:25" s="12" customFormat="1" x14ac:dyDescent="0.35">
      <c r="I228" s="24">
        <v>45399</v>
      </c>
      <c r="J228" s="11">
        <f>VLOOKUP(I228,资产!$A:$AF,8,0)/100</f>
        <v>45391.33</v>
      </c>
      <c r="K228" s="11">
        <f>VLOOKUP(I228,资产!$A:$AF,9,0)/100</f>
        <v>1951.43</v>
      </c>
      <c r="L228" s="11">
        <f>VLOOKUP(I228,资产!$A:$AF,10,0)/100</f>
        <v>38813.550000000003</v>
      </c>
      <c r="M228" s="11">
        <f>(VLOOKUP(I228,资产!$A:$AF,13,0)+VLOOKUP(I228,资产!$A:$AF,14,0)+VLOOKUP(I228,资产!$A:$AF,15,0))/100</f>
        <v>8281.0300000000007</v>
      </c>
      <c r="N228" s="11">
        <f>VLOOKUP(I228,资产!$A:$AF,16,0)/100</f>
        <v>15176.34</v>
      </c>
      <c r="O228" s="11">
        <f>VLOOKUP(I228,资产!$A:$AF,17,0)/100</f>
        <v>6841.07</v>
      </c>
      <c r="P228" s="11">
        <f>VLOOKUP(I228,资产!$A:$AF,18,0)/100</f>
        <v>15092.89</v>
      </c>
      <c r="Q228" s="11">
        <f>VLOOKUP(I228,资产!$A:$AF,20,0)/100</f>
        <v>23882.41</v>
      </c>
      <c r="R228" s="35">
        <f>VLOOKUP(I228,负债!$A:$P,5,0)/100</f>
        <v>33295.32</v>
      </c>
      <c r="S228" s="35">
        <f>VLOOKUP(I228,负债!$A:$P,6,0)/100</f>
        <v>9299.32</v>
      </c>
      <c r="T228" s="37">
        <f>VLOOKUP(I228,资产!$A:$AF,2,0)/100</f>
        <v>74055.06</v>
      </c>
      <c r="U228" s="37">
        <f>VLOOKUP(I228,资产!$A:$AF,7,0)/100</f>
        <v>69297.2</v>
      </c>
      <c r="V228" s="37">
        <f>VLOOKUP(I228,负债!$A:$P,9,0)/100</f>
        <v>7956.4</v>
      </c>
      <c r="W228" s="37">
        <f>VLOOKUP(I228,负债!$A:$P,6,0)/100</f>
        <v>9299.32</v>
      </c>
      <c r="X228" s="11">
        <f>VLOOKUP(I228,负债!$A:$P,2,0)/100</f>
        <v>73623.66</v>
      </c>
      <c r="Y228" s="11">
        <f t="shared" si="3"/>
        <v>56799.340000000004</v>
      </c>
    </row>
    <row r="229" spans="9:25" s="12" customFormat="1" x14ac:dyDescent="0.35">
      <c r="I229" s="24">
        <v>45406</v>
      </c>
      <c r="J229" s="11">
        <f>VLOOKUP(I229,资产!$A:$AF,8,0)/100</f>
        <v>45397.99</v>
      </c>
      <c r="K229" s="11">
        <f>VLOOKUP(I229,资产!$A:$AF,9,0)/100</f>
        <v>1951.43</v>
      </c>
      <c r="L229" s="11">
        <f>VLOOKUP(I229,资产!$A:$AF,10,0)/100</f>
        <v>38813.550000000003</v>
      </c>
      <c r="M229" s="11">
        <f>(VLOOKUP(I229,资产!$A:$AF,13,0)+VLOOKUP(I229,资产!$A:$AF,14,0)+VLOOKUP(I229,资产!$A:$AF,15,0))/100</f>
        <v>8281.89</v>
      </c>
      <c r="N229" s="11">
        <f>VLOOKUP(I229,资产!$A:$AF,16,0)/100</f>
        <v>15179.21</v>
      </c>
      <c r="O229" s="11">
        <f>VLOOKUP(I229,资产!$A:$AF,17,0)/100</f>
        <v>6842.09</v>
      </c>
      <c r="P229" s="11">
        <f>VLOOKUP(I229,资产!$A:$AF,18,0)/100</f>
        <v>15094.8</v>
      </c>
      <c r="Q229" s="11">
        <f>VLOOKUP(I229,资产!$A:$AF,20,0)/100</f>
        <v>23847.200000000001</v>
      </c>
      <c r="R229" s="35">
        <f>VLOOKUP(I229,负债!$A:$P,5,0)/100</f>
        <v>32717.06</v>
      </c>
      <c r="S229" s="35">
        <f>VLOOKUP(I229,负债!$A:$P,6,0)/100</f>
        <v>9293.7900000000009</v>
      </c>
      <c r="T229" s="37">
        <f>VLOOKUP(I229,资产!$A:$AF,2,0)/100</f>
        <v>74024.34</v>
      </c>
      <c r="U229" s="37">
        <f>VLOOKUP(I229,资产!$A:$AF,7,0)/100</f>
        <v>69268.66</v>
      </c>
      <c r="V229" s="37">
        <f>VLOOKUP(I229,负债!$A:$P,9,0)/100</f>
        <v>8092.59</v>
      </c>
      <c r="W229" s="37">
        <f>VLOOKUP(I229,负债!$A:$P,6,0)/100</f>
        <v>9293.7900000000009</v>
      </c>
      <c r="X229" s="11">
        <f>VLOOKUP(I229,负债!$A:$P,2,0)/100</f>
        <v>73592.94</v>
      </c>
      <c r="Y229" s="11">
        <f t="shared" si="3"/>
        <v>56637.96</v>
      </c>
    </row>
    <row r="230" spans="9:25" s="12" customFormat="1" x14ac:dyDescent="0.35">
      <c r="I230" s="24">
        <v>45413</v>
      </c>
      <c r="J230" s="11">
        <f>VLOOKUP(I230,资产!$A:$AF,8,0)/100</f>
        <v>45179.06</v>
      </c>
      <c r="K230" s="11">
        <f>VLOOKUP(I230,资产!$A:$AF,9,0)/100</f>
        <v>1951.43</v>
      </c>
      <c r="L230" s="11">
        <f>VLOOKUP(I230,资产!$A:$AF,10,0)/100</f>
        <v>38586.85</v>
      </c>
      <c r="M230" s="11">
        <f>(VLOOKUP(I230,资产!$A:$AF,13,0)+VLOOKUP(I230,资产!$A:$AF,14,0)+VLOOKUP(I230,资产!$A:$AF,15,0))/100</f>
        <v>8239.39</v>
      </c>
      <c r="N230" s="11">
        <f>VLOOKUP(I230,资产!$A:$AF,16,0)/100</f>
        <v>15057.75</v>
      </c>
      <c r="O230" s="11">
        <f>VLOOKUP(I230,资产!$A:$AF,17,0)/100</f>
        <v>6784.59</v>
      </c>
      <c r="P230" s="11">
        <f>VLOOKUP(I230,资产!$A:$AF,18,0)/100</f>
        <v>15097.33</v>
      </c>
      <c r="Q230" s="11">
        <f>VLOOKUP(I230,资产!$A:$AF,20,0)/100</f>
        <v>23720.49</v>
      </c>
      <c r="R230" s="35">
        <f>VLOOKUP(I230,负债!$A:$P,5,0)/100</f>
        <v>33170.35</v>
      </c>
      <c r="S230" s="35">
        <f>VLOOKUP(I230,负债!$A:$P,6,0)/100</f>
        <v>8904.42</v>
      </c>
      <c r="T230" s="37">
        <f>VLOOKUP(I230,资产!$A:$AF,2,0)/100</f>
        <v>73624.740000000005</v>
      </c>
      <c r="U230" s="37">
        <f>VLOOKUP(I230,资产!$A:$AF,7,0)/100</f>
        <v>68923.02</v>
      </c>
      <c r="V230" s="37">
        <f>VLOOKUP(I230,负债!$A:$P,9,0)/100</f>
        <v>7980.65</v>
      </c>
      <c r="W230" s="37">
        <f>VLOOKUP(I230,负债!$A:$P,6,0)/100</f>
        <v>8904.42</v>
      </c>
      <c r="X230" s="11">
        <f>VLOOKUP(I230,负债!$A:$P,2,0)/100</f>
        <v>73193.34</v>
      </c>
      <c r="Y230" s="11">
        <f t="shared" si="3"/>
        <v>56739.670000000013</v>
      </c>
    </row>
    <row r="231" spans="9:25" s="12" customFormat="1" x14ac:dyDescent="0.35">
      <c r="I231" s="24">
        <v>45420</v>
      </c>
      <c r="J231" s="11">
        <f>VLOOKUP(I231,资产!$A:$AF,8,0)/100</f>
        <v>45186.91</v>
      </c>
      <c r="K231" s="11">
        <f>VLOOKUP(I231,资产!$A:$AF,9,0)/100</f>
        <v>1952.18</v>
      </c>
      <c r="L231" s="11">
        <f>VLOOKUP(I231,资产!$A:$AF,10,0)/100</f>
        <v>38586.85</v>
      </c>
      <c r="M231" s="11">
        <f>(VLOOKUP(I231,资产!$A:$AF,13,0)+VLOOKUP(I231,资产!$A:$AF,14,0)+VLOOKUP(I231,资产!$A:$AF,15,0))/100</f>
        <v>8241.02</v>
      </c>
      <c r="N231" s="11">
        <f>VLOOKUP(I231,资产!$A:$AF,16,0)/100</f>
        <v>15061</v>
      </c>
      <c r="O231" s="11">
        <f>VLOOKUP(I231,资产!$A:$AF,17,0)/100</f>
        <v>6785.62</v>
      </c>
      <c r="P231" s="11">
        <f>VLOOKUP(I231,资产!$A:$AF,18,0)/100</f>
        <v>15099.28</v>
      </c>
      <c r="Q231" s="11">
        <f>VLOOKUP(I231,资产!$A:$AF,20,0)/100</f>
        <v>23720.49</v>
      </c>
      <c r="R231" s="35">
        <f>VLOOKUP(I231,负债!$A:$P,5,0)/100</f>
        <v>33306.870000000003</v>
      </c>
      <c r="S231" s="35">
        <f>VLOOKUP(I231,负债!$A:$P,6,0)/100</f>
        <v>8168.09</v>
      </c>
      <c r="T231" s="37">
        <f>VLOOKUP(I231,资产!$A:$AF,2,0)/100</f>
        <v>73534.080000000002</v>
      </c>
      <c r="U231" s="37">
        <f>VLOOKUP(I231,资产!$A:$AF,7,0)/100</f>
        <v>68930.87</v>
      </c>
      <c r="V231" s="37">
        <f>VLOOKUP(I231,负债!$A:$P,9,0)/100</f>
        <v>8549.64</v>
      </c>
      <c r="W231" s="37">
        <f>VLOOKUP(I231,负债!$A:$P,6,0)/100</f>
        <v>8168.09</v>
      </c>
      <c r="X231" s="11">
        <f>VLOOKUP(I231,负债!$A:$P,2,0)/100</f>
        <v>73102.179999999993</v>
      </c>
      <c r="Y231" s="11">
        <f t="shared" si="3"/>
        <v>56816.350000000006</v>
      </c>
    </row>
    <row r="232" spans="9:25" s="12" customFormat="1" x14ac:dyDescent="0.35">
      <c r="I232" s="24">
        <v>45427</v>
      </c>
      <c r="J232" s="11">
        <f>VLOOKUP(I232,资产!$A:$AF,8,0)/100</f>
        <v>44880.9</v>
      </c>
      <c r="K232" s="11">
        <f>VLOOKUP(I232,资产!$A:$AF,9,0)/100</f>
        <v>1952.18</v>
      </c>
      <c r="L232" s="11">
        <f>VLOOKUP(I232,资产!$A:$AF,10,0)/100</f>
        <v>38274.06</v>
      </c>
      <c r="M232" s="11">
        <f>(VLOOKUP(I232,资产!$A:$AF,13,0)+VLOOKUP(I232,资产!$A:$AF,14,0)+VLOOKUP(I232,资产!$A:$AF,15,0))/100</f>
        <v>8244.14</v>
      </c>
      <c r="N232" s="11">
        <f>VLOOKUP(I232,资产!$A:$AF,16,0)/100</f>
        <v>15017.23</v>
      </c>
      <c r="O232" s="11">
        <f>VLOOKUP(I232,资产!$A:$AF,17,0)/100</f>
        <v>6434.1</v>
      </c>
      <c r="P232" s="11">
        <f>VLOOKUP(I232,资产!$A:$AF,18,0)/100</f>
        <v>15185.43</v>
      </c>
      <c r="Q232" s="11">
        <f>VLOOKUP(I232,资产!$A:$AF,20,0)/100</f>
        <v>23719.83</v>
      </c>
      <c r="R232" s="35">
        <f>VLOOKUP(I232,负债!$A:$P,5,0)/100</f>
        <v>34163.86</v>
      </c>
      <c r="S232" s="35">
        <f>VLOOKUP(I232,负债!$A:$P,6,0)/100</f>
        <v>7061.08</v>
      </c>
      <c r="T232" s="37">
        <f>VLOOKUP(I232,资产!$A:$AF,2,0)/100</f>
        <v>73042.720000000001</v>
      </c>
      <c r="U232" s="37">
        <f>VLOOKUP(I232,资产!$A:$AF,7,0)/100</f>
        <v>68624.2</v>
      </c>
      <c r="V232" s="37">
        <f>VLOOKUP(I232,负债!$A:$P,9,0)/100</f>
        <v>8272.1</v>
      </c>
      <c r="W232" s="37">
        <f>VLOOKUP(I232,负债!$A:$P,6,0)/100</f>
        <v>7061.08</v>
      </c>
      <c r="X232" s="11">
        <f>VLOOKUP(I232,负债!$A:$P,2,0)/100</f>
        <v>72610.820000000007</v>
      </c>
      <c r="Y232" s="11">
        <f t="shared" si="3"/>
        <v>57709.54</v>
      </c>
    </row>
    <row r="233" spans="9:25" s="12" customFormat="1" x14ac:dyDescent="0.35">
      <c r="I233" s="24">
        <v>45434</v>
      </c>
      <c r="J233" s="11">
        <f>VLOOKUP(I233,资产!$A:$AF,8,0)/100</f>
        <v>44887.67</v>
      </c>
      <c r="K233" s="11">
        <f>VLOOKUP(I233,资产!$A:$AF,9,0)/100</f>
        <v>1952.18</v>
      </c>
      <c r="L233" s="11">
        <f>VLOOKUP(I233,资产!$A:$AF,10,0)/100</f>
        <v>38274.06</v>
      </c>
      <c r="M233" s="11">
        <f>(VLOOKUP(I233,资产!$A:$AF,13,0)+VLOOKUP(I233,资产!$A:$AF,14,0)+VLOOKUP(I233,资产!$A:$AF,15,0))/100</f>
        <v>8245</v>
      </c>
      <c r="N233" s="11">
        <f>VLOOKUP(I233,资产!$A:$AF,16,0)/100</f>
        <v>15020.16</v>
      </c>
      <c r="O233" s="11">
        <f>VLOOKUP(I233,资产!$A:$AF,17,0)/100</f>
        <v>6487.92</v>
      </c>
      <c r="P233" s="11">
        <f>VLOOKUP(I233,资产!$A:$AF,18,0)/100</f>
        <v>15134.59</v>
      </c>
      <c r="Q233" s="11">
        <f>VLOOKUP(I233,资产!$A:$AF,20,0)/100</f>
        <v>23682.400000000001</v>
      </c>
      <c r="R233" s="35">
        <f>VLOOKUP(I233,负债!$A:$P,5,0)/100</f>
        <v>33750.14</v>
      </c>
      <c r="S233" s="35">
        <f>VLOOKUP(I233,负债!$A:$P,6,0)/100</f>
        <v>7108.82</v>
      </c>
      <c r="T233" s="37">
        <f>VLOOKUP(I233,资产!$A:$AF,2,0)/100</f>
        <v>72995.66</v>
      </c>
      <c r="U233" s="37">
        <f>VLOOKUP(I233,资产!$A:$AF,7,0)/100</f>
        <v>68593.539999999994</v>
      </c>
      <c r="V233" s="37">
        <f>VLOOKUP(I233,负债!$A:$P,9,0)/100</f>
        <v>8649.1</v>
      </c>
      <c r="W233" s="37">
        <f>VLOOKUP(I233,负债!$A:$P,6,0)/100</f>
        <v>7108.82</v>
      </c>
      <c r="X233" s="11">
        <f>VLOOKUP(I233,负债!$A:$P,2,0)/100</f>
        <v>72563.759999999995</v>
      </c>
      <c r="Y233" s="11">
        <f t="shared" si="3"/>
        <v>57237.740000000005</v>
      </c>
    </row>
    <row r="234" spans="9:25" s="12" customFormat="1" x14ac:dyDescent="0.35">
      <c r="I234" s="24">
        <v>45441</v>
      </c>
      <c r="J234" s="11">
        <f>VLOOKUP(I234,资产!$A:$AF,8,0)/100</f>
        <v>44894.44</v>
      </c>
      <c r="K234" s="11">
        <f>VLOOKUP(I234,资产!$A:$AF,9,0)/100</f>
        <v>1952.18</v>
      </c>
      <c r="L234" s="11">
        <f>VLOOKUP(I234,资产!$A:$AF,10,0)/100</f>
        <v>38274.06</v>
      </c>
      <c r="M234" s="11">
        <f>(VLOOKUP(I234,资产!$A:$AF,13,0)+VLOOKUP(I234,资产!$A:$AF,14,0)+VLOOKUP(I234,资产!$A:$AF,15,0))/100</f>
        <v>8245.8799999999992</v>
      </c>
      <c r="N234" s="11">
        <f>VLOOKUP(I234,资产!$A:$AF,16,0)/100</f>
        <v>15023.08</v>
      </c>
      <c r="O234" s="11">
        <f>VLOOKUP(I234,资产!$A:$AF,17,0)/100</f>
        <v>6488.95</v>
      </c>
      <c r="P234" s="11">
        <f>VLOOKUP(I234,资产!$A:$AF,18,0)/100</f>
        <v>15136.53</v>
      </c>
      <c r="Q234" s="11">
        <f>VLOOKUP(I234,资产!$A:$AF,20,0)/100</f>
        <v>23546.42</v>
      </c>
      <c r="R234" s="35">
        <f>VLOOKUP(I234,负债!$A:$P,5,0)/100</f>
        <v>33910.769999999997</v>
      </c>
      <c r="S234" s="35">
        <f>VLOOKUP(I234,负债!$A:$P,6,0)/100</f>
        <v>7160.2</v>
      </c>
      <c r="T234" s="37">
        <f>VLOOKUP(I234,资产!$A:$AF,2,0)/100</f>
        <v>72843.19</v>
      </c>
      <c r="U234" s="37">
        <f>VLOOKUP(I234,资产!$A:$AF,7,0)/100</f>
        <v>68464.34</v>
      </c>
      <c r="V234" s="37">
        <f>VLOOKUP(I234,负债!$A:$P,9,0)/100</f>
        <v>8246.02</v>
      </c>
      <c r="W234" s="37">
        <f>VLOOKUP(I234,负债!$A:$P,6,0)/100</f>
        <v>7160.2</v>
      </c>
      <c r="X234" s="11">
        <f>VLOOKUP(I234,负债!$A:$P,2,0)/100</f>
        <v>72411.289999999994</v>
      </c>
      <c r="Y234" s="11">
        <f t="shared" si="3"/>
        <v>57436.97</v>
      </c>
    </row>
    <row r="235" spans="9:25" s="12" customFormat="1" x14ac:dyDescent="0.35">
      <c r="I235" s="24">
        <v>45448</v>
      </c>
      <c r="J235" s="11">
        <f>VLOOKUP(I235,资产!$A:$AF,8,0)/100</f>
        <v>44612.36</v>
      </c>
      <c r="K235" s="11">
        <f>VLOOKUP(I235,资产!$A:$AF,9,0)/100</f>
        <v>1952.18</v>
      </c>
      <c r="L235" s="11">
        <f>VLOOKUP(I235,资产!$A:$AF,10,0)/100</f>
        <v>37977.35</v>
      </c>
      <c r="M235" s="11">
        <f>(VLOOKUP(I235,资产!$A:$AF,13,0)+VLOOKUP(I235,资产!$A:$AF,14,0)+VLOOKUP(I235,资产!$A:$AF,15,0))/100</f>
        <v>8106.56</v>
      </c>
      <c r="N235" s="11">
        <f>VLOOKUP(I235,资产!$A:$AF,16,0)/100</f>
        <v>14896</v>
      </c>
      <c r="O235" s="11">
        <f>VLOOKUP(I235,资产!$A:$AF,17,0)/100</f>
        <v>6462.34</v>
      </c>
      <c r="P235" s="11">
        <f>VLOOKUP(I235,资产!$A:$AF,18,0)/100</f>
        <v>15147.46</v>
      </c>
      <c r="Q235" s="11">
        <f>VLOOKUP(I235,资产!$A:$AF,20,0)/100</f>
        <v>23546.42</v>
      </c>
      <c r="R235" s="35">
        <f>VLOOKUP(I235,负债!$A:$P,5,0)/100</f>
        <v>34577.379999999997</v>
      </c>
      <c r="S235" s="35">
        <f>VLOOKUP(I235,负债!$A:$P,6,0)/100</f>
        <v>7033.14</v>
      </c>
      <c r="T235" s="37">
        <f>VLOOKUP(I235,资产!$A:$AF,2,0)/100</f>
        <v>72556.87</v>
      </c>
      <c r="U235" s="37">
        <f>VLOOKUP(I235,资产!$A:$AF,7,0)/100</f>
        <v>68182.25</v>
      </c>
      <c r="V235" s="37">
        <f>VLOOKUP(I235,负债!$A:$P,9,0)/100</f>
        <v>7458.45</v>
      </c>
      <c r="W235" s="37">
        <f>VLOOKUP(I235,负债!$A:$P,6,0)/100</f>
        <v>7033.14</v>
      </c>
      <c r="X235" s="11">
        <f>VLOOKUP(I235,负债!$A:$P,2,0)/100</f>
        <v>72124</v>
      </c>
      <c r="Y235" s="11">
        <f t="shared" si="3"/>
        <v>58065.279999999999</v>
      </c>
    </row>
    <row r="236" spans="9:25" s="12" customFormat="1" x14ac:dyDescent="0.35">
      <c r="I236" s="24">
        <v>45455</v>
      </c>
      <c r="J236" s="11">
        <f>VLOOKUP(I236,资产!$A:$AF,8,0)/100</f>
        <v>44616.61</v>
      </c>
      <c r="K236" s="11">
        <f>VLOOKUP(I236,资产!$A:$AF,9,0)/100</f>
        <v>1952.18</v>
      </c>
      <c r="L236" s="11">
        <f>VLOOKUP(I236,资产!$A:$AF,10,0)/100</f>
        <v>37977.35</v>
      </c>
      <c r="M236" s="11">
        <f>(VLOOKUP(I236,资产!$A:$AF,13,0)+VLOOKUP(I236,资产!$A:$AF,14,0)+VLOOKUP(I236,资产!$A:$AF,15,0))/100</f>
        <v>8107.12</v>
      </c>
      <c r="N236" s="11">
        <f>VLOOKUP(I236,资产!$A:$AF,16,0)/100</f>
        <v>14897.83</v>
      </c>
      <c r="O236" s="11">
        <f>VLOOKUP(I236,资产!$A:$AF,17,0)/100</f>
        <v>6463</v>
      </c>
      <c r="P236" s="11">
        <f>VLOOKUP(I236,资产!$A:$AF,18,0)/100</f>
        <v>15148.67</v>
      </c>
      <c r="Q236" s="11">
        <f>VLOOKUP(I236,资产!$A:$AF,20,0)/100</f>
        <v>23546.42</v>
      </c>
      <c r="R236" s="35">
        <f>VLOOKUP(I236,负债!$A:$P,5,0)/100</f>
        <v>34340.32</v>
      </c>
      <c r="S236" s="35">
        <f>VLOOKUP(I236,负债!$A:$P,6,0)/100</f>
        <v>6502.12</v>
      </c>
      <c r="T236" s="37">
        <f>VLOOKUP(I236,资产!$A:$AF,2,0)/100</f>
        <v>72589.740000000005</v>
      </c>
      <c r="U236" s="37">
        <f>VLOOKUP(I236,资产!$A:$AF,7,0)/100</f>
        <v>68186.5</v>
      </c>
      <c r="V236" s="37">
        <f>VLOOKUP(I236,负债!$A:$P,9,0)/100</f>
        <v>8327.56</v>
      </c>
      <c r="W236" s="37">
        <f>VLOOKUP(I236,负债!$A:$P,6,0)/100</f>
        <v>6502.12</v>
      </c>
      <c r="X236" s="11">
        <f>VLOOKUP(I236,负债!$A:$P,2,0)/100</f>
        <v>72156.88</v>
      </c>
      <c r="Y236" s="11">
        <f t="shared" si="3"/>
        <v>57760.060000000005</v>
      </c>
    </row>
    <row r="237" spans="9:25" s="12" customFormat="1" x14ac:dyDescent="0.35">
      <c r="I237" s="24">
        <v>45462</v>
      </c>
      <c r="J237" s="11">
        <f>VLOOKUP(I237,资产!$A:$AF,8,0)/100</f>
        <v>44530.71</v>
      </c>
      <c r="K237" s="11">
        <f>VLOOKUP(I237,资产!$A:$AF,9,0)/100</f>
        <v>1952.18</v>
      </c>
      <c r="L237" s="11">
        <f>VLOOKUP(I237,资产!$A:$AF,10,0)/100</f>
        <v>37887.199999999997</v>
      </c>
      <c r="M237" s="11">
        <f>(VLOOKUP(I237,资产!$A:$AF,13,0)+VLOOKUP(I237,资产!$A:$AF,14,0)+VLOOKUP(I237,资产!$A:$AF,15,0))/100</f>
        <v>8004.88</v>
      </c>
      <c r="N237" s="11">
        <f>VLOOKUP(I237,资产!$A:$AF,16,0)/100</f>
        <v>14892.56</v>
      </c>
      <c r="O237" s="11">
        <f>VLOOKUP(I237,资产!$A:$AF,17,0)/100</f>
        <v>6476.26</v>
      </c>
      <c r="P237" s="11">
        <f>VLOOKUP(I237,资产!$A:$AF,18,0)/100</f>
        <v>15157.01</v>
      </c>
      <c r="Q237" s="11">
        <f>VLOOKUP(I237,资产!$A:$AF,20,0)/100</f>
        <v>23546.400000000001</v>
      </c>
      <c r="R237" s="35">
        <f>VLOOKUP(I237,负债!$A:$P,5,0)/100</f>
        <v>33661.67</v>
      </c>
      <c r="S237" s="35">
        <f>VLOOKUP(I237,负债!$A:$P,6,0)/100</f>
        <v>7821.58</v>
      </c>
      <c r="T237" s="37">
        <f>VLOOKUP(I237,资产!$A:$AF,2,0)/100</f>
        <v>72525.42</v>
      </c>
      <c r="U237" s="37">
        <f>VLOOKUP(I237,资产!$A:$AF,7,0)/100</f>
        <v>68100.58</v>
      </c>
      <c r="V237" s="37">
        <f>VLOOKUP(I237,负债!$A:$P,9,0)/100</f>
        <v>7648.69</v>
      </c>
      <c r="W237" s="37">
        <f>VLOOKUP(I237,负债!$A:$P,6,0)/100</f>
        <v>7821.58</v>
      </c>
      <c r="X237" s="11">
        <f>VLOOKUP(I237,负债!$A:$P,2,0)/100</f>
        <v>72092.55</v>
      </c>
      <c r="Y237" s="11">
        <f t="shared" si="3"/>
        <v>57055.149999999994</v>
      </c>
    </row>
    <row r="238" spans="9:25" s="12" customFormat="1" x14ac:dyDescent="0.35">
      <c r="I238" s="24">
        <v>45469</v>
      </c>
      <c r="J238" s="11">
        <f>VLOOKUP(I238,资产!$A:$AF,8,0)/100</f>
        <v>44535.71</v>
      </c>
      <c r="K238" s="11">
        <f>VLOOKUP(I238,资产!$A:$AF,9,0)/100</f>
        <v>1952.93</v>
      </c>
      <c r="L238" s="11">
        <f>VLOOKUP(I238,资产!$A:$AF,10,0)/100</f>
        <v>37887.199999999997</v>
      </c>
      <c r="M238" s="11">
        <f>(VLOOKUP(I238,资产!$A:$AF,13,0)+VLOOKUP(I238,资产!$A:$AF,14,0)+VLOOKUP(I238,资产!$A:$AF,15,0))/100</f>
        <v>8006.18</v>
      </c>
      <c r="N238" s="11">
        <f>VLOOKUP(I238,资产!$A:$AF,16,0)/100</f>
        <v>14894.39</v>
      </c>
      <c r="O238" s="11">
        <f>VLOOKUP(I238,资产!$A:$AF,17,0)/100</f>
        <v>6476.92</v>
      </c>
      <c r="P238" s="11">
        <f>VLOOKUP(I238,资产!$A:$AF,18,0)/100</f>
        <v>15158.22</v>
      </c>
      <c r="Q238" s="11">
        <f>VLOOKUP(I238,资产!$A:$AF,20,0)/100</f>
        <v>23359.97</v>
      </c>
      <c r="R238" s="35">
        <f>VLOOKUP(I238,负债!$A:$P,5,0)/100</f>
        <v>32688.959999999999</v>
      </c>
      <c r="S238" s="35">
        <f>VLOOKUP(I238,负债!$A:$P,6,0)/100</f>
        <v>7442.06</v>
      </c>
      <c r="T238" s="37">
        <f>VLOOKUP(I238,资产!$A:$AF,2,0)/100</f>
        <v>72311.63</v>
      </c>
      <c r="U238" s="37">
        <f>VLOOKUP(I238,资产!$A:$AF,7,0)/100</f>
        <v>67919.149999999994</v>
      </c>
      <c r="V238" s="37">
        <f>VLOOKUP(I238,负债!$A:$P,9,0)/100</f>
        <v>8797.66</v>
      </c>
      <c r="W238" s="37">
        <f>VLOOKUP(I238,负债!$A:$P,6,0)/100</f>
        <v>7442.06</v>
      </c>
      <c r="X238" s="11">
        <f>VLOOKUP(I238,负债!$A:$P,2,0)/100</f>
        <v>71878.69</v>
      </c>
      <c r="Y238" s="11">
        <f t="shared" si="3"/>
        <v>56071.91</v>
      </c>
    </row>
    <row r="239" spans="9:25" s="12" customFormat="1" x14ac:dyDescent="0.35">
      <c r="I239" s="24">
        <v>45476</v>
      </c>
      <c r="J239" s="11">
        <f>VLOOKUP(I239,资产!$A:$AF,8,0)/100</f>
        <v>44378.94</v>
      </c>
      <c r="K239" s="11">
        <f>VLOOKUP(I239,资产!$A:$AF,9,0)/100</f>
        <v>1952.93</v>
      </c>
      <c r="L239" s="11">
        <f>VLOOKUP(I239,资产!$A:$AF,10,0)/100</f>
        <v>37727.35</v>
      </c>
      <c r="M239" s="11">
        <f>(VLOOKUP(I239,资产!$A:$AF,13,0)+VLOOKUP(I239,资产!$A:$AF,14,0)+VLOOKUP(I239,资产!$A:$AF,15,0))/100</f>
        <v>8041.99</v>
      </c>
      <c r="N239" s="11">
        <f>VLOOKUP(I239,资产!$A:$AF,16,0)/100</f>
        <v>14711.41</v>
      </c>
      <c r="O239" s="11">
        <f>VLOOKUP(I239,资产!$A:$AF,17,0)/100</f>
        <v>6462.17</v>
      </c>
      <c r="P239" s="11">
        <f>VLOOKUP(I239,资产!$A:$AF,18,0)/100</f>
        <v>15163.38</v>
      </c>
      <c r="Q239" s="11">
        <f>VLOOKUP(I239,资产!$A:$AF,20,0)/100</f>
        <v>23359.97</v>
      </c>
      <c r="R239" s="35">
        <f>VLOOKUP(I239,负债!$A:$P,5,0)/100</f>
        <v>33221.65</v>
      </c>
      <c r="S239" s="35">
        <f>VLOOKUP(I239,负债!$A:$P,6,0)/100</f>
        <v>7456.08</v>
      </c>
      <c r="T239" s="37">
        <f>VLOOKUP(I239,资产!$A:$AF,2,0)/100</f>
        <v>72215.199999999997</v>
      </c>
      <c r="U239" s="37">
        <f>VLOOKUP(I239,资产!$A:$AF,7,0)/100</f>
        <v>67762.38</v>
      </c>
      <c r="V239" s="37">
        <f>VLOOKUP(I239,负债!$A:$P,9,0)/100</f>
        <v>8113.08</v>
      </c>
      <c r="W239" s="37">
        <f>VLOOKUP(I239,负债!$A:$P,6,0)/100</f>
        <v>7456.08</v>
      </c>
      <c r="X239" s="11">
        <f>VLOOKUP(I239,负债!$A:$P,2,0)/100</f>
        <v>71782.22</v>
      </c>
      <c r="Y239" s="11">
        <f t="shared" si="3"/>
        <v>56646.039999999994</v>
      </c>
    </row>
    <row r="240" spans="9:25" s="12" customFormat="1" x14ac:dyDescent="0.35">
      <c r="I240" s="24">
        <v>45483</v>
      </c>
      <c r="J240" s="11">
        <f>VLOOKUP(I240,资产!$A:$AF,8,0)/100</f>
        <v>44380.95</v>
      </c>
      <c r="K240" s="11">
        <f>VLOOKUP(I240,资产!$A:$AF,9,0)/100</f>
        <v>1952.93</v>
      </c>
      <c r="L240" s="11">
        <f>VLOOKUP(I240,资产!$A:$AF,10,0)/100</f>
        <v>37727.85</v>
      </c>
      <c r="M240" s="11">
        <f>(VLOOKUP(I240,资产!$A:$AF,13,0)+VLOOKUP(I240,资产!$A:$AF,14,0)+VLOOKUP(I240,资产!$A:$AF,15,0))/100</f>
        <v>8042.18</v>
      </c>
      <c r="N240" s="11">
        <f>VLOOKUP(I240,资产!$A:$AF,16,0)/100</f>
        <v>14712.06</v>
      </c>
      <c r="O240" s="11">
        <f>VLOOKUP(I240,资产!$A:$AF,17,0)/100</f>
        <v>6462.4</v>
      </c>
      <c r="P240" s="11">
        <f>VLOOKUP(I240,资产!$A:$AF,18,0)/100</f>
        <v>15164.31</v>
      </c>
      <c r="Q240" s="11">
        <f>VLOOKUP(I240,资产!$A:$AF,20,0)/100</f>
        <v>23359.97</v>
      </c>
      <c r="R240" s="35">
        <f>VLOOKUP(I240,负债!$A:$P,5,0)/100</f>
        <v>33410.47</v>
      </c>
      <c r="S240" s="35">
        <f>VLOOKUP(I240,负债!$A:$P,6,0)/100</f>
        <v>7223.28</v>
      </c>
      <c r="T240" s="37">
        <f>VLOOKUP(I240,资产!$A:$AF,2,0)/100</f>
        <v>72240.789999999994</v>
      </c>
      <c r="U240" s="37">
        <f>VLOOKUP(I240,资产!$A:$AF,7,0)/100</f>
        <v>67764.38</v>
      </c>
      <c r="V240" s="37">
        <f>VLOOKUP(I240,负债!$A:$P,9,0)/100</f>
        <v>8212.43</v>
      </c>
      <c r="W240" s="37">
        <f>VLOOKUP(I240,负债!$A:$P,6,0)/100</f>
        <v>7223.28</v>
      </c>
      <c r="X240" s="11">
        <f>VLOOKUP(I240,负债!$A:$P,2,0)/100</f>
        <v>71807.820000000007</v>
      </c>
      <c r="Y240" s="11">
        <f t="shared" si="3"/>
        <v>56805.079999999994</v>
      </c>
    </row>
    <row r="241" spans="9:25" s="12" customFormat="1" x14ac:dyDescent="0.35">
      <c r="I241" s="24">
        <v>45490</v>
      </c>
      <c r="J241" s="11">
        <f>VLOOKUP(I241,资产!$A:$AF,8,0)/100</f>
        <v>44235.519999999997</v>
      </c>
      <c r="K241" s="11">
        <f>VLOOKUP(I241,资产!$A:$AF,9,0)/100</f>
        <v>1952.93</v>
      </c>
      <c r="L241" s="11">
        <f>VLOOKUP(I241,资产!$A:$AF,10,0)/100</f>
        <v>37687.589999999997</v>
      </c>
      <c r="M241" s="11">
        <f>(VLOOKUP(I241,资产!$A:$AF,13,0)+VLOOKUP(I241,资产!$A:$AF,14,0)+VLOOKUP(I241,资产!$A:$AF,15,0))/100</f>
        <v>7863</v>
      </c>
      <c r="N241" s="11">
        <f>VLOOKUP(I241,资产!$A:$AF,16,0)/100</f>
        <v>14795.67</v>
      </c>
      <c r="O241" s="11">
        <f>VLOOKUP(I241,资产!$A:$AF,17,0)/100</f>
        <v>6376.3</v>
      </c>
      <c r="P241" s="11">
        <f>VLOOKUP(I241,资产!$A:$AF,18,0)/100</f>
        <v>15200.56</v>
      </c>
      <c r="Q241" s="11">
        <f>VLOOKUP(I241,资产!$A:$AF,20,0)/100</f>
        <v>23359.32</v>
      </c>
      <c r="R241" s="35">
        <f>VLOOKUP(I241,负债!$A:$P,5,0)/100</f>
        <v>33224.46</v>
      </c>
      <c r="S241" s="35">
        <f>VLOOKUP(I241,负债!$A:$P,6,0)/100</f>
        <v>7667.79</v>
      </c>
      <c r="T241" s="37">
        <f>VLOOKUP(I241,资产!$A:$AF,2,0)/100</f>
        <v>72082.47</v>
      </c>
      <c r="U241" s="37">
        <f>VLOOKUP(I241,资产!$A:$AF,7,0)/100</f>
        <v>67618.31</v>
      </c>
      <c r="V241" s="37">
        <f>VLOOKUP(I241,负债!$A:$P,9,0)/100</f>
        <v>7900.41</v>
      </c>
      <c r="W241" s="37">
        <f>VLOOKUP(I241,负债!$A:$P,6,0)/100</f>
        <v>7667.79</v>
      </c>
      <c r="X241" s="11">
        <f>VLOOKUP(I241,负债!$A:$P,2,0)/100</f>
        <v>71649.490000000005</v>
      </c>
      <c r="Y241" s="11">
        <f t="shared" si="3"/>
        <v>56514.27</v>
      </c>
    </row>
    <row r="242" spans="9:25" s="12" customFormat="1" x14ac:dyDescent="0.35">
      <c r="I242" s="24">
        <v>45497</v>
      </c>
      <c r="J242" s="11">
        <f>VLOOKUP(I242,资产!$A:$AF,8,0)/100</f>
        <v>44237.25</v>
      </c>
      <c r="K242" s="11">
        <f>VLOOKUP(I242,资产!$A:$AF,9,0)/100</f>
        <v>1952.93</v>
      </c>
      <c r="L242" s="11">
        <f>VLOOKUP(I242,资产!$A:$AF,10,0)/100</f>
        <v>37687.589999999997</v>
      </c>
      <c r="M242" s="11">
        <f>(VLOOKUP(I242,资产!$A:$AF,13,0)+VLOOKUP(I242,资产!$A:$AF,14,0)+VLOOKUP(I242,资产!$A:$AF,15,0))/100</f>
        <v>7863.22</v>
      </c>
      <c r="N242" s="11">
        <f>VLOOKUP(I242,资产!$A:$AF,16,0)/100</f>
        <v>14796.45</v>
      </c>
      <c r="O242" s="11">
        <f>VLOOKUP(I242,资产!$A:$AF,17,0)/100</f>
        <v>6376.51</v>
      </c>
      <c r="P242" s="11">
        <f>VLOOKUP(I242,资产!$A:$AF,18,0)/100</f>
        <v>15201.07</v>
      </c>
      <c r="Q242" s="11">
        <f>VLOOKUP(I242,资产!$A:$AF,20,0)/100</f>
        <v>23322.16</v>
      </c>
      <c r="R242" s="35">
        <f>VLOOKUP(I242,负债!$A:$P,5,0)/100</f>
        <v>32758.85</v>
      </c>
      <c r="S242" s="35">
        <f>VLOOKUP(I242,负债!$A:$P,6,0)/100</f>
        <v>7674.19</v>
      </c>
      <c r="T242" s="37">
        <f>VLOOKUP(I242,资产!$A:$AF,2,0)/100</f>
        <v>72054.55</v>
      </c>
      <c r="U242" s="37">
        <f>VLOOKUP(I242,资产!$A:$AF,7,0)/100</f>
        <v>67582.87</v>
      </c>
      <c r="V242" s="37">
        <f>VLOOKUP(I242,负债!$A:$P,9,0)/100</f>
        <v>8059.67</v>
      </c>
      <c r="W242" s="37">
        <f>VLOOKUP(I242,负债!$A:$P,6,0)/100</f>
        <v>7674.19</v>
      </c>
      <c r="X242" s="11">
        <f>VLOOKUP(I242,负债!$A:$P,2,0)/100</f>
        <v>71621.58</v>
      </c>
      <c r="Y242" s="11">
        <f t="shared" si="3"/>
        <v>56320.69</v>
      </c>
    </row>
    <row r="243" spans="9:25" s="12" customFormat="1" x14ac:dyDescent="0.35">
      <c r="I243" s="24">
        <v>45504</v>
      </c>
      <c r="J243" s="11">
        <f>VLOOKUP(I243,资产!$A:$AF,8,0)/100</f>
        <v>44136.15</v>
      </c>
      <c r="K243" s="11">
        <f>VLOOKUP(I243,资产!$A:$AF,9,0)/100</f>
        <v>1952.93</v>
      </c>
      <c r="L243" s="11">
        <f>VLOOKUP(I243,资产!$A:$AF,10,0)/100</f>
        <v>37574.28</v>
      </c>
      <c r="M243" s="11">
        <f>(VLOOKUP(I243,资产!$A:$AF,13,0)+VLOOKUP(I243,资产!$A:$AF,14,0)+VLOOKUP(I243,资产!$A:$AF,15,0))/100</f>
        <v>7820.95</v>
      </c>
      <c r="N243" s="11">
        <f>VLOOKUP(I243,资产!$A:$AF,16,0)/100</f>
        <v>14727.96</v>
      </c>
      <c r="O243" s="11">
        <f>VLOOKUP(I243,资产!$A:$AF,17,0)/100</f>
        <v>6378.5</v>
      </c>
      <c r="P243" s="11">
        <f>VLOOKUP(I243,资产!$A:$AF,18,0)/100</f>
        <v>15208.74</v>
      </c>
      <c r="Q243" s="11">
        <f>VLOOKUP(I243,资产!$A:$AF,20,0)/100</f>
        <v>23181.9</v>
      </c>
      <c r="R243" s="35">
        <f>VLOOKUP(I243,负债!$A:$P,5,0)/100</f>
        <v>31787</v>
      </c>
      <c r="S243" s="35">
        <f>VLOOKUP(I243,负债!$A:$P,6,0)/100</f>
        <v>8540.01</v>
      </c>
      <c r="T243" s="37">
        <f>VLOOKUP(I243,资产!$A:$AF,2,0)/100</f>
        <v>71783.91</v>
      </c>
      <c r="U243" s="37">
        <f>VLOOKUP(I243,资产!$A:$AF,7,0)/100</f>
        <v>67341.52</v>
      </c>
      <c r="V243" s="37">
        <f>VLOOKUP(I243,负债!$A:$P,9,0)/100</f>
        <v>8132.61</v>
      </c>
      <c r="W243" s="37">
        <f>VLOOKUP(I243,负债!$A:$P,6,0)/100</f>
        <v>8540.01</v>
      </c>
      <c r="X243" s="11">
        <f>VLOOKUP(I243,负债!$A:$P,2,0)/100</f>
        <v>71350.929999999993</v>
      </c>
      <c r="Y243" s="11">
        <f t="shared" si="3"/>
        <v>55111.29</v>
      </c>
    </row>
    <row r="244" spans="9:25" s="12" customFormat="1" x14ac:dyDescent="0.35">
      <c r="I244" s="24">
        <v>45511</v>
      </c>
      <c r="J244" s="11">
        <f>VLOOKUP(I244,资产!$A:$AF,8,0)/100</f>
        <v>44136.5</v>
      </c>
      <c r="K244" s="11">
        <f>VLOOKUP(I244,资产!$A:$AF,9,0)/100</f>
        <v>1952.93</v>
      </c>
      <c r="L244" s="11">
        <f>VLOOKUP(I244,资产!$A:$AF,10,0)/100</f>
        <v>37574.28</v>
      </c>
      <c r="M244" s="11">
        <f>(VLOOKUP(I244,资产!$A:$AF,13,0)+VLOOKUP(I244,资产!$A:$AF,14,0)+VLOOKUP(I244,资产!$A:$AF,15,0))/100</f>
        <v>7821</v>
      </c>
      <c r="N244" s="11">
        <f>VLOOKUP(I244,资产!$A:$AF,16,0)/100</f>
        <v>14728.12</v>
      </c>
      <c r="O244" s="11">
        <f>VLOOKUP(I244,资产!$A:$AF,17,0)/100</f>
        <v>6378.54</v>
      </c>
      <c r="P244" s="11">
        <f>VLOOKUP(I244,资产!$A:$AF,18,0)/100</f>
        <v>15208.84</v>
      </c>
      <c r="Q244" s="11">
        <f>VLOOKUP(I244,资产!$A:$AF,20,0)/100</f>
        <v>23181.9</v>
      </c>
      <c r="R244" s="35">
        <f>VLOOKUP(I244,负债!$A:$P,5,0)/100</f>
        <v>33729.19</v>
      </c>
      <c r="S244" s="35">
        <f>VLOOKUP(I244,负债!$A:$P,6,0)/100</f>
        <v>7852.33</v>
      </c>
      <c r="T244" s="37">
        <f>VLOOKUP(I244,资产!$A:$AF,2,0)/100</f>
        <v>71752.56</v>
      </c>
      <c r="U244" s="37">
        <f>VLOOKUP(I244,资产!$A:$AF,7,0)/100</f>
        <v>67341.87</v>
      </c>
      <c r="V244" s="37">
        <f>VLOOKUP(I244,负债!$A:$P,9,0)/100</f>
        <v>6818.81</v>
      </c>
      <c r="W244" s="37">
        <f>VLOOKUP(I244,负债!$A:$P,6,0)/100</f>
        <v>7852.33</v>
      </c>
      <c r="X244" s="11">
        <f>VLOOKUP(I244,负债!$A:$P,2,0)/100</f>
        <v>71318.48</v>
      </c>
      <c r="Y244" s="11">
        <f t="shared" si="3"/>
        <v>57081.42</v>
      </c>
    </row>
    <row r="245" spans="9:25" s="12" customFormat="1" x14ac:dyDescent="0.35">
      <c r="I245" s="24">
        <v>45518</v>
      </c>
      <c r="J245" s="11">
        <f>VLOOKUP(I245,资产!$A:$AF,8,0)/100</f>
        <v>44136.85</v>
      </c>
      <c r="K245" s="11">
        <f>VLOOKUP(I245,资产!$A:$AF,9,0)/100</f>
        <v>1952.93</v>
      </c>
      <c r="L245" s="11">
        <f>VLOOKUP(I245,资产!$A:$AF,10,0)/100</f>
        <v>37574.28</v>
      </c>
      <c r="M245" s="11">
        <f>(VLOOKUP(I245,资产!$A:$AF,13,0)+VLOOKUP(I245,资产!$A:$AF,14,0)+VLOOKUP(I245,资产!$A:$AF,15,0))/100</f>
        <v>7821.05</v>
      </c>
      <c r="N245" s="11">
        <f>VLOOKUP(I245,资产!$A:$AF,16,0)/100</f>
        <v>15271.28</v>
      </c>
      <c r="O245" s="11">
        <f>VLOOKUP(I245,资产!$A:$AF,17,0)/100</f>
        <v>5835.58</v>
      </c>
      <c r="P245" s="11">
        <f>VLOOKUP(I245,资产!$A:$AF,18,0)/100</f>
        <v>15208.94</v>
      </c>
      <c r="Q245" s="11">
        <f>VLOOKUP(I245,资产!$A:$AF,20,0)/100</f>
        <v>23181.24</v>
      </c>
      <c r="R245" s="35">
        <f>VLOOKUP(I245,负债!$A:$P,5,0)/100</f>
        <v>33389.160000000003</v>
      </c>
      <c r="S245" s="35">
        <f>VLOOKUP(I245,负债!$A:$P,6,0)/100</f>
        <v>7888.23</v>
      </c>
      <c r="T245" s="37">
        <f>VLOOKUP(I245,资产!$A:$AF,2,0)/100</f>
        <v>71776.88</v>
      </c>
      <c r="U245" s="37">
        <f>VLOOKUP(I245,资产!$A:$AF,7,0)/100</f>
        <v>67341.56</v>
      </c>
      <c r="V245" s="37">
        <f>VLOOKUP(I245,负债!$A:$P,9,0)/100</f>
        <v>7221.98</v>
      </c>
      <c r="W245" s="37">
        <f>VLOOKUP(I245,负债!$A:$P,6,0)/100</f>
        <v>7888.23</v>
      </c>
      <c r="X245" s="11">
        <f>VLOOKUP(I245,负债!$A:$P,2,0)/100</f>
        <v>71342.8</v>
      </c>
      <c r="Y245" s="11">
        <f t="shared" si="3"/>
        <v>56666.670000000013</v>
      </c>
    </row>
    <row r="246" spans="9:25" s="12" customFormat="1" x14ac:dyDescent="0.35">
      <c r="I246" s="24">
        <v>45525</v>
      </c>
      <c r="J246" s="11">
        <f>VLOOKUP(I246,资产!$A:$AF,8,0)/100</f>
        <v>43987.360000000001</v>
      </c>
      <c r="K246" s="11">
        <f>VLOOKUP(I246,资产!$A:$AF,9,0)/100</f>
        <v>1952.93</v>
      </c>
      <c r="L246" s="11">
        <f>VLOOKUP(I246,资产!$A:$AF,10,0)/100</f>
        <v>37424.44</v>
      </c>
      <c r="M246" s="11">
        <f>(VLOOKUP(I246,资产!$A:$AF,13,0)+VLOOKUP(I246,资产!$A:$AF,14,0)+VLOOKUP(I246,资产!$A:$AF,15,0))/100</f>
        <v>7889.42</v>
      </c>
      <c r="N246" s="11">
        <f>VLOOKUP(I246,资产!$A:$AF,16,0)/100</f>
        <v>14925.85</v>
      </c>
      <c r="O246" s="11">
        <f>VLOOKUP(I246,资产!$A:$AF,17,0)/100</f>
        <v>5915.5</v>
      </c>
      <c r="P246" s="11">
        <f>VLOOKUP(I246,资产!$A:$AF,18,0)/100</f>
        <v>15256.59</v>
      </c>
      <c r="Q246" s="11">
        <f>VLOOKUP(I246,资产!$A:$AF,20,0)/100</f>
        <v>23140.79</v>
      </c>
      <c r="R246" s="35">
        <f>VLOOKUP(I246,负债!$A:$P,5,0)/100</f>
        <v>33590.78</v>
      </c>
      <c r="S246" s="35">
        <f>VLOOKUP(I246,负债!$A:$P,6,0)/100</f>
        <v>7347.27</v>
      </c>
      <c r="T246" s="37">
        <f>VLOOKUP(I246,资产!$A:$AF,2,0)/100</f>
        <v>71399.520000000004</v>
      </c>
      <c r="U246" s="37">
        <f>VLOOKUP(I246,资产!$A:$AF,7,0)/100</f>
        <v>67151.62</v>
      </c>
      <c r="V246" s="37">
        <f>VLOOKUP(I246,负债!$A:$P,9,0)/100</f>
        <v>7185.27</v>
      </c>
      <c r="W246" s="37">
        <f>VLOOKUP(I246,负债!$A:$P,6,0)/100</f>
        <v>7347.27</v>
      </c>
      <c r="X246" s="11">
        <f>VLOOKUP(I246,负债!$A:$P,2,0)/100</f>
        <v>70965.440000000002</v>
      </c>
      <c r="Y246" s="11">
        <f t="shared" si="3"/>
        <v>56866.979999999996</v>
      </c>
    </row>
    <row r="247" spans="9:25" s="12" customFormat="1" x14ac:dyDescent="0.35">
      <c r="I247" s="24">
        <v>45532</v>
      </c>
      <c r="J247" s="11">
        <f>VLOOKUP(I247,资产!$A:$AF,8,0)/100</f>
        <v>43987.21</v>
      </c>
      <c r="K247" s="11">
        <f>VLOOKUP(I247,资产!$A:$AF,9,0)/100</f>
        <v>1952.93</v>
      </c>
      <c r="L247" s="11">
        <f>VLOOKUP(I247,资产!$A:$AF,10,0)/100</f>
        <v>37423.94</v>
      </c>
      <c r="M247" s="11">
        <f>(VLOOKUP(I247,资产!$A:$AF,13,0)+VLOOKUP(I247,资产!$A:$AF,14,0)+VLOOKUP(I247,资产!$A:$AF,15,0))/100</f>
        <v>7889.46</v>
      </c>
      <c r="N247" s="11">
        <f>VLOOKUP(I247,资产!$A:$AF,16,0)/100</f>
        <v>14926.01</v>
      </c>
      <c r="O247" s="11">
        <f>VLOOKUP(I247,资产!$A:$AF,17,0)/100</f>
        <v>5915.54</v>
      </c>
      <c r="P247" s="11">
        <f>VLOOKUP(I247,资产!$A:$AF,18,0)/100</f>
        <v>15256.19</v>
      </c>
      <c r="Q247" s="11">
        <f>VLOOKUP(I247,资产!$A:$AF,20,0)/100</f>
        <v>22997.98</v>
      </c>
      <c r="R247" s="35">
        <f>VLOOKUP(I247,负债!$A:$P,5,0)/100</f>
        <v>32449.59</v>
      </c>
      <c r="S247" s="35">
        <f>VLOOKUP(I247,负债!$A:$P,6,0)/100</f>
        <v>7570.77</v>
      </c>
      <c r="T247" s="37">
        <f>VLOOKUP(I247,资产!$A:$AF,2,0)/100</f>
        <v>71232.38</v>
      </c>
      <c r="U247" s="37">
        <f>VLOOKUP(I247,资产!$A:$AF,7,0)/100</f>
        <v>67008.66</v>
      </c>
      <c r="V247" s="37">
        <f>VLOOKUP(I247,负债!$A:$P,9,0)/100</f>
        <v>8020.01</v>
      </c>
      <c r="W247" s="37">
        <f>VLOOKUP(I247,负债!$A:$P,6,0)/100</f>
        <v>7570.77</v>
      </c>
      <c r="X247" s="11">
        <f>VLOOKUP(I247,负债!$A:$P,2,0)/100</f>
        <v>70798.28</v>
      </c>
      <c r="Y247" s="11">
        <f t="shared" si="3"/>
        <v>55641.600000000006</v>
      </c>
    </row>
    <row r="248" spans="9:25" s="12" customFormat="1" x14ac:dyDescent="0.35">
      <c r="I248" s="24">
        <v>45539</v>
      </c>
      <c r="J248" s="11">
        <f>VLOOKUP(I248,资产!$A:$AF,8,0)/100</f>
        <v>43888.17</v>
      </c>
      <c r="K248" s="11">
        <f>VLOOKUP(I248,资产!$A:$AF,9,0)/100</f>
        <v>1952.93</v>
      </c>
      <c r="L248" s="11">
        <f>VLOOKUP(I248,资产!$A:$AF,10,0)/100</f>
        <v>37324.03</v>
      </c>
      <c r="M248" s="11">
        <f>(VLOOKUP(I248,资产!$A:$AF,13,0)+VLOOKUP(I248,资产!$A:$AF,14,0)+VLOOKUP(I248,资产!$A:$AF,15,0))/100</f>
        <v>7889.68</v>
      </c>
      <c r="N248" s="11">
        <f>VLOOKUP(I248,资产!$A:$AF,16,0)/100</f>
        <v>14826.87</v>
      </c>
      <c r="O248" s="11">
        <f>VLOOKUP(I248,资产!$A:$AF,17,0)/100</f>
        <v>5902.45</v>
      </c>
      <c r="P248" s="11">
        <f>VLOOKUP(I248,资产!$A:$AF,18,0)/100</f>
        <v>15269.17</v>
      </c>
      <c r="Q248" s="11">
        <f>VLOOKUP(I248,资产!$A:$AF,20,0)/100</f>
        <v>22997.98</v>
      </c>
      <c r="R248" s="35">
        <f>VLOOKUP(I248,负债!$A:$P,5,0)/100</f>
        <v>32646.05</v>
      </c>
      <c r="S248" s="35">
        <f>VLOOKUP(I248,负债!$A:$P,6,0)/100</f>
        <v>7710.47</v>
      </c>
      <c r="T248" s="37">
        <f>VLOOKUP(I248,资产!$A:$AF,2,0)/100</f>
        <v>71125.67</v>
      </c>
      <c r="U248" s="37">
        <f>VLOOKUP(I248,资产!$A:$AF,7,0)/100</f>
        <v>66909.62</v>
      </c>
      <c r="V248" s="37">
        <f>VLOOKUP(I248,负债!$A:$P,9,0)/100</f>
        <v>7442.52</v>
      </c>
      <c r="W248" s="37">
        <f>VLOOKUP(I248,负债!$A:$P,6,0)/100</f>
        <v>7710.47</v>
      </c>
      <c r="X248" s="11">
        <f>VLOOKUP(I248,负债!$A:$P,2,0)/100</f>
        <v>70691.5</v>
      </c>
      <c r="Y248" s="11">
        <f t="shared" si="3"/>
        <v>55972.679999999993</v>
      </c>
    </row>
    <row r="249" spans="9:25" s="12" customFormat="1" x14ac:dyDescent="0.35">
      <c r="I249" s="24">
        <v>45546</v>
      </c>
      <c r="J249" s="11">
        <f>VLOOKUP(I249,资产!$A:$AF,8,0)/100</f>
        <v>43890.17</v>
      </c>
      <c r="K249" s="11">
        <f>VLOOKUP(I249,资产!$A:$AF,9,0)/100</f>
        <v>1952.93</v>
      </c>
      <c r="L249" s="11">
        <f>VLOOKUP(I249,资产!$A:$AF,10,0)/100</f>
        <v>37324.78</v>
      </c>
      <c r="M249" s="11">
        <f>(VLOOKUP(I249,资产!$A:$AF,13,0)+VLOOKUP(I249,资产!$A:$AF,14,0)+VLOOKUP(I249,资产!$A:$AF,15,0))/100</f>
        <v>7889.85</v>
      </c>
      <c r="N249" s="11">
        <f>VLOOKUP(I249,资产!$A:$AF,16,0)/100</f>
        <v>14828.18</v>
      </c>
      <c r="O249" s="11">
        <f>VLOOKUP(I249,资产!$A:$AF,17,0)/100</f>
        <v>5902.61</v>
      </c>
      <c r="P249" s="11">
        <f>VLOOKUP(I249,资产!$A:$AF,18,0)/100</f>
        <v>15269.53</v>
      </c>
      <c r="Q249" s="11">
        <f>VLOOKUP(I249,资产!$A:$AF,20,0)/100</f>
        <v>22997.98</v>
      </c>
      <c r="R249" s="35">
        <f>VLOOKUP(I249,负债!$A:$P,5,0)/100</f>
        <v>33597.410000000003</v>
      </c>
      <c r="S249" s="35">
        <f>VLOOKUP(I249,负债!$A:$P,6,0)/100</f>
        <v>7255.77</v>
      </c>
      <c r="T249" s="37">
        <f>VLOOKUP(I249,资产!$A:$AF,2,0)/100</f>
        <v>71150.009999999995</v>
      </c>
      <c r="U249" s="37">
        <f>VLOOKUP(I249,资产!$A:$AF,7,0)/100</f>
        <v>66911.62</v>
      </c>
      <c r="V249" s="37">
        <f>VLOOKUP(I249,负债!$A:$P,9,0)/100</f>
        <v>6992.24</v>
      </c>
      <c r="W249" s="37">
        <f>VLOOKUP(I249,负债!$A:$P,6,0)/100</f>
        <v>7255.77</v>
      </c>
      <c r="X249" s="11">
        <f>VLOOKUP(I249,负债!$A:$P,2,0)/100</f>
        <v>70715.83</v>
      </c>
      <c r="Y249" s="11">
        <f t="shared" si="3"/>
        <v>56902</v>
      </c>
    </row>
    <row r="250" spans="9:25" s="12" customFormat="1" x14ac:dyDescent="0.35">
      <c r="I250" s="24">
        <v>45553</v>
      </c>
      <c r="J250" s="11">
        <f>VLOOKUP(I250,资产!$A:$AF,8,0)/100</f>
        <v>43840.05</v>
      </c>
      <c r="K250" s="11">
        <f>VLOOKUP(I250,资产!$A:$AF,9,0)/100</f>
        <v>1952.93</v>
      </c>
      <c r="L250" s="11">
        <f>VLOOKUP(I250,资产!$A:$AF,10,0)/100</f>
        <v>37273.42</v>
      </c>
      <c r="M250" s="11">
        <f>(VLOOKUP(I250,资产!$A:$AF,13,0)+VLOOKUP(I250,资产!$A:$AF,14,0)+VLOOKUP(I250,资产!$A:$AF,15,0))/100</f>
        <v>7827.27</v>
      </c>
      <c r="N250" s="11">
        <f>VLOOKUP(I250,资产!$A:$AF,16,0)/100</f>
        <v>14834.28</v>
      </c>
      <c r="O250" s="11">
        <f>VLOOKUP(I250,资产!$A:$AF,17,0)/100</f>
        <v>5906.49</v>
      </c>
      <c r="P250" s="11">
        <f>VLOOKUP(I250,资产!$A:$AF,18,0)/100</f>
        <v>15272</v>
      </c>
      <c r="Q250" s="11">
        <f>VLOOKUP(I250,资产!$A:$AF,20,0)/100</f>
        <v>22997.3</v>
      </c>
      <c r="R250" s="35">
        <f>VLOOKUP(I250,负债!$A:$P,5,0)/100</f>
        <v>32168.22</v>
      </c>
      <c r="S250" s="35">
        <f>VLOOKUP(I250,负债!$A:$P,6,0)/100</f>
        <v>8393.98</v>
      </c>
      <c r="T250" s="37">
        <f>VLOOKUP(I250,资产!$A:$AF,2,0)/100</f>
        <v>71091.37</v>
      </c>
      <c r="U250" s="37">
        <f>VLOOKUP(I250,资产!$A:$AF,7,0)/100</f>
        <v>66860.820000000007</v>
      </c>
      <c r="V250" s="37">
        <f>VLOOKUP(I250,负债!$A:$P,9,0)/100</f>
        <v>7236.05</v>
      </c>
      <c r="W250" s="37">
        <f>VLOOKUP(I250,负债!$A:$P,6,0)/100</f>
        <v>8393.98</v>
      </c>
      <c r="X250" s="11">
        <f>VLOOKUP(I250,负债!$A:$P,2,0)/100</f>
        <v>70657.070000000007</v>
      </c>
      <c r="Y250" s="11">
        <f t="shared" si="3"/>
        <v>55461.34</v>
      </c>
    </row>
    <row r="251" spans="9:25" s="12" customFormat="1" x14ac:dyDescent="0.35">
      <c r="I251" s="24">
        <v>45560</v>
      </c>
      <c r="J251" s="11">
        <f>VLOOKUP(I251,资产!$A:$AF,8,0)/100</f>
        <v>43841.3</v>
      </c>
      <c r="K251" s="11">
        <f>VLOOKUP(I251,资产!$A:$AF,9,0)/100</f>
        <v>1952.93</v>
      </c>
      <c r="L251" s="11">
        <f>VLOOKUP(I251,资产!$A:$AF,10,0)/100</f>
        <v>37273.42</v>
      </c>
      <c r="M251" s="11">
        <f>(VLOOKUP(I251,资产!$A:$AF,13,0)+VLOOKUP(I251,资产!$A:$AF,14,0)+VLOOKUP(I251,资产!$A:$AF,15,0))/100</f>
        <v>7827.44</v>
      </c>
      <c r="N251" s="11">
        <f>VLOOKUP(I251,资产!$A:$AF,16,0)/100</f>
        <v>14834.85</v>
      </c>
      <c r="O251" s="11">
        <f>VLOOKUP(I251,资产!$A:$AF,17,0)/100</f>
        <v>5906.65</v>
      </c>
      <c r="P251" s="11">
        <f>VLOOKUP(I251,资产!$A:$AF,18,0)/100</f>
        <v>15272.37</v>
      </c>
      <c r="Q251" s="11">
        <f>VLOOKUP(I251,资产!$A:$AF,20,0)/100</f>
        <v>22820.78</v>
      </c>
      <c r="R251" s="35">
        <f>VLOOKUP(I251,负债!$A:$P,5,0)/100</f>
        <v>31415.65</v>
      </c>
      <c r="S251" s="35">
        <f>VLOOKUP(I251,负债!$A:$P,6,0)/100</f>
        <v>7789.1</v>
      </c>
      <c r="T251" s="37">
        <f>VLOOKUP(I251,资产!$A:$AF,2,0)/100</f>
        <v>70800.59</v>
      </c>
      <c r="U251" s="37">
        <f>VLOOKUP(I251,资产!$A:$AF,7,0)/100</f>
        <v>66685.55</v>
      </c>
      <c r="V251" s="37">
        <f>VLOOKUP(I251,负债!$A:$P,9,0)/100</f>
        <v>8333.14</v>
      </c>
      <c r="W251" s="37">
        <f>VLOOKUP(I251,负债!$A:$P,6,0)/100</f>
        <v>7789.1</v>
      </c>
      <c r="X251" s="11">
        <f>VLOOKUP(I251,负债!$A:$P,2,0)/100</f>
        <v>70366.36</v>
      </c>
      <c r="Y251" s="11">
        <f t="shared" si="3"/>
        <v>54678.35</v>
      </c>
    </row>
    <row r="252" spans="9:25" s="12" customFormat="1" x14ac:dyDescent="0.35">
      <c r="I252" s="24">
        <v>45567</v>
      </c>
      <c r="J252" s="11">
        <f>VLOOKUP(I252,资产!$A:$AF,8,0)/100</f>
        <v>43643.82</v>
      </c>
      <c r="K252" s="11">
        <f>VLOOKUP(I252,资产!$A:$AF,9,0)/100</f>
        <v>1952.93</v>
      </c>
      <c r="L252" s="11">
        <f>VLOOKUP(I252,资产!$A:$AF,10,0)/100</f>
        <v>37071.279999999999</v>
      </c>
      <c r="M252" s="11">
        <f>(VLOOKUP(I252,资产!$A:$AF,13,0)+VLOOKUP(I252,资产!$A:$AF,14,0)+VLOOKUP(I252,资产!$A:$AF,15,0))/100</f>
        <v>7753.7</v>
      </c>
      <c r="N252" s="11">
        <f>VLOOKUP(I252,资产!$A:$AF,16,0)/100</f>
        <v>14695.39</v>
      </c>
      <c r="O252" s="11">
        <f>VLOOKUP(I252,资产!$A:$AF,17,0)/100</f>
        <v>5919.34</v>
      </c>
      <c r="P252" s="11">
        <f>VLOOKUP(I252,资产!$A:$AF,18,0)/100</f>
        <v>15275.38</v>
      </c>
      <c r="Q252" s="11">
        <f>VLOOKUP(I252,资产!$A:$AF,20,0)/100</f>
        <v>22820.78</v>
      </c>
      <c r="R252" s="35">
        <f>VLOOKUP(I252,负债!$A:$P,5,0)/100</f>
        <v>30972.1</v>
      </c>
      <c r="S252" s="35">
        <f>VLOOKUP(I252,负债!$A:$P,6,0)/100</f>
        <v>8234.1200000000008</v>
      </c>
      <c r="T252" s="37">
        <f>VLOOKUP(I252,资产!$A:$AF,2,0)/100</f>
        <v>70469.25</v>
      </c>
      <c r="U252" s="37">
        <f>VLOOKUP(I252,资产!$A:$AF,7,0)/100</f>
        <v>66488.070000000007</v>
      </c>
      <c r="V252" s="37">
        <f>VLOOKUP(I252,负债!$A:$P,9,0)/100</f>
        <v>7992.54</v>
      </c>
      <c r="W252" s="37">
        <f>VLOOKUP(I252,负债!$A:$P,6,0)/100</f>
        <v>8234.1200000000008</v>
      </c>
      <c r="X252" s="11">
        <f>VLOOKUP(I252,负债!$A:$P,2,0)/100</f>
        <v>70034.850000000006</v>
      </c>
      <c r="Y252" s="11">
        <f t="shared" si="3"/>
        <v>54242.59</v>
      </c>
    </row>
    <row r="253" spans="9:25" s="12" customFormat="1" x14ac:dyDescent="0.35">
      <c r="I253" s="24">
        <v>45574</v>
      </c>
      <c r="J253" s="11">
        <f>VLOOKUP(I253,资产!$A:$AF,8,0)/100</f>
        <v>43644.66</v>
      </c>
      <c r="K253" s="11">
        <f>VLOOKUP(I253,资产!$A:$AF,9,0)/100</f>
        <v>1952.93</v>
      </c>
      <c r="L253" s="11">
        <f>VLOOKUP(I253,资产!$A:$AF,10,0)/100</f>
        <v>37071.279999999999</v>
      </c>
      <c r="M253" s="11">
        <f>(VLOOKUP(I253,资产!$A:$AF,13,0)+VLOOKUP(I253,资产!$A:$AF,14,0)+VLOOKUP(I253,资产!$A:$AF,15,0))/100</f>
        <v>7753.82</v>
      </c>
      <c r="N253" s="11">
        <f>VLOOKUP(I253,资产!$A:$AF,16,0)/100</f>
        <v>14695.77</v>
      </c>
      <c r="O253" s="11">
        <f>VLOOKUP(I253,资产!$A:$AF,17,0)/100</f>
        <v>5919.44</v>
      </c>
      <c r="P253" s="11">
        <f>VLOOKUP(I253,资产!$A:$AF,18,0)/100</f>
        <v>15275.63</v>
      </c>
      <c r="Q253" s="11">
        <f>VLOOKUP(I253,资产!$A:$AF,20,0)/100</f>
        <v>22820.78</v>
      </c>
      <c r="R253" s="35">
        <f>VLOOKUP(I253,负债!$A:$P,5,0)/100</f>
        <v>31970.45</v>
      </c>
      <c r="S253" s="35">
        <f>VLOOKUP(I253,负债!$A:$P,6,0)/100</f>
        <v>7873.95</v>
      </c>
      <c r="T253" s="37">
        <f>VLOOKUP(I253,资产!$A:$AF,2,0)/100</f>
        <v>70468.399999999994</v>
      </c>
      <c r="U253" s="37">
        <f>VLOOKUP(I253,资产!$A:$AF,7,0)/100</f>
        <v>66488.91</v>
      </c>
      <c r="V253" s="37">
        <f>VLOOKUP(I253,负债!$A:$P,9,0)/100</f>
        <v>7392.97</v>
      </c>
      <c r="W253" s="37">
        <f>VLOOKUP(I253,负债!$A:$P,6,0)/100</f>
        <v>7873.95</v>
      </c>
      <c r="X253" s="11">
        <f>VLOOKUP(I253,负债!$A:$P,2,0)/100</f>
        <v>70033.929999999993</v>
      </c>
      <c r="Y253" s="11">
        <f t="shared" si="3"/>
        <v>55201.479999999996</v>
      </c>
    </row>
    <row r="254" spans="9:25" s="12" customFormat="1" x14ac:dyDescent="0.35">
      <c r="I254" s="24">
        <v>45581</v>
      </c>
      <c r="J254" s="11">
        <f>VLOOKUP(I254,资产!$A:$AF,8,0)/100</f>
        <v>43575.72</v>
      </c>
      <c r="K254" s="11">
        <f>VLOOKUP(I254,资产!$A:$AF,9,0)/100</f>
        <v>1952.93</v>
      </c>
      <c r="L254" s="11">
        <f>VLOOKUP(I254,资产!$A:$AF,10,0)/100</f>
        <v>37043.97</v>
      </c>
      <c r="M254" s="11">
        <f>(VLOOKUP(I254,资产!$A:$AF,13,0)+VLOOKUP(I254,资产!$A:$AF,14,0)+VLOOKUP(I254,资产!$A:$AF,15,0))/100</f>
        <v>7695.74</v>
      </c>
      <c r="N254" s="11">
        <f>VLOOKUP(I254,资产!$A:$AF,16,0)/100</f>
        <v>14676.18</v>
      </c>
      <c r="O254" s="11">
        <f>VLOOKUP(I254,资产!$A:$AF,17,0)/100</f>
        <v>5924.91</v>
      </c>
      <c r="P254" s="11">
        <f>VLOOKUP(I254,资产!$A:$AF,18,0)/100</f>
        <v>15278.9</v>
      </c>
      <c r="Q254" s="11">
        <f>VLOOKUP(I254,资产!$A:$AF,20,0)/100</f>
        <v>22820.880000000001</v>
      </c>
      <c r="R254" s="35">
        <f>VLOOKUP(I254,负债!$A:$P,5,0)/100</f>
        <v>32288.38</v>
      </c>
      <c r="S254" s="35">
        <f>VLOOKUP(I254,负债!$A:$P,6,0)/100</f>
        <v>8147.51</v>
      </c>
      <c r="T254" s="37">
        <f>VLOOKUP(I254,资产!$A:$AF,2,0)/100</f>
        <v>70392.84</v>
      </c>
      <c r="U254" s="37">
        <f>VLOOKUP(I254,资产!$A:$AF,7,0)/100</f>
        <v>66420.070000000007</v>
      </c>
      <c r="V254" s="37">
        <f>VLOOKUP(I254,负债!$A:$P,9,0)/100</f>
        <v>6690.15</v>
      </c>
      <c r="W254" s="37">
        <f>VLOOKUP(I254,负债!$A:$P,6,0)/100</f>
        <v>8147.51</v>
      </c>
      <c r="X254" s="11">
        <f>VLOOKUP(I254,负债!$A:$P,2,0)/100</f>
        <v>69958.34</v>
      </c>
      <c r="Y254" s="11">
        <f t="shared" si="3"/>
        <v>55555.179999999993</v>
      </c>
    </row>
    <row r="255" spans="9:25" s="12" customFormat="1" x14ac:dyDescent="0.35">
      <c r="I255" s="24">
        <v>45588</v>
      </c>
      <c r="J255" s="11">
        <f>VLOOKUP(I255,资产!$A:$AF,8,0)/100</f>
        <v>43576.56</v>
      </c>
      <c r="K255" s="11">
        <f>VLOOKUP(I255,资产!$A:$AF,9,0)/100</f>
        <v>1952.93</v>
      </c>
      <c r="L255" s="11">
        <f>VLOOKUP(I255,资产!$A:$AF,10,0)/100</f>
        <v>37043.97</v>
      </c>
      <c r="M255" s="11">
        <f>(VLOOKUP(I255,资产!$A:$AF,13,0)+VLOOKUP(I255,资产!$A:$AF,14,0)+VLOOKUP(I255,资产!$A:$AF,15,0))/100</f>
        <v>7695.84</v>
      </c>
      <c r="N255" s="11">
        <f>VLOOKUP(I255,资产!$A:$AF,16,0)/100</f>
        <v>14676.56</v>
      </c>
      <c r="O255" s="11">
        <f>VLOOKUP(I255,资产!$A:$AF,17,0)/100</f>
        <v>5925.01</v>
      </c>
      <c r="P255" s="11">
        <f>VLOOKUP(I255,资产!$A:$AF,18,0)/100</f>
        <v>15279.15</v>
      </c>
      <c r="Q255" s="11">
        <f>VLOOKUP(I255,资产!$A:$AF,20,0)/100</f>
        <v>22786.16</v>
      </c>
      <c r="R255" s="35">
        <f>VLOOKUP(I255,负债!$A:$P,5,0)/100</f>
        <v>32284.62</v>
      </c>
      <c r="S255" s="35">
        <f>VLOOKUP(I255,负债!$A:$P,6,0)/100</f>
        <v>8174.1</v>
      </c>
      <c r="T255" s="37">
        <f>VLOOKUP(I255,资产!$A:$AF,2,0)/100</f>
        <v>70294.080000000002</v>
      </c>
      <c r="U255" s="37">
        <f>VLOOKUP(I255,资产!$A:$AF,7,0)/100</f>
        <v>66386.19</v>
      </c>
      <c r="V255" s="37">
        <f>VLOOKUP(I255,负债!$A:$P,9,0)/100</f>
        <v>6686.17</v>
      </c>
      <c r="W255" s="37">
        <f>VLOOKUP(I255,负债!$A:$P,6,0)/100</f>
        <v>8174.1</v>
      </c>
      <c r="X255" s="11">
        <f>VLOOKUP(I255,负债!$A:$P,2,0)/100</f>
        <v>69859.58</v>
      </c>
      <c r="Y255" s="11">
        <f t="shared" si="3"/>
        <v>55433.810000000005</v>
      </c>
    </row>
    <row r="256" spans="9:25" s="12" customFormat="1" x14ac:dyDescent="0.35">
      <c r="I256" s="24">
        <v>45595</v>
      </c>
      <c r="J256" s="11">
        <f>VLOOKUP(I256,资产!$A:$AF,8,0)/100</f>
        <v>43578.25</v>
      </c>
      <c r="K256" s="11">
        <f>VLOOKUP(I256,资产!$A:$AF,9,0)/100</f>
        <v>1952.93</v>
      </c>
      <c r="L256" s="11">
        <f>VLOOKUP(I256,资产!$A:$AF,10,0)/100</f>
        <v>37044.47</v>
      </c>
      <c r="M256" s="11">
        <f>(VLOOKUP(I256,资产!$A:$AF,13,0)+VLOOKUP(I256,资产!$A:$AF,14,0)+VLOOKUP(I256,资产!$A:$AF,15,0))/100</f>
        <v>7695.95</v>
      </c>
      <c r="N256" s="11">
        <f>VLOOKUP(I256,资产!$A:$AF,16,0)/100</f>
        <v>14676.94</v>
      </c>
      <c r="O256" s="11">
        <f>VLOOKUP(I256,资产!$A:$AF,17,0)/100</f>
        <v>5925.12</v>
      </c>
      <c r="P256" s="11">
        <f>VLOOKUP(I256,资产!$A:$AF,18,0)/100</f>
        <v>15280.24</v>
      </c>
      <c r="Q256" s="11">
        <f>VLOOKUP(I256,资产!$A:$AF,20,0)/100</f>
        <v>22659.63</v>
      </c>
      <c r="R256" s="35">
        <f>VLOOKUP(I256,负债!$A:$P,5,0)/100</f>
        <v>32157.94</v>
      </c>
      <c r="S256" s="35">
        <f>VLOOKUP(I256,负债!$A:$P,6,0)/100</f>
        <v>8471.3700000000008</v>
      </c>
      <c r="T256" s="37">
        <f>VLOOKUP(I256,资产!$A:$AF,2,0)/100</f>
        <v>70134.899999999994</v>
      </c>
      <c r="U256" s="37">
        <f>VLOOKUP(I256,资产!$A:$AF,7,0)/100</f>
        <v>66261.350000000006</v>
      </c>
      <c r="V256" s="37">
        <f>VLOOKUP(I256,负债!$A:$P,9,0)/100</f>
        <v>6270.07</v>
      </c>
      <c r="W256" s="37">
        <f>VLOOKUP(I256,负债!$A:$P,6,0)/100</f>
        <v>8471.3700000000008</v>
      </c>
      <c r="X256" s="11">
        <f>VLOOKUP(I256,负债!$A:$P,2,0)/100</f>
        <v>69699.960000000006</v>
      </c>
      <c r="Y256" s="11">
        <f t="shared" si="3"/>
        <v>55393.459999999992</v>
      </c>
    </row>
    <row r="257" spans="9:25" s="12" customFormat="1" x14ac:dyDescent="0.35">
      <c r="I257" s="24">
        <v>45602</v>
      </c>
      <c r="J257" s="11">
        <f>VLOOKUP(I257,资产!$A:$AF,8,0)/100</f>
        <v>43399.63</v>
      </c>
      <c r="K257" s="11">
        <f>VLOOKUP(I257,资产!$A:$AF,9,0)/100</f>
        <v>1952.93</v>
      </c>
      <c r="L257" s="11">
        <f>VLOOKUP(I257,资产!$A:$AF,10,0)/100</f>
        <v>36860.21</v>
      </c>
      <c r="M257" s="11">
        <f>(VLOOKUP(I257,资产!$A:$AF,13,0)+VLOOKUP(I257,资产!$A:$AF,14,0)+VLOOKUP(I257,资产!$A:$AF,15,0))/100</f>
        <v>7661.83</v>
      </c>
      <c r="N257" s="11">
        <f>VLOOKUP(I257,资产!$A:$AF,16,0)/100</f>
        <v>14522.16</v>
      </c>
      <c r="O257" s="11">
        <f>VLOOKUP(I257,资产!$A:$AF,17,0)/100</f>
        <v>5932.75</v>
      </c>
      <c r="P257" s="11">
        <f>VLOOKUP(I257,资产!$A:$AF,18,0)/100</f>
        <v>15282.91</v>
      </c>
      <c r="Q257" s="11">
        <f>VLOOKUP(I257,资产!$A:$AF,20,0)/100</f>
        <v>22659.63</v>
      </c>
      <c r="R257" s="35">
        <f>VLOOKUP(I257,负债!$A:$P,5,0)/100</f>
        <v>32555.32</v>
      </c>
      <c r="S257" s="35">
        <f>VLOOKUP(I257,负债!$A:$P,6,0)/100</f>
        <v>8402.27</v>
      </c>
      <c r="T257" s="37">
        <f>VLOOKUP(I257,资产!$A:$AF,2,0)/100</f>
        <v>69942.990000000005</v>
      </c>
      <c r="U257" s="37">
        <f>VLOOKUP(I257,资产!$A:$AF,7,0)/100</f>
        <v>66082.73</v>
      </c>
      <c r="V257" s="37">
        <f>VLOOKUP(I257,负债!$A:$P,9,0)/100</f>
        <v>5730.77</v>
      </c>
      <c r="W257" s="37">
        <f>VLOOKUP(I257,负债!$A:$P,6,0)/100</f>
        <v>8402.27</v>
      </c>
      <c r="X257" s="11">
        <f>VLOOKUP(I257,负债!$A:$P,2,0)/100</f>
        <v>69506.61</v>
      </c>
      <c r="Y257" s="11">
        <f t="shared" si="3"/>
        <v>55809.95</v>
      </c>
    </row>
    <row r="258" spans="9:25" s="12" customFormat="1" x14ac:dyDescent="0.35">
      <c r="I258" s="24">
        <v>45609</v>
      </c>
      <c r="J258" s="11">
        <f>VLOOKUP(I258,资产!$A:$AF,8,0)/100</f>
        <v>43400.6</v>
      </c>
      <c r="K258" s="11">
        <f>VLOOKUP(I258,资产!$A:$AF,9,0)/100</f>
        <v>1952.93</v>
      </c>
      <c r="L258" s="11">
        <f>VLOOKUP(I258,资产!$A:$AF,10,0)/100</f>
        <v>36859.46</v>
      </c>
      <c r="M258" s="11">
        <f>(VLOOKUP(I258,资产!$A:$AF,13,0)+VLOOKUP(I258,资产!$A:$AF,14,0)+VLOOKUP(I258,资产!$A:$AF,15,0))/100</f>
        <v>7662.05</v>
      </c>
      <c r="N258" s="11">
        <f>VLOOKUP(I258,资产!$A:$AF,16,0)/100</f>
        <v>14522.18</v>
      </c>
      <c r="O258" s="11">
        <f>VLOOKUP(I258,资产!$A:$AF,17,0)/100</f>
        <v>5932.97</v>
      </c>
      <c r="P258" s="11">
        <f>VLOOKUP(I258,资产!$A:$AF,18,0)/100</f>
        <v>15283.41</v>
      </c>
      <c r="Q258" s="11">
        <f>VLOOKUP(I258,资产!$A:$AF,20,0)/100</f>
        <v>22659.63</v>
      </c>
      <c r="R258" s="35">
        <f>VLOOKUP(I258,负债!$A:$P,5,0)/100</f>
        <v>31920.48</v>
      </c>
      <c r="S258" s="35">
        <f>VLOOKUP(I258,负债!$A:$P,6,0)/100</f>
        <v>8088.57</v>
      </c>
      <c r="T258" s="37">
        <f>VLOOKUP(I258,资产!$A:$AF,2,0)/100</f>
        <v>69671.08</v>
      </c>
      <c r="U258" s="37">
        <f>VLOOKUP(I258,资产!$A:$AF,7,0)/100</f>
        <v>66083.7</v>
      </c>
      <c r="V258" s="37">
        <f>VLOOKUP(I258,负债!$A:$P,9,0)/100</f>
        <v>6281.24</v>
      </c>
      <c r="W258" s="37">
        <f>VLOOKUP(I258,负债!$A:$P,6,0)/100</f>
        <v>8088.57</v>
      </c>
      <c r="X258" s="11">
        <f>VLOOKUP(I258,负债!$A:$P,2,0)/100</f>
        <v>69234.7</v>
      </c>
      <c r="Y258" s="11">
        <f t="shared" si="3"/>
        <v>55301.270000000004</v>
      </c>
    </row>
    <row r="259" spans="9:25" s="12" customFormat="1" x14ac:dyDescent="0.35">
      <c r="I259" s="24">
        <v>45616</v>
      </c>
      <c r="J259" s="11">
        <f>VLOOKUP(I259,资产!$A:$AF,8,0)/100</f>
        <v>43229.38</v>
      </c>
      <c r="K259" s="11">
        <f>VLOOKUP(I259,资产!$A:$AF,9,0)/100</f>
        <v>1952.93</v>
      </c>
      <c r="L259" s="11">
        <f>VLOOKUP(I259,资产!$A:$AF,10,0)/100</f>
        <v>36686.519999999997</v>
      </c>
      <c r="M259" s="11">
        <f>(VLOOKUP(I259,资产!$A:$AF,13,0)+VLOOKUP(I259,资产!$A:$AF,14,0)+VLOOKUP(I259,资产!$A:$AF,15,0))/100</f>
        <v>7403.28</v>
      </c>
      <c r="N259" s="11">
        <f>VLOOKUP(I259,资产!$A:$AF,16,0)/100</f>
        <v>14991.58</v>
      </c>
      <c r="O259" s="11">
        <f>VLOOKUP(I259,资产!$A:$AF,17,0)/100</f>
        <v>5489.83</v>
      </c>
      <c r="P259" s="11">
        <f>VLOOKUP(I259,资产!$A:$AF,18,0)/100</f>
        <v>15344.68</v>
      </c>
      <c r="Q259" s="11">
        <f>VLOOKUP(I259,资产!$A:$AF,20,0)/100</f>
        <v>22622.79</v>
      </c>
      <c r="R259" s="35">
        <f>VLOOKUP(I259,负债!$A:$P,5,0)/100</f>
        <v>32673.29</v>
      </c>
      <c r="S259" s="35">
        <f>VLOOKUP(I259,负债!$A:$P,6,0)/100</f>
        <v>7378.34</v>
      </c>
      <c r="T259" s="37">
        <f>VLOOKUP(I259,资产!$A:$AF,2,0)/100</f>
        <v>69237.31</v>
      </c>
      <c r="U259" s="37">
        <f>VLOOKUP(I259,资产!$A:$AF,7,0)/100</f>
        <v>65875.64</v>
      </c>
      <c r="V259" s="37">
        <f>VLOOKUP(I259,负债!$A:$P,9,0)/100</f>
        <v>6001.42</v>
      </c>
      <c r="W259" s="37">
        <f>VLOOKUP(I259,负债!$A:$P,6,0)/100</f>
        <v>7378.34</v>
      </c>
      <c r="X259" s="11">
        <f>VLOOKUP(I259,负债!$A:$P,2,0)/100</f>
        <v>68800.929999999993</v>
      </c>
      <c r="Y259" s="11">
        <f t="shared" si="3"/>
        <v>55857.55</v>
      </c>
    </row>
    <row r="260" spans="9:25" s="12" customFormat="1" x14ac:dyDescent="0.35">
      <c r="I260" s="24">
        <v>45623</v>
      </c>
      <c r="J260" s="11">
        <f>VLOOKUP(I260,资产!$A:$AF,8,0)/100</f>
        <v>43231.34</v>
      </c>
      <c r="K260" s="11">
        <f>VLOOKUP(I260,资产!$A:$AF,9,0)/100</f>
        <v>1952.93</v>
      </c>
      <c r="L260" s="11">
        <f>VLOOKUP(I260,资产!$A:$AF,10,0)/100</f>
        <v>36686.519999999997</v>
      </c>
      <c r="M260" s="11">
        <f>(VLOOKUP(I260,资产!$A:$AF,13,0)+VLOOKUP(I260,资产!$A:$AF,14,0)+VLOOKUP(I260,资产!$A:$AF,15,0))/100</f>
        <v>7403.53</v>
      </c>
      <c r="N260" s="11">
        <f>VLOOKUP(I260,资产!$A:$AF,16,0)/100</f>
        <v>14992.46</v>
      </c>
      <c r="O260" s="11">
        <f>VLOOKUP(I260,资产!$A:$AF,17,0)/100</f>
        <v>5490.09</v>
      </c>
      <c r="P260" s="11">
        <f>VLOOKUP(I260,资产!$A:$AF,18,0)/100</f>
        <v>15345.25</v>
      </c>
      <c r="Q260" s="11">
        <f>VLOOKUP(I260,资产!$A:$AF,20,0)/100</f>
        <v>22489.82</v>
      </c>
      <c r="R260" s="35">
        <f>VLOOKUP(I260,负债!$A:$P,5,0)/100</f>
        <v>32340.35</v>
      </c>
      <c r="S260" s="35">
        <f>VLOOKUP(I260,负债!$A:$P,6,0)/100</f>
        <v>7827.04</v>
      </c>
      <c r="T260" s="37">
        <f>VLOOKUP(I260,资产!$A:$AF,2,0)/100</f>
        <v>69051.399999999994</v>
      </c>
      <c r="U260" s="37">
        <f>VLOOKUP(I260,资产!$A:$AF,7,0)/100</f>
        <v>65744.62</v>
      </c>
      <c r="V260" s="37">
        <f>VLOOKUP(I260,负债!$A:$P,9,0)/100</f>
        <v>5695.09</v>
      </c>
      <c r="W260" s="37">
        <f>VLOOKUP(I260,负债!$A:$P,6,0)/100</f>
        <v>7827.04</v>
      </c>
      <c r="X260" s="11">
        <f>VLOOKUP(I260,负债!$A:$P,2,0)/100</f>
        <v>68612.100000000006</v>
      </c>
      <c r="Y260" s="11">
        <f t="shared" si="3"/>
        <v>55529.27</v>
      </c>
    </row>
    <row r="261" spans="9:25" s="12" customFormat="1" x14ac:dyDescent="0.35">
      <c r="I261" s="24">
        <v>45630</v>
      </c>
      <c r="J261" s="11">
        <f>VLOOKUP(I261,资产!$A:$AF,8,0)/100</f>
        <v>43155.45</v>
      </c>
      <c r="K261" s="11">
        <f>VLOOKUP(I261,资产!$A:$AF,9,0)/100</f>
        <v>1952.93</v>
      </c>
      <c r="L261" s="11">
        <f>VLOOKUP(I261,资产!$A:$AF,10,0)/100</f>
        <v>36609.46</v>
      </c>
      <c r="M261" s="11">
        <f>(VLOOKUP(I261,资产!$A:$AF,13,0)+VLOOKUP(I261,资产!$A:$AF,14,0)+VLOOKUP(I261,资产!$A:$AF,15,0))/100</f>
        <v>7445.78</v>
      </c>
      <c r="N261" s="11">
        <f>VLOOKUP(I261,资产!$A:$AF,16,0)/100</f>
        <v>14870.98</v>
      </c>
      <c r="O261" s="11">
        <f>VLOOKUP(I261,资产!$A:$AF,17,0)/100</f>
        <v>5482.21</v>
      </c>
      <c r="P261" s="11">
        <f>VLOOKUP(I261,资产!$A:$AF,18,0)/100</f>
        <v>15356.48</v>
      </c>
      <c r="Q261" s="11">
        <f>VLOOKUP(I261,资产!$A:$AF,20,0)/100</f>
        <v>22489.82</v>
      </c>
      <c r="R261" s="35">
        <f>VLOOKUP(I261,负债!$A:$P,5,0)/100</f>
        <v>32161.49</v>
      </c>
      <c r="S261" s="35">
        <f>VLOOKUP(I261,负债!$A:$P,6,0)/100</f>
        <v>8150.11</v>
      </c>
      <c r="T261" s="37">
        <f>VLOOKUP(I261,资产!$A:$AF,2,0)/100</f>
        <v>68958.27</v>
      </c>
      <c r="U261" s="37">
        <f>VLOOKUP(I261,资产!$A:$AF,7,0)/100</f>
        <v>65668.740000000005</v>
      </c>
      <c r="V261" s="37">
        <f>VLOOKUP(I261,负债!$A:$P,9,0)/100</f>
        <v>5475.63</v>
      </c>
      <c r="W261" s="37">
        <f>VLOOKUP(I261,负债!$A:$P,6,0)/100</f>
        <v>8150.11</v>
      </c>
      <c r="X261" s="11">
        <f>VLOOKUP(I261,负债!$A:$P,2,0)/100</f>
        <v>68518.77</v>
      </c>
      <c r="Y261" s="11">
        <f t="shared" si="3"/>
        <v>55332.530000000006</v>
      </c>
    </row>
    <row r="262" spans="9:25" s="12" customFormat="1" x14ac:dyDescent="0.35">
      <c r="I262" s="24">
        <v>45637</v>
      </c>
      <c r="J262" s="11">
        <f>VLOOKUP(I262,资产!$A:$AF,8,0)/100</f>
        <v>43156.65</v>
      </c>
      <c r="K262" s="11">
        <f>VLOOKUP(I262,资产!$A:$AF,9,0)/100</f>
        <v>1952.93</v>
      </c>
      <c r="L262" s="11">
        <f>VLOOKUP(I262,资产!$A:$AF,10,0)/100</f>
        <v>36609.46</v>
      </c>
      <c r="M262" s="11">
        <f>(VLOOKUP(I262,资产!$A:$AF,13,0)+VLOOKUP(I262,资产!$A:$AF,14,0)+VLOOKUP(I262,资产!$A:$AF,15,0))/100</f>
        <v>7445.94</v>
      </c>
      <c r="N262" s="11">
        <f>VLOOKUP(I262,资产!$A:$AF,16,0)/100</f>
        <v>14871.51</v>
      </c>
      <c r="O262" s="11">
        <f>VLOOKUP(I262,资产!$A:$AF,17,0)/100</f>
        <v>5482.37</v>
      </c>
      <c r="P262" s="11">
        <f>VLOOKUP(I262,资产!$A:$AF,18,0)/100</f>
        <v>15356.83</v>
      </c>
      <c r="Q262" s="11">
        <f>VLOOKUP(I262,资产!$A:$AF,20,0)/100</f>
        <v>22489.82</v>
      </c>
      <c r="R262" s="35">
        <f>VLOOKUP(I262,负债!$A:$P,5,0)/100</f>
        <v>32738.06</v>
      </c>
      <c r="S262" s="35">
        <f>VLOOKUP(I262,负债!$A:$P,6,0)/100</f>
        <v>7113.54</v>
      </c>
      <c r="T262" s="37">
        <f>VLOOKUP(I262,资产!$A:$AF,2,0)/100</f>
        <v>68974.850000000006</v>
      </c>
      <c r="U262" s="37">
        <f>VLOOKUP(I262,资产!$A:$AF,7,0)/100</f>
        <v>65669.929999999993</v>
      </c>
      <c r="V262" s="37">
        <f>VLOOKUP(I262,负债!$A:$P,9,0)/100</f>
        <v>5962.84</v>
      </c>
      <c r="W262" s="37">
        <f>VLOOKUP(I262,负债!$A:$P,6,0)/100</f>
        <v>7113.54</v>
      </c>
      <c r="X262" s="11">
        <f>VLOOKUP(I262,负债!$A:$P,2,0)/100</f>
        <v>68535.350000000006</v>
      </c>
      <c r="Y262" s="11">
        <f t="shared" ref="Y262:Y301" si="4">T262-V262-W262</f>
        <v>55898.470000000008</v>
      </c>
    </row>
    <row r="263" spans="9:25" s="12" customFormat="1" x14ac:dyDescent="0.35">
      <c r="I263" s="24">
        <v>45644</v>
      </c>
      <c r="J263" s="11">
        <f>VLOOKUP(I263,资产!$A:$AF,8,0)/100</f>
        <v>43087.24</v>
      </c>
      <c r="K263" s="11">
        <f>VLOOKUP(I263,资产!$A:$AF,9,0)/100</f>
        <v>1953.43</v>
      </c>
      <c r="L263" s="11">
        <f>VLOOKUP(I263,资产!$A:$AF,10,0)/100</f>
        <v>36538.36</v>
      </c>
      <c r="M263" s="11">
        <f>(VLOOKUP(I263,资产!$A:$AF,13,0)+VLOOKUP(I263,资产!$A:$AF,14,0)+VLOOKUP(I263,资产!$A:$AF,15,0))/100</f>
        <v>7366.96</v>
      </c>
      <c r="N263" s="11">
        <f>VLOOKUP(I263,资产!$A:$AF,16,0)/100</f>
        <v>14876.2</v>
      </c>
      <c r="O263" s="11">
        <f>VLOOKUP(I263,资产!$A:$AF,17,0)/100</f>
        <v>5485.31</v>
      </c>
      <c r="P263" s="11">
        <f>VLOOKUP(I263,资产!$A:$AF,18,0)/100</f>
        <v>15358.76</v>
      </c>
      <c r="Q263" s="11">
        <f>VLOOKUP(I263,资产!$A:$AF,20,0)/100</f>
        <v>22487.87</v>
      </c>
      <c r="R263" s="35">
        <f>VLOOKUP(I263,负债!$A:$P,5,0)/100</f>
        <v>32374.59</v>
      </c>
      <c r="S263" s="35">
        <f>VLOOKUP(I263,负债!$A:$P,6,0)/100</f>
        <v>8039.75</v>
      </c>
      <c r="T263" s="37">
        <f>VLOOKUP(I263,资产!$A:$AF,2,0)/100</f>
        <v>68893.320000000007</v>
      </c>
      <c r="U263" s="37">
        <f>VLOOKUP(I263,资产!$A:$AF,7,0)/100</f>
        <v>65598.58</v>
      </c>
      <c r="V263" s="37">
        <f>VLOOKUP(I263,负债!$A:$P,9,0)/100</f>
        <v>5222.09</v>
      </c>
      <c r="W263" s="37">
        <f>VLOOKUP(I263,负债!$A:$P,6,0)/100</f>
        <v>8039.75</v>
      </c>
      <c r="X263" s="11">
        <f>VLOOKUP(I263,负债!$A:$P,2,0)/100</f>
        <v>68453.8</v>
      </c>
      <c r="Y263" s="11">
        <f t="shared" si="4"/>
        <v>55631.48000000001</v>
      </c>
    </row>
    <row r="264" spans="9:25" s="12" customFormat="1" x14ac:dyDescent="0.35">
      <c r="I264" s="24">
        <v>45651</v>
      </c>
      <c r="J264" s="11">
        <f>VLOOKUP(I264,资产!$A:$AF,8,0)/100</f>
        <v>43088.93</v>
      </c>
      <c r="K264" s="11">
        <f>VLOOKUP(I264,资产!$A:$AF,9,0)/100</f>
        <v>1953.43</v>
      </c>
      <c r="L264" s="11">
        <f>VLOOKUP(I264,资产!$A:$AF,10,0)/100</f>
        <v>36538.86</v>
      </c>
      <c r="M264" s="11">
        <f>(VLOOKUP(I264,资产!$A:$AF,13,0)+VLOOKUP(I264,资产!$A:$AF,14,0)+VLOOKUP(I264,资产!$A:$AF,15,0))/100</f>
        <v>7367.62</v>
      </c>
      <c r="N264" s="11">
        <f>VLOOKUP(I264,资产!$A:$AF,16,0)/100</f>
        <v>14876.74</v>
      </c>
      <c r="O264" s="11">
        <f>VLOOKUP(I264,资产!$A:$AF,17,0)/100</f>
        <v>5485.47</v>
      </c>
      <c r="P264" s="11">
        <f>VLOOKUP(I264,资产!$A:$AF,18,0)/100</f>
        <v>15359.11</v>
      </c>
      <c r="Q264" s="11">
        <f>VLOOKUP(I264,资产!$A:$AF,20,0)/100</f>
        <v>22454.79</v>
      </c>
      <c r="R264" s="35">
        <f>VLOOKUP(I264,负债!$A:$P,5,0)/100</f>
        <v>32184.76</v>
      </c>
      <c r="S264" s="35">
        <f>VLOOKUP(I264,负债!$A:$P,6,0)/100</f>
        <v>7350.39</v>
      </c>
      <c r="T264" s="37">
        <f>VLOOKUP(I264,资产!$A:$AF,2,0)/100</f>
        <v>68859.63</v>
      </c>
      <c r="U264" s="37">
        <f>VLOOKUP(I264,资产!$A:$AF,7,0)/100</f>
        <v>65567.19</v>
      </c>
      <c r="V264" s="37">
        <f>VLOOKUP(I264,负债!$A:$P,9,0)/100</f>
        <v>5663.27</v>
      </c>
      <c r="W264" s="37">
        <f>VLOOKUP(I264,负债!$A:$P,6,0)/100</f>
        <v>7350.39</v>
      </c>
      <c r="X264" s="11">
        <f>VLOOKUP(I264,负债!$A:$P,2,0)/100</f>
        <v>68420.11</v>
      </c>
      <c r="Y264" s="11">
        <f t="shared" si="4"/>
        <v>55845.97</v>
      </c>
    </row>
    <row r="265" spans="9:25" s="12" customFormat="1" x14ac:dyDescent="0.35">
      <c r="I265" s="24">
        <v>45658</v>
      </c>
      <c r="J265" s="11">
        <f>VLOOKUP(I265,资产!$A:$AF,8,0)/100</f>
        <v>42911.06</v>
      </c>
      <c r="K265" s="11">
        <f>VLOOKUP(I265,资产!$A:$AF,9,0)/100</f>
        <v>1953.43</v>
      </c>
      <c r="L265" s="11">
        <f>VLOOKUP(I265,资产!$A:$AF,10,0)/100</f>
        <v>36357.800000000003</v>
      </c>
      <c r="M265" s="11">
        <f>(VLOOKUP(I265,资产!$A:$AF,13,0)+VLOOKUP(I265,资产!$A:$AF,14,0)+VLOOKUP(I265,资产!$A:$AF,15,0))/100</f>
        <v>7401.88</v>
      </c>
      <c r="N265" s="11">
        <f>VLOOKUP(I265,资产!$A:$AF,16,0)/100</f>
        <v>14658.57</v>
      </c>
      <c r="O265" s="11">
        <f>VLOOKUP(I265,资产!$A:$AF,17,0)/100</f>
        <v>5489.93</v>
      </c>
      <c r="P265" s="11">
        <f>VLOOKUP(I265,资产!$A:$AF,18,0)/100</f>
        <v>15360.69</v>
      </c>
      <c r="Q265" s="11">
        <f>VLOOKUP(I265,资产!$A:$AF,20,0)/100</f>
        <v>22332.62</v>
      </c>
      <c r="R265" s="35">
        <f>VLOOKUP(I265,负债!$A:$P,5,0)/100</f>
        <v>28923.63</v>
      </c>
      <c r="S265" s="35">
        <f>VLOOKUP(I265,负债!$A:$P,6,0)/100</f>
        <v>7218.92</v>
      </c>
      <c r="T265" s="37">
        <f>VLOOKUP(I265,资产!$A:$AF,2,0)/100</f>
        <v>68524.91</v>
      </c>
      <c r="U265" s="37">
        <f>VLOOKUP(I265,资产!$A:$AF,7,0)/100</f>
        <v>65267.16</v>
      </c>
      <c r="V265" s="37">
        <f>VLOOKUP(I265,负债!$A:$P,9,0)/100</f>
        <v>8883.9500000000007</v>
      </c>
      <c r="W265" s="37">
        <f>VLOOKUP(I265,负债!$A:$P,6,0)/100</f>
        <v>7218.92</v>
      </c>
      <c r="X265" s="11">
        <f>VLOOKUP(I265,负债!$A:$P,2,0)/100</f>
        <v>68085.240000000005</v>
      </c>
      <c r="Y265" s="11">
        <f t="shared" si="4"/>
        <v>52422.040000000008</v>
      </c>
    </row>
    <row r="266" spans="9:25" s="12" customFormat="1" x14ac:dyDescent="0.35">
      <c r="I266" s="24">
        <v>45665</v>
      </c>
      <c r="J266" s="11">
        <f>VLOOKUP(I266,资产!$A:$AF,8,0)/100</f>
        <v>42910.67</v>
      </c>
      <c r="K266" s="11">
        <f>VLOOKUP(I266,资产!$A:$AF,9,0)/100</f>
        <v>1953.43</v>
      </c>
      <c r="L266" s="11">
        <f>VLOOKUP(I266,资产!$A:$AF,10,0)/100</f>
        <v>36358.050000000003</v>
      </c>
      <c r="M266" s="11">
        <f>(VLOOKUP(I266,资产!$A:$AF,13,0)+VLOOKUP(I266,资产!$A:$AF,14,0)+VLOOKUP(I266,资产!$A:$AF,15,0))/100</f>
        <v>7401.79</v>
      </c>
      <c r="N266" s="11">
        <f>VLOOKUP(I266,资产!$A:$AF,16,0)/100</f>
        <v>14658.28</v>
      </c>
      <c r="O266" s="11">
        <f>VLOOKUP(I266,资产!$A:$AF,17,0)/100</f>
        <v>5490.09</v>
      </c>
      <c r="P266" s="11">
        <f>VLOOKUP(I266,资产!$A:$AF,18,0)/100</f>
        <v>15360.5</v>
      </c>
      <c r="Q266" s="11">
        <f>VLOOKUP(I266,资产!$A:$AF,20,0)/100</f>
        <v>22332.62</v>
      </c>
      <c r="R266" s="35">
        <f>VLOOKUP(I266,负债!$A:$P,5,0)/100</f>
        <v>33324.36</v>
      </c>
      <c r="S266" s="35">
        <f>VLOOKUP(I266,负债!$A:$P,6,0)/100</f>
        <v>6205.31</v>
      </c>
      <c r="T266" s="37">
        <f>VLOOKUP(I266,资产!$A:$AF,2,0)/100</f>
        <v>68535.539999999994</v>
      </c>
      <c r="U266" s="37">
        <f>VLOOKUP(I266,资产!$A:$AF,7,0)/100</f>
        <v>65266.76</v>
      </c>
      <c r="V266" s="37">
        <f>VLOOKUP(I266,负债!$A:$P,9,0)/100</f>
        <v>5715.2</v>
      </c>
      <c r="W266" s="37">
        <f>VLOOKUP(I266,负债!$A:$P,6,0)/100</f>
        <v>6205.31</v>
      </c>
      <c r="X266" s="11">
        <f>VLOOKUP(I266,负债!$A:$P,2,0)/100</f>
        <v>68095.02</v>
      </c>
      <c r="Y266" s="11">
        <f t="shared" si="4"/>
        <v>56615.03</v>
      </c>
    </row>
    <row r="267" spans="9:25" s="12" customFormat="1" x14ac:dyDescent="0.35">
      <c r="I267" s="24">
        <v>45672</v>
      </c>
      <c r="J267" s="11">
        <f>VLOOKUP(I267,资产!$A:$AF,8,0)/100</f>
        <v>42746.15</v>
      </c>
      <c r="K267" s="11">
        <f>VLOOKUP(I267,资产!$A:$AF,9,0)/100</f>
        <v>1953.43</v>
      </c>
      <c r="L267" s="11">
        <f>VLOOKUP(I267,资产!$A:$AF,10,0)/100</f>
        <v>36536.35</v>
      </c>
      <c r="M267" s="11">
        <f>(VLOOKUP(I267,资产!$A:$AF,13,0)+VLOOKUP(I267,资产!$A:$AF,14,0)+VLOOKUP(I267,资产!$A:$AF,15,0))/100</f>
        <v>7312.43</v>
      </c>
      <c r="N267" s="11">
        <f>VLOOKUP(I267,资产!$A:$AF,16,0)/100</f>
        <v>14568.34</v>
      </c>
      <c r="O267" s="11">
        <f>VLOOKUP(I267,资产!$A:$AF,17,0)/100</f>
        <v>5456.7</v>
      </c>
      <c r="P267" s="11">
        <f>VLOOKUP(I267,资产!$A:$AF,18,0)/100</f>
        <v>15408.68</v>
      </c>
      <c r="Q267" s="11">
        <f>VLOOKUP(I267,资产!$A:$AF,20,0)/100</f>
        <v>22332.05</v>
      </c>
      <c r="R267" s="35">
        <f>VLOOKUP(I267,负债!$A:$P,5,0)/100</f>
        <v>33590.410000000003</v>
      </c>
      <c r="S267" s="35">
        <f>VLOOKUP(I267,负债!$A:$P,6,0)/100</f>
        <v>6511.87</v>
      </c>
      <c r="T267" s="37">
        <f>VLOOKUP(I267,资产!$A:$AF,2,0)/100</f>
        <v>68340.7</v>
      </c>
      <c r="U267" s="37">
        <f>VLOOKUP(I267,资产!$A:$AF,7,0)/100</f>
        <v>65101.66</v>
      </c>
      <c r="V267" s="37">
        <f>VLOOKUP(I267,负债!$A:$P,9,0)/100</f>
        <v>5046.41</v>
      </c>
      <c r="W267" s="37">
        <f>VLOOKUP(I267,负债!$A:$P,6,0)/100</f>
        <v>6511.87</v>
      </c>
      <c r="X267" s="11">
        <f>VLOOKUP(I267,负债!$A:$P,2,0)/100</f>
        <v>67900.14</v>
      </c>
      <c r="Y267" s="11">
        <f t="shared" si="4"/>
        <v>56782.419999999991</v>
      </c>
    </row>
    <row r="268" spans="9:25" s="12" customFormat="1" x14ac:dyDescent="0.35">
      <c r="I268" s="24">
        <v>45679</v>
      </c>
      <c r="J268" s="11">
        <f>VLOOKUP(I268,资产!$A:$AF,8,0)/100</f>
        <v>42745.63</v>
      </c>
      <c r="K268" s="11">
        <f>VLOOKUP(I268,资产!$A:$AF,9,0)/100</f>
        <v>1953.43</v>
      </c>
      <c r="L268" s="11">
        <f>VLOOKUP(I268,资产!$A:$AF,10,0)/100</f>
        <v>36536.35</v>
      </c>
      <c r="M268" s="11">
        <f>(VLOOKUP(I268,资产!$A:$AF,13,0)+VLOOKUP(I268,资产!$A:$AF,14,0)+VLOOKUP(I268,资产!$A:$AF,15,0))/100</f>
        <v>7312.35</v>
      </c>
      <c r="N268" s="11">
        <f>VLOOKUP(I268,资产!$A:$AF,16,0)/100</f>
        <v>14568.11</v>
      </c>
      <c r="O268" s="11">
        <f>VLOOKUP(I268,资产!$A:$AF,17,0)/100</f>
        <v>5456.65</v>
      </c>
      <c r="P268" s="11">
        <f>VLOOKUP(I268,资产!$A:$AF,18,0)/100</f>
        <v>15408.51</v>
      </c>
      <c r="Q268" s="11">
        <f>VLOOKUP(I268,资产!$A:$AF,20,0)/100</f>
        <v>22298.38</v>
      </c>
      <c r="R268" s="35">
        <f>VLOOKUP(I268,负债!$A:$P,5,0)/100</f>
        <v>33311.96</v>
      </c>
      <c r="S268" s="35">
        <f>VLOOKUP(I268,负债!$A:$P,6,0)/100</f>
        <v>6654.85</v>
      </c>
      <c r="T268" s="37">
        <f>VLOOKUP(I268,资产!$A:$AF,2,0)/100</f>
        <v>68317.600000000006</v>
      </c>
      <c r="U268" s="37">
        <f>VLOOKUP(I268,资产!$A:$AF,7,0)/100</f>
        <v>65067.48</v>
      </c>
      <c r="V268" s="37">
        <f>VLOOKUP(I268,负债!$A:$P,9,0)/100</f>
        <v>5164.49</v>
      </c>
      <c r="W268" s="37">
        <f>VLOOKUP(I268,负债!$A:$P,6,0)/100</f>
        <v>6654.85</v>
      </c>
      <c r="X268" s="11">
        <f>VLOOKUP(I268,负债!$A:$P,2,0)/100</f>
        <v>67877.05</v>
      </c>
      <c r="Y268" s="11">
        <f t="shared" si="4"/>
        <v>56498.260000000009</v>
      </c>
    </row>
    <row r="269" spans="9:25" s="12" customFormat="1" x14ac:dyDescent="0.35">
      <c r="I269" s="24">
        <v>45686</v>
      </c>
      <c r="J269" s="11">
        <f>VLOOKUP(I269,资产!$A:$AF,8,0)/100</f>
        <v>42745.11</v>
      </c>
      <c r="K269" s="11">
        <f>VLOOKUP(I269,资产!$A:$AF,9,0)/100</f>
        <v>1953.43</v>
      </c>
      <c r="L269" s="11">
        <f>VLOOKUP(I269,资产!$A:$AF,10,0)/100</f>
        <v>36536.35</v>
      </c>
      <c r="M269" s="11">
        <f>(VLOOKUP(I269,资产!$A:$AF,13,0)+VLOOKUP(I269,资产!$A:$AF,14,0)+VLOOKUP(I269,资产!$A:$AF,15,0))/100</f>
        <v>7312.29</v>
      </c>
      <c r="N269" s="11">
        <f>VLOOKUP(I269,资产!$A:$AF,16,0)/100</f>
        <v>14567.89</v>
      </c>
      <c r="O269" s="11">
        <f>VLOOKUP(I269,资产!$A:$AF,17,0)/100</f>
        <v>5456.59</v>
      </c>
      <c r="P269" s="11">
        <f>VLOOKUP(I269,资产!$A:$AF,18,0)/100</f>
        <v>15408.35</v>
      </c>
      <c r="Q269" s="11">
        <f>VLOOKUP(I269,资产!$A:$AF,20,0)/100</f>
        <v>22175.59</v>
      </c>
      <c r="R269" s="35">
        <f>VLOOKUP(I269,负债!$A:$P,5,0)/100</f>
        <v>32006.560000000001</v>
      </c>
      <c r="S269" s="35">
        <f>VLOOKUP(I269,负债!$A:$P,6,0)/100</f>
        <v>8115.49</v>
      </c>
      <c r="T269" s="37">
        <f>VLOOKUP(I269,资产!$A:$AF,2,0)/100</f>
        <v>68181.86</v>
      </c>
      <c r="U269" s="37">
        <f>VLOOKUP(I269,资产!$A:$AF,7,0)/100</f>
        <v>64944.17</v>
      </c>
      <c r="V269" s="37">
        <f>VLOOKUP(I269,负债!$A:$P,9,0)/100</f>
        <v>4963.87</v>
      </c>
      <c r="W269" s="37">
        <f>VLOOKUP(I269,负债!$A:$P,6,0)/100</f>
        <v>8115.49</v>
      </c>
      <c r="X269" s="11">
        <f>VLOOKUP(I269,负债!$A:$P,2,0)/100</f>
        <v>67741.119999999995</v>
      </c>
      <c r="Y269" s="11">
        <f t="shared" si="4"/>
        <v>55102.5</v>
      </c>
    </row>
    <row r="270" spans="9:25" s="12" customFormat="1" x14ac:dyDescent="0.35">
      <c r="I270" s="24">
        <v>45693</v>
      </c>
      <c r="J270" s="11">
        <f>VLOOKUP(I270,资产!$A:$AF,8,0)/100</f>
        <v>42659.44</v>
      </c>
      <c r="K270" s="11">
        <f>VLOOKUP(I270,资产!$A:$AF,9,0)/100</f>
        <v>1953.43</v>
      </c>
      <c r="L270" s="11">
        <f>VLOOKUP(I270,资产!$A:$AF,10,0)/100</f>
        <v>36439.46</v>
      </c>
      <c r="M270" s="11">
        <f>(VLOOKUP(I270,资产!$A:$AF,13,0)+VLOOKUP(I270,资产!$A:$AF,14,0)+VLOOKUP(I270,资产!$A:$AF,15,0))/100</f>
        <v>7249.17</v>
      </c>
      <c r="N270" s="11">
        <f>VLOOKUP(I270,资产!$A:$AF,16,0)/100</f>
        <v>14502.61</v>
      </c>
      <c r="O270" s="11">
        <f>VLOOKUP(I270,资产!$A:$AF,17,0)/100</f>
        <v>5492.06</v>
      </c>
      <c r="P270" s="11">
        <f>VLOOKUP(I270,资产!$A:$AF,18,0)/100</f>
        <v>15415.61</v>
      </c>
      <c r="Q270" s="11">
        <f>VLOOKUP(I270,资产!$A:$AF,20,0)/100</f>
        <v>22175.59</v>
      </c>
      <c r="R270" s="35">
        <f>VLOOKUP(I270,负债!$A:$P,5,0)/100</f>
        <v>32333.279999999999</v>
      </c>
      <c r="S270" s="35">
        <f>VLOOKUP(I270,负债!$A:$P,6,0)/100</f>
        <v>8179.53</v>
      </c>
      <c r="T270" s="37">
        <f>VLOOKUP(I270,资产!$A:$AF,2,0)/100</f>
        <v>68109.350000000006</v>
      </c>
      <c r="U270" s="37">
        <f>VLOOKUP(I270,资产!$A:$AF,7,0)/100</f>
        <v>64858.5</v>
      </c>
      <c r="V270" s="37">
        <f>VLOOKUP(I270,负债!$A:$P,9,0)/100</f>
        <v>4554.13</v>
      </c>
      <c r="W270" s="37">
        <f>VLOOKUP(I270,负债!$A:$P,6,0)/100</f>
        <v>8179.53</v>
      </c>
      <c r="X270" s="11">
        <f>VLOOKUP(I270,负债!$A:$P,2,0)/100</f>
        <v>67667.360000000001</v>
      </c>
      <c r="Y270" s="11">
        <f t="shared" si="4"/>
        <v>55375.69000000001</v>
      </c>
    </row>
    <row r="271" spans="9:25" s="12" customFormat="1" x14ac:dyDescent="0.35">
      <c r="I271" s="24">
        <v>45700</v>
      </c>
      <c r="J271" s="11">
        <f>VLOOKUP(I271,资产!$A:$AF,8,0)/100</f>
        <v>42659.82</v>
      </c>
      <c r="K271" s="11">
        <f>VLOOKUP(I271,资产!$A:$AF,9,0)/100</f>
        <v>1953.43</v>
      </c>
      <c r="L271" s="11">
        <f>VLOOKUP(I271,资产!$A:$AF,10,0)/100</f>
        <v>36439.46</v>
      </c>
      <c r="M271" s="11">
        <f>(VLOOKUP(I271,资产!$A:$AF,13,0)+VLOOKUP(I271,资产!$A:$AF,14,0)+VLOOKUP(I271,资产!$A:$AF,15,0))/100</f>
        <v>7249.22</v>
      </c>
      <c r="N271" s="11">
        <f>VLOOKUP(I271,资产!$A:$AF,16,0)/100</f>
        <v>14502.77</v>
      </c>
      <c r="O271" s="11">
        <f>VLOOKUP(I271,资产!$A:$AF,17,0)/100</f>
        <v>5492.1</v>
      </c>
      <c r="P271" s="11">
        <f>VLOOKUP(I271,资产!$A:$AF,18,0)/100</f>
        <v>15415.73</v>
      </c>
      <c r="Q271" s="11">
        <f>VLOOKUP(I271,资产!$A:$AF,20,0)/100</f>
        <v>22175.59</v>
      </c>
      <c r="R271" s="35">
        <f>VLOOKUP(I271,负债!$A:$P,5,0)/100</f>
        <v>32554.07</v>
      </c>
      <c r="S271" s="35">
        <f>VLOOKUP(I271,负债!$A:$P,6,0)/100</f>
        <v>8091.54</v>
      </c>
      <c r="T271" s="37">
        <f>VLOOKUP(I271,资产!$A:$AF,2,0)/100</f>
        <v>68135.13</v>
      </c>
      <c r="U271" s="37">
        <f>VLOOKUP(I271,资产!$A:$AF,7,0)/100</f>
        <v>64858.879999999997</v>
      </c>
      <c r="V271" s="37">
        <f>VLOOKUP(I271,负债!$A:$P,9,0)/100</f>
        <v>4524.67</v>
      </c>
      <c r="W271" s="37">
        <f>VLOOKUP(I271,负债!$A:$P,6,0)/100</f>
        <v>8091.54</v>
      </c>
      <c r="X271" s="11">
        <f>VLOOKUP(I271,负债!$A:$P,2,0)/100</f>
        <v>67693.14</v>
      </c>
      <c r="Y271" s="11">
        <f t="shared" si="4"/>
        <v>55518.920000000006</v>
      </c>
    </row>
    <row r="272" spans="9:25" s="12" customFormat="1" x14ac:dyDescent="0.35">
      <c r="I272" s="24">
        <v>45707</v>
      </c>
      <c r="J272" s="11">
        <f>VLOOKUP(I272,资产!$A:$AF,8,0)/100</f>
        <v>42512.51</v>
      </c>
      <c r="K272" s="11">
        <f>VLOOKUP(I272,资产!$A:$AF,9,0)/100</f>
        <v>1953.43</v>
      </c>
      <c r="L272" s="11">
        <f>VLOOKUP(I272,资产!$A:$AF,10,0)/100</f>
        <v>36291.769999999997</v>
      </c>
      <c r="M272" s="11">
        <f>(VLOOKUP(I272,资产!$A:$AF,13,0)+VLOOKUP(I272,资产!$A:$AF,14,0)+VLOOKUP(I272,资产!$A:$AF,15,0))/100</f>
        <v>7112.38</v>
      </c>
      <c r="N272" s="11">
        <f>VLOOKUP(I272,资产!$A:$AF,16,0)/100</f>
        <v>14603.03</v>
      </c>
      <c r="O272" s="11">
        <f>VLOOKUP(I272,资产!$A:$AF,17,0)/100</f>
        <v>5312.57</v>
      </c>
      <c r="P272" s="11">
        <f>VLOOKUP(I272,资产!$A:$AF,18,0)/100</f>
        <v>15484.52</v>
      </c>
      <c r="Q272" s="11">
        <f>VLOOKUP(I272,资产!$A:$AF,20,0)/100</f>
        <v>22175.72</v>
      </c>
      <c r="R272" s="35">
        <f>VLOOKUP(I272,负债!$A:$P,5,0)/100</f>
        <v>32761.41</v>
      </c>
      <c r="S272" s="35">
        <f>VLOOKUP(I272,负债!$A:$P,6,0)/100</f>
        <v>7389.38</v>
      </c>
      <c r="T272" s="37">
        <f>VLOOKUP(I272,资产!$A:$AF,2,0)/100</f>
        <v>67823.320000000007</v>
      </c>
      <c r="U272" s="37">
        <f>VLOOKUP(I272,资产!$A:$AF,7,0)/100</f>
        <v>64711.69</v>
      </c>
      <c r="V272" s="37">
        <f>VLOOKUP(I272,负债!$A:$P,9,0)/100</f>
        <v>4610.29</v>
      </c>
      <c r="W272" s="37">
        <f>VLOOKUP(I272,负债!$A:$P,6,0)/100</f>
        <v>7389.38</v>
      </c>
      <c r="X272" s="11">
        <f>VLOOKUP(I272,负债!$A:$P,2,0)/100</f>
        <v>67381.33</v>
      </c>
      <c r="Y272" s="11">
        <f t="shared" si="4"/>
        <v>55823.650000000009</v>
      </c>
    </row>
    <row r="273" spans="9:25" s="12" customFormat="1" x14ac:dyDescent="0.35">
      <c r="I273" s="24">
        <v>45714</v>
      </c>
      <c r="J273" s="11">
        <f>VLOOKUP(I273,资产!$A:$AF,8,0)/100</f>
        <v>42513.38</v>
      </c>
      <c r="K273" s="11">
        <f>VLOOKUP(I273,资产!$A:$AF,9,0)/100</f>
        <v>1953.43</v>
      </c>
      <c r="L273" s="11">
        <f>VLOOKUP(I273,资产!$A:$AF,10,0)/100</f>
        <v>36292.269999999997</v>
      </c>
      <c r="M273" s="11">
        <f>(VLOOKUP(I273,资产!$A:$AF,13,0)+VLOOKUP(I273,资产!$A:$AF,14,0)+VLOOKUP(I273,资产!$A:$AF,15,0))/100</f>
        <v>7112.43</v>
      </c>
      <c r="N273" s="11">
        <f>VLOOKUP(I273,资产!$A:$AF,16,0)/100</f>
        <v>14603.19</v>
      </c>
      <c r="O273" s="11">
        <f>VLOOKUP(I273,资产!$A:$AF,17,0)/100</f>
        <v>5312.62</v>
      </c>
      <c r="P273" s="11">
        <f>VLOOKUP(I273,资产!$A:$AF,18,0)/100</f>
        <v>15485.14</v>
      </c>
      <c r="Q273" s="11">
        <f>VLOOKUP(I273,资产!$A:$AF,20,0)/100</f>
        <v>22033.09</v>
      </c>
      <c r="R273" s="35">
        <f>VLOOKUP(I273,负债!$A:$P,5,0)/100</f>
        <v>33807.61</v>
      </c>
      <c r="S273" s="35">
        <f>VLOOKUP(I273,负债!$A:$P,6,0)/100</f>
        <v>5685.5</v>
      </c>
      <c r="T273" s="37">
        <f>VLOOKUP(I273,资产!$A:$AF,2,0)/100</f>
        <v>67661.009999999995</v>
      </c>
      <c r="U273" s="37">
        <f>VLOOKUP(I273,资产!$A:$AF,7,0)/100</f>
        <v>64569.94</v>
      </c>
      <c r="V273" s="37">
        <f>VLOOKUP(I273,负债!$A:$P,9,0)/100</f>
        <v>5117.84</v>
      </c>
      <c r="W273" s="37">
        <f>VLOOKUP(I273,负债!$A:$P,6,0)/100</f>
        <v>5685.5</v>
      </c>
      <c r="X273" s="11">
        <f>VLOOKUP(I273,负债!$A:$P,2,0)/100</f>
        <v>67219.02</v>
      </c>
      <c r="Y273" s="11">
        <f t="shared" si="4"/>
        <v>56857.67</v>
      </c>
    </row>
    <row r="274" spans="9:25" s="12" customFormat="1" x14ac:dyDescent="0.35">
      <c r="I274" s="24">
        <v>45721</v>
      </c>
      <c r="J274" s="11">
        <f>VLOOKUP(I274,资产!$A:$AF,8,0)/100</f>
        <v>42415.7</v>
      </c>
      <c r="K274" s="11">
        <f>VLOOKUP(I274,资产!$A:$AF,9,0)/100</f>
        <v>1953.43</v>
      </c>
      <c r="L274" s="11">
        <f>VLOOKUP(I274,资产!$A:$AF,10,0)/100</f>
        <v>36180.89</v>
      </c>
      <c r="M274" s="11">
        <f>(VLOOKUP(I274,资产!$A:$AF,13,0)+VLOOKUP(I274,资产!$A:$AF,14,0)+VLOOKUP(I274,资产!$A:$AF,15,0))/100</f>
        <v>7011.29</v>
      </c>
      <c r="N274" s="11">
        <f>VLOOKUP(I274,资产!$A:$AF,16,0)/100</f>
        <v>14614.48</v>
      </c>
      <c r="O274" s="11">
        <f>VLOOKUP(I274,资产!$A:$AF,17,0)/100</f>
        <v>5278.11</v>
      </c>
      <c r="P274" s="11">
        <f>VLOOKUP(I274,资产!$A:$AF,18,0)/100</f>
        <v>15511.82</v>
      </c>
      <c r="Q274" s="11">
        <f>VLOOKUP(I274,资产!$A:$AF,20,0)/100</f>
        <v>22033.09</v>
      </c>
      <c r="R274" s="35">
        <f>VLOOKUP(I274,负债!$A:$P,5,0)/100</f>
        <v>33811.74</v>
      </c>
      <c r="S274" s="35">
        <f>VLOOKUP(I274,负债!$A:$P,6,0)/100</f>
        <v>5228.18</v>
      </c>
      <c r="T274" s="37">
        <f>VLOOKUP(I274,资产!$A:$AF,2,0)/100</f>
        <v>67567.64</v>
      </c>
      <c r="U274" s="37">
        <f>VLOOKUP(I274,资产!$A:$AF,7,0)/100</f>
        <v>64472.26</v>
      </c>
      <c r="V274" s="37">
        <f>VLOOKUP(I274,负债!$A:$P,9,0)/100</f>
        <v>5308.89</v>
      </c>
      <c r="W274" s="37">
        <f>VLOOKUP(I274,负债!$A:$P,6,0)/100</f>
        <v>5228.18</v>
      </c>
      <c r="X274" s="11">
        <f>VLOOKUP(I274,负债!$A:$P,2,0)/100</f>
        <v>67125.490000000005</v>
      </c>
      <c r="Y274" s="11">
        <f t="shared" si="4"/>
        <v>57030.57</v>
      </c>
    </row>
    <row r="275" spans="9:25" s="12" customFormat="1" x14ac:dyDescent="0.35">
      <c r="I275" s="24">
        <v>45728</v>
      </c>
      <c r="J275" s="11">
        <f>VLOOKUP(I275,资产!$A:$AF,8,0)/100</f>
        <v>42422.02</v>
      </c>
      <c r="K275" s="11">
        <f>VLOOKUP(I275,资产!$A:$AF,9,0)/100</f>
        <v>1953.43</v>
      </c>
      <c r="L275" s="11">
        <f>VLOOKUP(I275,资产!$A:$AF,10,0)/100</f>
        <v>36180.89</v>
      </c>
      <c r="M275" s="11">
        <f>(VLOOKUP(I275,资产!$A:$AF,13,0)+VLOOKUP(I275,资产!$A:$AF,14,0)+VLOOKUP(I275,资产!$A:$AF,15,0))/100</f>
        <v>7012.15</v>
      </c>
      <c r="N275" s="11">
        <f>VLOOKUP(I275,资产!$A:$AF,16,0)/100</f>
        <v>14617.21</v>
      </c>
      <c r="O275" s="11">
        <f>VLOOKUP(I275,资产!$A:$AF,17,0)/100</f>
        <v>5278.83</v>
      </c>
      <c r="P275" s="11">
        <f>VLOOKUP(I275,资产!$A:$AF,18,0)/100</f>
        <v>15513.83</v>
      </c>
      <c r="Q275" s="11">
        <f>VLOOKUP(I275,资产!$A:$AF,20,0)/100</f>
        <v>22033.09</v>
      </c>
      <c r="R275" s="35">
        <f>VLOOKUP(I275,负债!$A:$P,5,0)/100</f>
        <v>34596.870000000003</v>
      </c>
      <c r="S275" s="35">
        <f>VLOOKUP(I275,负债!$A:$P,6,0)/100</f>
        <v>4507.13</v>
      </c>
      <c r="T275" s="37">
        <f>VLOOKUP(I275,资产!$A:$AF,2,0)/100</f>
        <v>67595.710000000006</v>
      </c>
      <c r="U275" s="37">
        <f>VLOOKUP(I275,资产!$A:$AF,7,0)/100</f>
        <v>64478.58</v>
      </c>
      <c r="V275" s="37">
        <f>VLOOKUP(I275,负债!$A:$P,9,0)/100</f>
        <v>5221.51</v>
      </c>
      <c r="W275" s="37">
        <f>VLOOKUP(I275,负债!$A:$P,6,0)/100</f>
        <v>4507.13</v>
      </c>
      <c r="X275" s="11">
        <f>VLOOKUP(I275,负债!$A:$P,2,0)/100</f>
        <v>67153.56</v>
      </c>
      <c r="Y275" s="11">
        <f t="shared" si="4"/>
        <v>57867.070000000007</v>
      </c>
    </row>
    <row r="276" spans="9:25" s="12" customFormat="1" x14ac:dyDescent="0.35">
      <c r="I276" s="24">
        <v>45735</v>
      </c>
      <c r="J276" s="11">
        <f>VLOOKUP(I276,资产!$A:$AF,8,0)/100</f>
        <v>42367.87</v>
      </c>
      <c r="K276" s="11">
        <f>VLOOKUP(I276,资产!$A:$AF,9,0)/100</f>
        <v>1953.43</v>
      </c>
      <c r="L276" s="11">
        <f>VLOOKUP(I276,资产!$A:$AF,10,0)/100</f>
        <v>36120.410000000003</v>
      </c>
      <c r="M276" s="11">
        <f>(VLOOKUP(I276,资产!$A:$AF,13,0)+VLOOKUP(I276,资产!$A:$AF,14,0)+VLOOKUP(I276,资产!$A:$AF,15,0))/100</f>
        <v>6932.67</v>
      </c>
      <c r="N276" s="11">
        <f>VLOOKUP(I276,资产!$A:$AF,16,0)/100</f>
        <v>14629.47</v>
      </c>
      <c r="O276" s="11">
        <f>VLOOKUP(I276,资产!$A:$AF,17,0)/100</f>
        <v>5286.15</v>
      </c>
      <c r="P276" s="11">
        <f>VLOOKUP(I276,资产!$A:$AF,18,0)/100</f>
        <v>15519.58</v>
      </c>
      <c r="Q276" s="11">
        <f>VLOOKUP(I276,资产!$A:$AF,20,0)/100</f>
        <v>22032.57</v>
      </c>
      <c r="R276" s="35">
        <f>VLOOKUP(I276,负债!$A:$P,5,0)/100</f>
        <v>34257.129999999997</v>
      </c>
      <c r="S276" s="35">
        <f>VLOOKUP(I276,负债!$A:$P,6,0)/100</f>
        <v>4157.99</v>
      </c>
      <c r="T276" s="37">
        <f>VLOOKUP(I276,资产!$A:$AF,2,0)/100</f>
        <v>67559.820000000007</v>
      </c>
      <c r="U276" s="37">
        <f>VLOOKUP(I276,资产!$A:$AF,7,0)/100</f>
        <v>64423.91</v>
      </c>
      <c r="V276" s="37">
        <f>VLOOKUP(I276,负债!$A:$P,9,0)/100</f>
        <v>5714.77</v>
      </c>
      <c r="W276" s="37">
        <f>VLOOKUP(I276,负债!$A:$P,6,0)/100</f>
        <v>4157.99</v>
      </c>
      <c r="X276" s="11">
        <f>VLOOKUP(I276,负债!$A:$P,2,0)/100</f>
        <v>67117.600000000006</v>
      </c>
      <c r="Y276" s="11">
        <f t="shared" si="4"/>
        <v>57687.060000000005</v>
      </c>
    </row>
    <row r="277" spans="9:25" s="12" customFormat="1" x14ac:dyDescent="0.35">
      <c r="I277" s="24">
        <v>45742</v>
      </c>
      <c r="J277" s="11">
        <f>VLOOKUP(I277,资产!$A:$AF,8,0)/100</f>
        <v>42374.19</v>
      </c>
      <c r="K277" s="11">
        <f>VLOOKUP(I277,资产!$A:$AF,9,0)/100</f>
        <v>1953.43</v>
      </c>
      <c r="L277" s="11">
        <f>VLOOKUP(I277,资产!$A:$AF,10,0)/100</f>
        <v>36120.410000000003</v>
      </c>
      <c r="M277" s="11">
        <f>(VLOOKUP(I277,资产!$A:$AF,13,0)+VLOOKUP(I277,资产!$A:$AF,14,0)+VLOOKUP(I277,资产!$A:$AF,15,0))/100</f>
        <v>6933.53</v>
      </c>
      <c r="N277" s="11">
        <f>VLOOKUP(I277,资产!$A:$AF,16,0)/100</f>
        <v>14632.2</v>
      </c>
      <c r="O277" s="11">
        <f>VLOOKUP(I277,资产!$A:$AF,17,0)/100</f>
        <v>5286.86</v>
      </c>
      <c r="P277" s="11">
        <f>VLOOKUP(I277,资产!$A:$AF,18,0)/100</f>
        <v>15521.59</v>
      </c>
      <c r="Q277" s="11">
        <f>VLOOKUP(I277,资产!$A:$AF,20,0)/100</f>
        <v>21889.99</v>
      </c>
      <c r="R277" s="35">
        <f>VLOOKUP(I277,负债!$A:$P,5,0)/100</f>
        <v>34505.5</v>
      </c>
      <c r="S277" s="35">
        <f>VLOOKUP(I277,负债!$A:$P,6,0)/100</f>
        <v>3159.7</v>
      </c>
      <c r="T277" s="37">
        <f>VLOOKUP(I277,资产!$A:$AF,2,0)/100</f>
        <v>67402.53</v>
      </c>
      <c r="U277" s="37">
        <f>VLOOKUP(I277,资产!$A:$AF,7,0)/100</f>
        <v>64287.65</v>
      </c>
      <c r="V277" s="37">
        <f>VLOOKUP(I277,负债!$A:$P,9,0)/100</f>
        <v>6286.11</v>
      </c>
      <c r="W277" s="37">
        <f>VLOOKUP(I277,负债!$A:$P,6,0)/100</f>
        <v>3159.7</v>
      </c>
      <c r="X277" s="11">
        <f>VLOOKUP(I277,负债!$A:$P,2,0)/100</f>
        <v>66960.320000000007</v>
      </c>
      <c r="Y277" s="11">
        <f t="shared" si="4"/>
        <v>57956.72</v>
      </c>
    </row>
    <row r="278" spans="9:25" s="12" customFormat="1" x14ac:dyDescent="0.35">
      <c r="I278" s="24">
        <v>45749</v>
      </c>
      <c r="J278" s="11">
        <f>VLOOKUP(I278,资产!$A:$AF,8,0)/100</f>
        <v>42190.49</v>
      </c>
      <c r="K278" s="11">
        <f>VLOOKUP(I278,资产!$A:$AF,9,0)/100</f>
        <v>1953.43</v>
      </c>
      <c r="L278" s="11">
        <f>VLOOKUP(I278,资产!$A:$AF,10,0)/100</f>
        <v>35925.57</v>
      </c>
      <c r="M278" s="11">
        <f>(VLOOKUP(I278,资产!$A:$AF,13,0)+VLOOKUP(I278,资产!$A:$AF,14,0)+VLOOKUP(I278,资产!$A:$AF,15,0))/100</f>
        <v>6903.75</v>
      </c>
      <c r="N278" s="11">
        <f>VLOOKUP(I278,资产!$A:$AF,16,0)/100</f>
        <v>14453.59</v>
      </c>
      <c r="O278" s="11">
        <f>VLOOKUP(I278,资产!$A:$AF,17,0)/100</f>
        <v>5305.87</v>
      </c>
      <c r="P278" s="11">
        <f>VLOOKUP(I278,资产!$A:$AF,18,0)/100</f>
        <v>15527.28</v>
      </c>
      <c r="Q278" s="11">
        <f>VLOOKUP(I278,资产!$A:$AF,20,0)/100</f>
        <v>21889.99</v>
      </c>
      <c r="R278" s="35">
        <f>VLOOKUP(I278,负债!$A:$P,5,0)/100</f>
        <v>34270.49</v>
      </c>
      <c r="S278" s="35">
        <f>VLOOKUP(I278,负债!$A:$P,6,0)/100</f>
        <v>3016.24</v>
      </c>
      <c r="T278" s="37">
        <f>VLOOKUP(I278,资产!$A:$AF,2,0)/100</f>
        <v>67234.52</v>
      </c>
      <c r="U278" s="37">
        <f>VLOOKUP(I278,资产!$A:$AF,7,0)/100</f>
        <v>64103.95</v>
      </c>
      <c r="V278" s="37">
        <f>VLOOKUP(I278,负债!$A:$P,9,0)/100</f>
        <v>6222.53</v>
      </c>
      <c r="W278" s="37">
        <f>VLOOKUP(I278,负债!$A:$P,6,0)/100</f>
        <v>3016.24</v>
      </c>
      <c r="X278" s="11">
        <f>VLOOKUP(I278,负债!$A:$P,2,0)/100</f>
        <v>66792.639999999999</v>
      </c>
      <c r="Y278" s="11">
        <f t="shared" si="4"/>
        <v>57995.750000000007</v>
      </c>
    </row>
    <row r="279" spans="9:25" s="12" customFormat="1" x14ac:dyDescent="0.35">
      <c r="I279" s="24">
        <v>45756</v>
      </c>
      <c r="J279" s="11">
        <f>VLOOKUP(I279,资产!$A:$AF,8,0)/100</f>
        <v>42194.96</v>
      </c>
      <c r="K279" s="11">
        <f>VLOOKUP(I279,资产!$A:$AF,9,0)/100</f>
        <v>1953.43</v>
      </c>
      <c r="L279" s="11">
        <f>VLOOKUP(I279,资产!$A:$AF,10,0)/100</f>
        <v>35925.57</v>
      </c>
      <c r="M279" s="11">
        <f>(VLOOKUP(I279,资产!$A:$AF,13,0)+VLOOKUP(I279,资产!$A:$AF,14,0)+VLOOKUP(I279,资产!$A:$AF,15,0))/100</f>
        <v>6904.38</v>
      </c>
      <c r="N279" s="11">
        <f>VLOOKUP(I279,资产!$A:$AF,16,0)/100</f>
        <v>14455.51</v>
      </c>
      <c r="O279" s="11">
        <f>VLOOKUP(I279,资产!$A:$AF,17,0)/100</f>
        <v>5306.38</v>
      </c>
      <c r="P279" s="11">
        <f>VLOOKUP(I279,资产!$A:$AF,18,0)/100</f>
        <v>15528.7</v>
      </c>
      <c r="Q279" s="11">
        <f>VLOOKUP(I279,资产!$A:$AF,20,0)/100</f>
        <v>21889.99</v>
      </c>
      <c r="R279" s="35">
        <f>VLOOKUP(I279,负债!$A:$P,5,0)/100</f>
        <v>34843.449999999997</v>
      </c>
      <c r="S279" s="35">
        <f>VLOOKUP(I279,负债!$A:$P,6,0)/100</f>
        <v>3151.89</v>
      </c>
      <c r="T279" s="37">
        <f>VLOOKUP(I279,资产!$A:$AF,2,0)/100</f>
        <v>67274.16</v>
      </c>
      <c r="U279" s="37">
        <f>VLOOKUP(I279,资产!$A:$AF,7,0)/100</f>
        <v>64108.42</v>
      </c>
      <c r="V279" s="37">
        <f>VLOOKUP(I279,负债!$A:$P,9,0)/100</f>
        <v>5342.53</v>
      </c>
      <c r="W279" s="37">
        <f>VLOOKUP(I279,负债!$A:$P,6,0)/100</f>
        <v>3151.89</v>
      </c>
      <c r="X279" s="11">
        <f>VLOOKUP(I279,负债!$A:$P,2,0)/100</f>
        <v>66832.289999999994</v>
      </c>
      <c r="Y279" s="11">
        <f t="shared" si="4"/>
        <v>58779.740000000005</v>
      </c>
    </row>
    <row r="280" spans="9:25" s="12" customFormat="1" x14ac:dyDescent="0.35">
      <c r="I280" s="24">
        <v>45763</v>
      </c>
      <c r="J280" s="11">
        <f>VLOOKUP(I280,资产!$A:$AF,8,0)/100</f>
        <v>42172.59</v>
      </c>
      <c r="K280" s="11">
        <f>VLOOKUP(I280,资产!$A:$AF,9,0)/100</f>
        <v>1953.43</v>
      </c>
      <c r="L280" s="11">
        <f>VLOOKUP(I280,资产!$A:$AF,10,0)/100</f>
        <v>36014.47</v>
      </c>
      <c r="M280" s="11">
        <f>(VLOOKUP(I280,资产!$A:$AF,13,0)+VLOOKUP(I280,资产!$A:$AF,14,0)+VLOOKUP(I280,资产!$A:$AF,15,0))/100</f>
        <v>6886.27</v>
      </c>
      <c r="N280" s="11">
        <f>VLOOKUP(I280,资产!$A:$AF,16,0)/100</f>
        <v>14347.51</v>
      </c>
      <c r="O280" s="11">
        <f>VLOOKUP(I280,资产!$A:$AF,17,0)/100</f>
        <v>5371.98</v>
      </c>
      <c r="P280" s="11">
        <f>VLOOKUP(I280,资产!$A:$AF,18,0)/100</f>
        <v>15566.84</v>
      </c>
      <c r="Q280" s="11">
        <f>VLOOKUP(I280,资产!$A:$AF,20,0)/100</f>
        <v>21888.73</v>
      </c>
      <c r="R280" s="35">
        <f>VLOOKUP(I280,负债!$A:$P,5,0)/100</f>
        <v>32808.449999999997</v>
      </c>
      <c r="S280" s="35">
        <f>VLOOKUP(I280,负债!$A:$P,6,0)/100</f>
        <v>6387.83</v>
      </c>
      <c r="T280" s="37">
        <f>VLOOKUP(I280,资产!$A:$AF,2,0)/100</f>
        <v>67271.13</v>
      </c>
      <c r="U280" s="37">
        <f>VLOOKUP(I280,资产!$A:$AF,7,0)/100</f>
        <v>64084.79</v>
      </c>
      <c r="V280" s="37">
        <f>VLOOKUP(I280,负债!$A:$P,9,0)/100</f>
        <v>4124.28</v>
      </c>
      <c r="W280" s="37">
        <f>VLOOKUP(I280,负债!$A:$P,6,0)/100</f>
        <v>6387.83</v>
      </c>
      <c r="X280" s="11">
        <f>VLOOKUP(I280,负债!$A:$P,2,0)/100</f>
        <v>66828.87</v>
      </c>
      <c r="Y280" s="11">
        <f t="shared" si="4"/>
        <v>56759.020000000004</v>
      </c>
    </row>
    <row r="281" spans="9:25" s="12" customFormat="1" x14ac:dyDescent="0.35">
      <c r="I281" s="24">
        <v>45770</v>
      </c>
      <c r="J281" s="11">
        <f>VLOOKUP(I281,资产!$A:$AF,8,0)/100</f>
        <v>42176.94</v>
      </c>
      <c r="K281" s="11">
        <f>VLOOKUP(I281,资产!$A:$AF,9,0)/100</f>
        <v>1953.43</v>
      </c>
      <c r="L281" s="11">
        <f>VLOOKUP(I281,资产!$A:$AF,10,0)/100</f>
        <v>36014.47</v>
      </c>
      <c r="M281" s="11">
        <f>(VLOOKUP(I281,资产!$A:$AF,13,0)+VLOOKUP(I281,资产!$A:$AF,14,0)+VLOOKUP(I281,资产!$A:$AF,15,0))/100</f>
        <v>6886.95</v>
      </c>
      <c r="N281" s="11">
        <f>VLOOKUP(I281,资产!$A:$AF,16,0)/100</f>
        <v>14349.24</v>
      </c>
      <c r="O281" s="11">
        <f>VLOOKUP(I281,资产!$A:$AF,17,0)/100</f>
        <v>5372.49</v>
      </c>
      <c r="P281" s="11">
        <f>VLOOKUP(I281,资产!$A:$AF,18,0)/100</f>
        <v>15568.27</v>
      </c>
      <c r="Q281" s="11">
        <f>VLOOKUP(I281,资产!$A:$AF,20,0)/100</f>
        <v>21854.06</v>
      </c>
      <c r="R281" s="35">
        <f>VLOOKUP(I281,负债!$A:$P,5,0)/100</f>
        <v>32089.15</v>
      </c>
      <c r="S281" s="35">
        <f>VLOOKUP(I281,负债!$A:$P,6,0)/100</f>
        <v>5761.59</v>
      </c>
      <c r="T281" s="37">
        <f>VLOOKUP(I281,资产!$A:$AF,2,0)/100</f>
        <v>67269.3</v>
      </c>
      <c r="U281" s="37">
        <f>VLOOKUP(I281,资产!$A:$AF,7,0)/100</f>
        <v>64054.47</v>
      </c>
      <c r="V281" s="37">
        <f>VLOOKUP(I281,负债!$A:$P,9,0)/100</f>
        <v>5449.9</v>
      </c>
      <c r="W281" s="37">
        <f>VLOOKUP(I281,负债!$A:$P,6,0)/100</f>
        <v>5761.59</v>
      </c>
      <c r="X281" s="11">
        <f>VLOOKUP(I281,负债!$A:$P,2,0)/100</f>
        <v>66827.03</v>
      </c>
      <c r="Y281" s="11">
        <f t="shared" si="4"/>
        <v>56057.81</v>
      </c>
    </row>
    <row r="282" spans="9:25" s="12" customFormat="1" x14ac:dyDescent="0.35">
      <c r="I282" s="24">
        <v>45777</v>
      </c>
      <c r="J282" s="11">
        <f>VLOOKUP(I282,资产!$A:$AF,8,0)/100</f>
        <v>42158.13</v>
      </c>
      <c r="K282" s="11">
        <f>VLOOKUP(I282,资产!$A:$AF,9,0)/100</f>
        <v>1953.43</v>
      </c>
      <c r="L282" s="11">
        <f>VLOOKUP(I282,资产!$A:$AF,10,0)/100</f>
        <v>35974.15</v>
      </c>
      <c r="M282" s="11">
        <f>(VLOOKUP(I282,资产!$A:$AF,13,0)+VLOOKUP(I282,资产!$A:$AF,14,0)+VLOOKUP(I282,资产!$A:$AF,15,0))/100</f>
        <v>7009.69</v>
      </c>
      <c r="N282" s="11">
        <f>VLOOKUP(I282,资产!$A:$AF,16,0)/100</f>
        <v>14200.87</v>
      </c>
      <c r="O282" s="11">
        <f>VLOOKUP(I282,资产!$A:$AF,17,0)/100</f>
        <v>5368.97</v>
      </c>
      <c r="P282" s="11">
        <f>VLOOKUP(I282,资产!$A:$AF,18,0)/100</f>
        <v>15578.59</v>
      </c>
      <c r="Q282" s="11">
        <f>VLOOKUP(I282,资产!$A:$AF,20,0)/100</f>
        <v>21729.45</v>
      </c>
      <c r="R282" s="35">
        <f>VLOOKUP(I282,负债!$A:$P,5,0)/100</f>
        <v>30002.77</v>
      </c>
      <c r="S282" s="35">
        <f>VLOOKUP(I282,负债!$A:$P,6,0)/100</f>
        <v>6776.57</v>
      </c>
      <c r="T282" s="37">
        <f>VLOOKUP(I282,资产!$A:$AF,2,0)/100</f>
        <v>67092.77</v>
      </c>
      <c r="U282" s="37">
        <f>VLOOKUP(I282,资产!$A:$AF,7,0)/100</f>
        <v>63911.05</v>
      </c>
      <c r="V282" s="37">
        <f>VLOOKUP(I282,负债!$A:$P,9,0)/100</f>
        <v>6321.22</v>
      </c>
      <c r="W282" s="37">
        <f>VLOOKUP(I282,负债!$A:$P,6,0)/100</f>
        <v>6776.57</v>
      </c>
      <c r="X282" s="11">
        <f>VLOOKUP(I282,负债!$A:$P,2,0)/100</f>
        <v>66650.5</v>
      </c>
      <c r="Y282" s="11">
        <f t="shared" si="4"/>
        <v>53994.98</v>
      </c>
    </row>
    <row r="283" spans="9:25" s="12" customFormat="1" x14ac:dyDescent="0.35">
      <c r="I283" s="24">
        <v>45784</v>
      </c>
      <c r="J283" s="11">
        <f>VLOOKUP(I283,资产!$A:$AF,8,0)/100</f>
        <v>42161.03</v>
      </c>
      <c r="K283" s="11">
        <f>VLOOKUP(I283,资产!$A:$AF,9,0)/100</f>
        <v>1954.18</v>
      </c>
      <c r="L283" s="11">
        <f>VLOOKUP(I283,资产!$A:$AF,10,0)/100</f>
        <v>35974.15</v>
      </c>
      <c r="M283" s="11">
        <f>(VLOOKUP(I283,资产!$A:$AF,13,0)+VLOOKUP(I283,资产!$A:$AF,14,0)+VLOOKUP(I283,资产!$A:$AF,15,0))/100</f>
        <v>7010.79</v>
      </c>
      <c r="N283" s="11">
        <f>VLOOKUP(I283,资产!$A:$AF,16,0)/100</f>
        <v>14201.73</v>
      </c>
      <c r="O283" s="11">
        <f>VLOOKUP(I283,资产!$A:$AF,17,0)/100</f>
        <v>5369.22</v>
      </c>
      <c r="P283" s="11">
        <f>VLOOKUP(I283,资产!$A:$AF,18,0)/100</f>
        <v>15579.29</v>
      </c>
      <c r="Q283" s="11">
        <f>VLOOKUP(I283,资产!$A:$AF,20,0)/100</f>
        <v>21729.45</v>
      </c>
      <c r="R283" s="35">
        <f>VLOOKUP(I283,负债!$A:$P,5,0)/100</f>
        <v>32006.19</v>
      </c>
      <c r="S283" s="35">
        <f>VLOOKUP(I283,负债!$A:$P,6,0)/100</f>
        <v>5958.6</v>
      </c>
      <c r="T283" s="37">
        <f>VLOOKUP(I283,资产!$A:$AF,2,0)/100</f>
        <v>67108.89</v>
      </c>
      <c r="U283" s="37">
        <f>VLOOKUP(I283,资产!$A:$AF,7,0)/100</f>
        <v>63913.95</v>
      </c>
      <c r="V283" s="37">
        <f>VLOOKUP(I283,负债!$A:$P,9,0)/100</f>
        <v>5245.54</v>
      </c>
      <c r="W283" s="37">
        <f>VLOOKUP(I283,负债!$A:$P,6,0)/100</f>
        <v>5958.6</v>
      </c>
      <c r="X283" s="11">
        <f>VLOOKUP(I283,负债!$A:$P,2,0)/100</f>
        <v>66665.45</v>
      </c>
      <c r="Y283" s="11">
        <f t="shared" si="4"/>
        <v>55904.75</v>
      </c>
    </row>
    <row r="284" spans="9:25" s="12" customFormat="1" x14ac:dyDescent="0.35">
      <c r="I284" s="24">
        <v>45791</v>
      </c>
      <c r="J284" s="11">
        <f>VLOOKUP(I284,资产!$A:$AF,8,0)/100</f>
        <v>42163.93</v>
      </c>
      <c r="K284" s="11">
        <f>VLOOKUP(I284,资产!$A:$AF,9,0)/100</f>
        <v>1954.18</v>
      </c>
      <c r="L284" s="11">
        <f>VLOOKUP(I284,资产!$A:$AF,10,0)/100</f>
        <v>35974.9</v>
      </c>
      <c r="M284" s="11">
        <f>(VLOOKUP(I284,资产!$A:$AF,13,0)+VLOOKUP(I284,资产!$A:$AF,14,0)+VLOOKUP(I284,资产!$A:$AF,15,0))/100</f>
        <v>7011.12</v>
      </c>
      <c r="N284" s="11">
        <f>VLOOKUP(I284,资产!$A:$AF,16,0)/100</f>
        <v>14608.72</v>
      </c>
      <c r="O284" s="11">
        <f>VLOOKUP(I284,资产!$A:$AF,17,0)/100</f>
        <v>4964.1000000000004</v>
      </c>
      <c r="P284" s="11">
        <f>VLOOKUP(I284,资产!$A:$AF,18,0)/100</f>
        <v>15579.99</v>
      </c>
      <c r="Q284" s="11">
        <f>VLOOKUP(I284,资产!$A:$AF,20,0)/100</f>
        <v>21729.45</v>
      </c>
      <c r="R284" s="35">
        <f>VLOOKUP(I284,负债!$A:$P,5,0)/100</f>
        <v>32357.15</v>
      </c>
      <c r="S284" s="35">
        <f>VLOOKUP(I284,负债!$A:$P,6,0)/100</f>
        <v>5624.33</v>
      </c>
      <c r="T284" s="37">
        <f>VLOOKUP(I284,资产!$A:$AF,2,0)/100</f>
        <v>67132.7</v>
      </c>
      <c r="U284" s="37">
        <f>VLOOKUP(I284,资产!$A:$AF,7,0)/100</f>
        <v>63916.84</v>
      </c>
      <c r="V284" s="37">
        <f>VLOOKUP(I284,负债!$A:$P,9,0)/100</f>
        <v>5192.13</v>
      </c>
      <c r="W284" s="37">
        <f>VLOOKUP(I284,负债!$A:$P,6,0)/100</f>
        <v>5624.33</v>
      </c>
      <c r="X284" s="11">
        <f>VLOOKUP(I284,负债!$A:$P,2,0)/100</f>
        <v>66689.27</v>
      </c>
      <c r="Y284" s="11">
        <f t="shared" si="4"/>
        <v>56316.24</v>
      </c>
    </row>
    <row r="285" spans="9:25" s="12" customFormat="1" x14ac:dyDescent="0.35">
      <c r="I285" s="24">
        <v>45798</v>
      </c>
      <c r="J285" s="11">
        <f>VLOOKUP(I285,资产!$A:$AF,8,0)/100</f>
        <v>42135.15</v>
      </c>
      <c r="K285" s="11">
        <f>VLOOKUP(I285,资产!$A:$AF,9,0)/100</f>
        <v>1954.18</v>
      </c>
      <c r="L285" s="11">
        <f>VLOOKUP(I285,资产!$A:$AF,10,0)/100</f>
        <v>35943.99</v>
      </c>
      <c r="M285" s="11">
        <f>(VLOOKUP(I285,资产!$A:$AF,13,0)+VLOOKUP(I285,资产!$A:$AF,14,0)+VLOOKUP(I285,资产!$A:$AF,15,0))/100</f>
        <v>6836.11</v>
      </c>
      <c r="N285" s="11">
        <f>VLOOKUP(I285,资产!$A:$AF,16,0)/100</f>
        <v>14517.5</v>
      </c>
      <c r="O285" s="11">
        <f>VLOOKUP(I285,资产!$A:$AF,17,0)/100</f>
        <v>5112.6099999999997</v>
      </c>
      <c r="P285" s="11">
        <f>VLOOKUP(I285,资产!$A:$AF,18,0)/100</f>
        <v>15668.94</v>
      </c>
      <c r="Q285" s="11">
        <f>VLOOKUP(I285,资产!$A:$AF,20,0)/100</f>
        <v>21692.959999999999</v>
      </c>
      <c r="R285" s="35">
        <f>VLOOKUP(I285,负债!$A:$P,5,0)/100</f>
        <v>32837.65</v>
      </c>
      <c r="S285" s="35">
        <f>VLOOKUP(I285,负债!$A:$P,6,0)/100</f>
        <v>4758.8599999999997</v>
      </c>
      <c r="T285" s="37">
        <f>VLOOKUP(I285,资产!$A:$AF,2,0)/100</f>
        <v>66887.259999999995</v>
      </c>
      <c r="U285" s="37">
        <f>VLOOKUP(I285,资产!$A:$AF,7,0)/100</f>
        <v>63851.59</v>
      </c>
      <c r="V285" s="37">
        <f>VLOOKUP(I285,负债!$A:$P,9,0)/100</f>
        <v>5341.43</v>
      </c>
      <c r="W285" s="37">
        <f>VLOOKUP(I285,负债!$A:$P,6,0)/100</f>
        <v>4758.8599999999997</v>
      </c>
      <c r="X285" s="11">
        <f>VLOOKUP(I285,负债!$A:$P,2,0)/100</f>
        <v>66432.08</v>
      </c>
      <c r="Y285" s="11">
        <f t="shared" si="4"/>
        <v>56786.969999999994</v>
      </c>
    </row>
    <row r="286" spans="9:25" s="12" customFormat="1" x14ac:dyDescent="0.35">
      <c r="I286" s="24">
        <v>45805</v>
      </c>
      <c r="J286" s="11">
        <f>VLOOKUP(I286,资产!$A:$AF,8,0)/100</f>
        <v>42137.3</v>
      </c>
      <c r="K286" s="11">
        <f>VLOOKUP(I286,资产!$A:$AF,9,0)/100</f>
        <v>1954.18</v>
      </c>
      <c r="L286" s="11">
        <f>VLOOKUP(I286,资产!$A:$AF,10,0)/100</f>
        <v>35943.99</v>
      </c>
      <c r="M286" s="11">
        <f>(VLOOKUP(I286,资产!$A:$AF,13,0)+VLOOKUP(I286,资产!$A:$AF,14,0)+VLOOKUP(I286,资产!$A:$AF,15,0))/100</f>
        <v>6836.44</v>
      </c>
      <c r="N286" s="11">
        <f>VLOOKUP(I286,资产!$A:$AF,16,0)/100</f>
        <v>14518.37</v>
      </c>
      <c r="O286" s="11">
        <f>VLOOKUP(I286,资产!$A:$AF,17,0)/100</f>
        <v>5112.8599999999997</v>
      </c>
      <c r="P286" s="11">
        <f>VLOOKUP(I286,资产!$A:$AF,18,0)/100</f>
        <v>15669.64</v>
      </c>
      <c r="Q286" s="11">
        <f>VLOOKUP(I286,资产!$A:$AF,20,0)/100</f>
        <v>21561.61</v>
      </c>
      <c r="R286" s="35">
        <f>VLOOKUP(I286,负债!$A:$P,5,0)/100</f>
        <v>32940.14</v>
      </c>
      <c r="S286" s="35">
        <f>VLOOKUP(I286,负债!$A:$P,6,0)/100</f>
        <v>4366.2700000000004</v>
      </c>
      <c r="T286" s="37">
        <f>VLOOKUP(I286,资产!$A:$AF,2,0)/100</f>
        <v>66732.44</v>
      </c>
      <c r="U286" s="37">
        <f>VLOOKUP(I286,资产!$A:$AF,7,0)/100</f>
        <v>63722.39</v>
      </c>
      <c r="V286" s="37">
        <f>VLOOKUP(I286,负债!$A:$P,9,0)/100</f>
        <v>5441.11</v>
      </c>
      <c r="W286" s="37">
        <f>VLOOKUP(I286,负债!$A:$P,6,0)/100</f>
        <v>4366.2700000000004</v>
      </c>
      <c r="X286" s="11">
        <f>VLOOKUP(I286,负债!$A:$P,2,0)/100</f>
        <v>66277.27</v>
      </c>
      <c r="Y286" s="11">
        <f t="shared" si="4"/>
        <v>56925.06</v>
      </c>
    </row>
    <row r="287" spans="9:25" s="12" customFormat="1" x14ac:dyDescent="0.35">
      <c r="I287" s="24">
        <v>45812</v>
      </c>
      <c r="J287" s="11">
        <f>VLOOKUP(I287,资产!$A:$AF,8,0)/100</f>
        <v>42120.9</v>
      </c>
      <c r="K287" s="11">
        <f>VLOOKUP(I287,资产!$A:$AF,9,0)/100</f>
        <v>1954.18</v>
      </c>
      <c r="L287" s="11">
        <f>VLOOKUP(I287,资产!$A:$AF,10,0)/100</f>
        <v>35924.9</v>
      </c>
      <c r="M287" s="11">
        <f>(VLOOKUP(I287,资产!$A:$AF,13,0)+VLOOKUP(I287,资产!$A:$AF,14,0)+VLOOKUP(I287,资产!$A:$AF,15,0))/100</f>
        <v>6838.95</v>
      </c>
      <c r="N287" s="11">
        <f>VLOOKUP(I287,资产!$A:$AF,16,0)/100</f>
        <v>14481.86</v>
      </c>
      <c r="O287" s="11">
        <f>VLOOKUP(I287,资产!$A:$AF,17,0)/100</f>
        <v>5107.68</v>
      </c>
      <c r="P287" s="11">
        <f>VLOOKUP(I287,资产!$A:$AF,18,0)/100</f>
        <v>15692.42</v>
      </c>
      <c r="Q287" s="11">
        <f>VLOOKUP(I287,资产!$A:$AF,20,0)/100</f>
        <v>21561.61</v>
      </c>
      <c r="R287" s="35">
        <f>VLOOKUP(I287,负债!$A:$P,5,0)/100</f>
        <v>33619.379999999997</v>
      </c>
      <c r="S287" s="35">
        <f>VLOOKUP(I287,负债!$A:$P,6,0)/100</f>
        <v>3761.6</v>
      </c>
      <c r="T287" s="37">
        <f>VLOOKUP(I287,资产!$A:$AF,2,0)/100</f>
        <v>66728.850000000006</v>
      </c>
      <c r="U287" s="37">
        <f>VLOOKUP(I287,资产!$A:$AF,7,0)/100</f>
        <v>63705.98</v>
      </c>
      <c r="V287" s="37">
        <f>VLOOKUP(I287,负债!$A:$P,9,0)/100</f>
        <v>5439.27</v>
      </c>
      <c r="W287" s="37">
        <f>VLOOKUP(I287,负债!$A:$P,6,0)/100</f>
        <v>3761.6</v>
      </c>
      <c r="X287" s="11">
        <f>VLOOKUP(I287,负债!$A:$P,2,0)/100</f>
        <v>66273.69</v>
      </c>
      <c r="Y287" s="11">
        <f t="shared" si="4"/>
        <v>57527.98</v>
      </c>
    </row>
    <row r="288" spans="9:25" s="12" customFormat="1" x14ac:dyDescent="0.35">
      <c r="I288" s="24">
        <v>45819</v>
      </c>
      <c r="J288" s="11">
        <f>VLOOKUP(I288,资产!$A:$AF,8,0)/100</f>
        <v>42123.98</v>
      </c>
      <c r="K288" s="11">
        <f>VLOOKUP(I288,资产!$A:$AF,9,0)/100</f>
        <v>1954.18</v>
      </c>
      <c r="L288" s="11">
        <f>VLOOKUP(I288,资产!$A:$AF,10,0)/100</f>
        <v>35924.9</v>
      </c>
      <c r="M288" s="11">
        <f>(VLOOKUP(I288,资产!$A:$AF,13,0)+VLOOKUP(I288,资产!$A:$AF,14,0)+VLOOKUP(I288,资产!$A:$AF,15,0))/100</f>
        <v>6839.42</v>
      </c>
      <c r="N288" s="11">
        <f>VLOOKUP(I288,资产!$A:$AF,16,0)/100</f>
        <v>14483.1</v>
      </c>
      <c r="O288" s="11">
        <f>VLOOKUP(I288,资产!$A:$AF,17,0)/100</f>
        <v>5108.04</v>
      </c>
      <c r="P288" s="11">
        <f>VLOOKUP(I288,资产!$A:$AF,18,0)/100</f>
        <v>15693.42</v>
      </c>
      <c r="Q288" s="11">
        <f>VLOOKUP(I288,资产!$A:$AF,20,0)/100</f>
        <v>21561.61</v>
      </c>
      <c r="R288" s="35">
        <f>VLOOKUP(I288,负债!$A:$P,5,0)/100</f>
        <v>34296.75</v>
      </c>
      <c r="S288" s="35">
        <f>VLOOKUP(I288,负债!$A:$P,6,0)/100</f>
        <v>2770.25</v>
      </c>
      <c r="T288" s="37">
        <f>VLOOKUP(I288,资产!$A:$AF,2,0)/100</f>
        <v>66771.55</v>
      </c>
      <c r="U288" s="37">
        <f>VLOOKUP(I288,资产!$A:$AF,7,0)/100</f>
        <v>63709.06</v>
      </c>
      <c r="V288" s="37">
        <f>VLOOKUP(I288,负债!$A:$P,9,0)/100</f>
        <v>5760.6</v>
      </c>
      <c r="W288" s="37">
        <f>VLOOKUP(I288,负债!$A:$P,6,0)/100</f>
        <v>2770.25</v>
      </c>
      <c r="X288" s="11">
        <f>VLOOKUP(I288,负债!$A:$P,2,0)/100</f>
        <v>66316.39</v>
      </c>
      <c r="Y288" s="11">
        <f t="shared" si="4"/>
        <v>58240.700000000004</v>
      </c>
    </row>
    <row r="289" spans="9:25" s="12" customFormat="1" x14ac:dyDescent="0.35">
      <c r="I289" s="24">
        <v>45826</v>
      </c>
      <c r="J289" s="11">
        <f>VLOOKUP(I289,资产!$A:$AF,8,0)/100</f>
        <v>42123.03</v>
      </c>
      <c r="K289" s="11">
        <f>VLOOKUP(I289,资产!$A:$AF,9,0)/100</f>
        <v>1954.18</v>
      </c>
      <c r="L289" s="11">
        <f>VLOOKUP(I289,资产!$A:$AF,10,0)/100</f>
        <v>35920.43</v>
      </c>
      <c r="M289" s="11">
        <f>(VLOOKUP(I289,资产!$A:$AF,13,0)+VLOOKUP(I289,资产!$A:$AF,14,0)+VLOOKUP(I289,资产!$A:$AF,15,0))/100</f>
        <v>6814.11</v>
      </c>
      <c r="N289" s="11">
        <f>VLOOKUP(I289,资产!$A:$AF,16,0)/100</f>
        <v>14494.94</v>
      </c>
      <c r="O289" s="11">
        <f>VLOOKUP(I289,资产!$A:$AF,17,0)/100</f>
        <v>5115.46</v>
      </c>
      <c r="P289" s="11">
        <f>VLOOKUP(I289,资产!$A:$AF,18,0)/100</f>
        <v>15698.52</v>
      </c>
      <c r="Q289" s="11">
        <f>VLOOKUP(I289,资产!$A:$AF,20,0)/100</f>
        <v>21561.68</v>
      </c>
      <c r="R289" s="35">
        <f>VLOOKUP(I289,负债!$A:$P,5,0)/100</f>
        <v>33229.910000000003</v>
      </c>
      <c r="S289" s="35">
        <f>VLOOKUP(I289,负债!$A:$P,6,0)/100</f>
        <v>3838.51</v>
      </c>
      <c r="T289" s="37">
        <f>VLOOKUP(I289,资产!$A:$AF,2,0)/100</f>
        <v>66810.559999999998</v>
      </c>
      <c r="U289" s="37">
        <f>VLOOKUP(I289,资产!$A:$AF,7,0)/100</f>
        <v>63708.18</v>
      </c>
      <c r="V289" s="37">
        <f>VLOOKUP(I289,负债!$A:$P,9,0)/100</f>
        <v>5771.89</v>
      </c>
      <c r="W289" s="37">
        <f>VLOOKUP(I289,负债!$A:$P,6,0)/100</f>
        <v>3838.51</v>
      </c>
      <c r="X289" s="11">
        <f>VLOOKUP(I289,负债!$A:$P,2,0)/100</f>
        <v>66355.41</v>
      </c>
      <c r="Y289" s="11">
        <f t="shared" si="4"/>
        <v>57200.159999999996</v>
      </c>
    </row>
    <row r="290" spans="9:25" s="12" customFormat="1" x14ac:dyDescent="0.35">
      <c r="I290" s="24">
        <v>45833</v>
      </c>
      <c r="J290" s="11">
        <f>VLOOKUP(I290,资产!$A:$AF,8,0)/100</f>
        <v>42126.17</v>
      </c>
      <c r="K290" s="11">
        <f>VLOOKUP(I290,资产!$A:$AF,9,0)/100</f>
        <v>1954.18</v>
      </c>
      <c r="L290" s="11">
        <f>VLOOKUP(I290,资产!$A:$AF,10,0)/100</f>
        <v>35920.93</v>
      </c>
      <c r="M290" s="11">
        <f>(VLOOKUP(I290,资产!$A:$AF,13,0)+VLOOKUP(I290,资产!$A:$AF,14,0)+VLOOKUP(I290,资产!$A:$AF,15,0))/100</f>
        <v>6814.51</v>
      </c>
      <c r="N290" s="11">
        <f>VLOOKUP(I290,资产!$A:$AF,16,0)/100</f>
        <v>14496</v>
      </c>
      <c r="O290" s="11">
        <f>VLOOKUP(I290,资产!$A:$AF,17,0)/100</f>
        <v>5115.7700000000004</v>
      </c>
      <c r="P290" s="11">
        <f>VLOOKUP(I290,资产!$A:$AF,18,0)/100</f>
        <v>15699.88</v>
      </c>
      <c r="Q290" s="11">
        <f>VLOOKUP(I290,资产!$A:$AF,20,0)/100</f>
        <v>21384.959999999999</v>
      </c>
      <c r="R290" s="35">
        <f>VLOOKUP(I290,负债!$A:$P,5,0)/100</f>
        <v>33472.74</v>
      </c>
      <c r="S290" s="35">
        <f>VLOOKUP(I290,负债!$A:$P,6,0)/100</f>
        <v>3345.79</v>
      </c>
      <c r="T290" s="37">
        <f>VLOOKUP(I290,资产!$A:$AF,2,0)/100</f>
        <v>66622</v>
      </c>
      <c r="U290" s="37">
        <f>VLOOKUP(I290,资产!$A:$AF,7,0)/100</f>
        <v>63534.6</v>
      </c>
      <c r="V290" s="37">
        <f>VLOOKUP(I290,负债!$A:$P,9,0)/100</f>
        <v>5840.51</v>
      </c>
      <c r="W290" s="37">
        <f>VLOOKUP(I290,负债!$A:$P,6,0)/100</f>
        <v>3345.79</v>
      </c>
      <c r="X290" s="11">
        <f>VLOOKUP(I290,负债!$A:$P,2,0)/100</f>
        <v>66166.61</v>
      </c>
      <c r="Y290" s="11">
        <f t="shared" si="4"/>
        <v>57435.7</v>
      </c>
    </row>
    <row r="291" spans="9:25" s="12" customFormat="1" x14ac:dyDescent="0.35">
      <c r="I291" s="24">
        <v>45840</v>
      </c>
      <c r="J291" s="11">
        <f>VLOOKUP(I291,资产!$A:$AF,8,0)/100</f>
        <v>42083.25</v>
      </c>
      <c r="K291" s="11">
        <f>VLOOKUP(I291,资产!$A:$AF,9,0)/100</f>
        <v>1954.18</v>
      </c>
      <c r="L291" s="11">
        <f>VLOOKUP(I291,资产!$A:$AF,10,0)/100</f>
        <v>35852.51</v>
      </c>
      <c r="M291" s="11">
        <f>(VLOOKUP(I291,资产!$A:$AF,13,0)+VLOOKUP(I291,资产!$A:$AF,14,0)+VLOOKUP(I291,资产!$A:$AF,15,0))/100</f>
        <v>6861.34</v>
      </c>
      <c r="N291" s="11">
        <f>VLOOKUP(I291,资产!$A:$AF,16,0)/100</f>
        <v>14348.65</v>
      </c>
      <c r="O291" s="11">
        <f>VLOOKUP(I291,资产!$A:$AF,17,0)/100</f>
        <v>5159.88</v>
      </c>
      <c r="P291" s="11">
        <f>VLOOKUP(I291,资产!$A:$AF,18,0)/100</f>
        <v>15713.38</v>
      </c>
      <c r="Q291" s="11">
        <f>VLOOKUP(I291,资产!$A:$AF,20,0)/100</f>
        <v>21384.959999999999</v>
      </c>
      <c r="R291" s="35">
        <f>VLOOKUP(I291,负债!$A:$P,5,0)/100</f>
        <v>32565.02</v>
      </c>
      <c r="S291" s="35">
        <f>VLOOKUP(I291,负债!$A:$P,6,0)/100</f>
        <v>3722.32</v>
      </c>
      <c r="T291" s="37">
        <f>VLOOKUP(I291,资产!$A:$AF,2,0)/100</f>
        <v>66595.98</v>
      </c>
      <c r="U291" s="37">
        <f>VLOOKUP(I291,资产!$A:$AF,7,0)/100</f>
        <v>63491.67</v>
      </c>
      <c r="V291" s="37">
        <f>VLOOKUP(I291,负债!$A:$P,9,0)/100</f>
        <v>6311.38</v>
      </c>
      <c r="W291" s="37">
        <f>VLOOKUP(I291,负债!$A:$P,6,0)/100</f>
        <v>3722.32</v>
      </c>
      <c r="X291" s="11">
        <f>VLOOKUP(I291,负债!$A:$P,2,0)/100</f>
        <v>66140.45</v>
      </c>
      <c r="Y291" s="11">
        <f t="shared" si="4"/>
        <v>56562.28</v>
      </c>
    </row>
    <row r="292" spans="9:25" s="12" customFormat="1" x14ac:dyDescent="0.35">
      <c r="I292" s="24">
        <v>45847</v>
      </c>
      <c r="J292" s="11">
        <f>VLOOKUP(I292,资产!$A:$AF,8,0)/100</f>
        <v>42085.26</v>
      </c>
      <c r="K292" s="11">
        <f>VLOOKUP(I292,资产!$A:$AF,9,0)/100</f>
        <v>1954.18</v>
      </c>
      <c r="L292" s="11">
        <f>VLOOKUP(I292,资产!$A:$AF,10,0)/100</f>
        <v>35852.51</v>
      </c>
      <c r="M292" s="11">
        <f>(VLOOKUP(I292,资产!$A:$AF,13,0)+VLOOKUP(I292,资产!$A:$AF,14,0)+VLOOKUP(I292,资产!$A:$AF,15,0))/100</f>
        <v>6861.65</v>
      </c>
      <c r="N292" s="11">
        <f>VLOOKUP(I292,资产!$A:$AF,16,0)/100</f>
        <v>14349.47</v>
      </c>
      <c r="O292" s="11">
        <f>VLOOKUP(I292,资产!$A:$AF,17,0)/100</f>
        <v>5160.1099999999997</v>
      </c>
      <c r="P292" s="11">
        <f>VLOOKUP(I292,资产!$A:$AF,18,0)/100</f>
        <v>15714.03</v>
      </c>
      <c r="Q292" s="11">
        <f>VLOOKUP(I292,资产!$A:$AF,20,0)/100</f>
        <v>21384.959999999999</v>
      </c>
      <c r="R292" s="35">
        <f>VLOOKUP(I292,负债!$A:$P,5,0)/100</f>
        <v>33419.99</v>
      </c>
      <c r="S292" s="35">
        <f>VLOOKUP(I292,负债!$A:$P,6,0)/100</f>
        <v>3110.48</v>
      </c>
      <c r="T292" s="37">
        <f>VLOOKUP(I292,资产!$A:$AF,2,0)/100</f>
        <v>66619.12</v>
      </c>
      <c r="U292" s="37">
        <f>VLOOKUP(I292,资产!$A:$AF,7,0)/100</f>
        <v>63493.69</v>
      </c>
      <c r="V292" s="37">
        <f>VLOOKUP(I292,负债!$A:$P,9,0)/100</f>
        <v>6097.73</v>
      </c>
      <c r="W292" s="37">
        <f>VLOOKUP(I292,负债!$A:$P,6,0)/100</f>
        <v>3110.48</v>
      </c>
      <c r="X292" s="11">
        <f>VLOOKUP(I292,负债!$A:$P,2,0)/100</f>
        <v>66163.570000000007</v>
      </c>
      <c r="Y292" s="11">
        <f t="shared" si="4"/>
        <v>57410.909999999996</v>
      </c>
    </row>
    <row r="293" spans="9:25" s="12" customFormat="1" x14ac:dyDescent="0.35">
      <c r="I293" s="24">
        <v>45854</v>
      </c>
      <c r="J293" s="11">
        <f>VLOOKUP(I293,资产!$A:$AF,8,0)/100</f>
        <v>42065.23</v>
      </c>
      <c r="K293" s="11">
        <f>VLOOKUP(I293,资产!$A:$AF,9,0)/100</f>
        <v>1954.93</v>
      </c>
      <c r="L293" s="11">
        <f>VLOOKUP(I293,资产!$A:$AF,10,0)/100</f>
        <v>35938.51</v>
      </c>
      <c r="M293" s="11">
        <f>(VLOOKUP(I293,资产!$A:$AF,13,0)+VLOOKUP(I293,资产!$A:$AF,14,0)+VLOOKUP(I293,资产!$A:$AF,15,0))/100</f>
        <v>6818.11</v>
      </c>
      <c r="N293" s="11">
        <f>VLOOKUP(I293,资产!$A:$AF,16,0)/100</f>
        <v>14403.84</v>
      </c>
      <c r="O293" s="11">
        <f>VLOOKUP(I293,资产!$A:$AF,17,0)/100</f>
        <v>5102.5600000000004</v>
      </c>
      <c r="P293" s="11">
        <f>VLOOKUP(I293,资产!$A:$AF,18,0)/100</f>
        <v>15740.71</v>
      </c>
      <c r="Q293" s="11">
        <f>VLOOKUP(I293,资产!$A:$AF,20,0)/100</f>
        <v>21384.26</v>
      </c>
      <c r="R293" s="35">
        <f>VLOOKUP(I293,负债!$A:$P,5,0)/100</f>
        <v>33750.36</v>
      </c>
      <c r="S293" s="35">
        <f>VLOOKUP(I293,负债!$A:$P,6,0)/100</f>
        <v>3120.85</v>
      </c>
      <c r="T293" s="37">
        <f>VLOOKUP(I293,资产!$A:$AF,2,0)/100</f>
        <v>66592.73</v>
      </c>
      <c r="U293" s="37">
        <f>VLOOKUP(I293,资产!$A:$AF,7,0)/100</f>
        <v>63472.959999999999</v>
      </c>
      <c r="V293" s="37">
        <f>VLOOKUP(I293,负债!$A:$P,9,0)/100</f>
        <v>5746.85</v>
      </c>
      <c r="W293" s="37">
        <f>VLOOKUP(I293,负债!$A:$P,6,0)/100</f>
        <v>3120.85</v>
      </c>
      <c r="X293" s="11">
        <f>VLOOKUP(I293,负债!$A:$P,2,0)/100</f>
        <v>66137.16</v>
      </c>
      <c r="Y293" s="11">
        <f t="shared" si="4"/>
        <v>57725.03</v>
      </c>
    </row>
    <row r="294" spans="9:25" s="12" customFormat="1" x14ac:dyDescent="0.35">
      <c r="I294" s="24">
        <v>45861</v>
      </c>
      <c r="J294" s="11">
        <f>VLOOKUP(I294,资产!$A:$AF,8,0)/100</f>
        <v>42067.199999999997</v>
      </c>
      <c r="K294" s="11">
        <f>VLOOKUP(I294,资产!$A:$AF,9,0)/100</f>
        <v>1954.93</v>
      </c>
      <c r="L294" s="11">
        <f>VLOOKUP(I294,资产!$A:$AF,10,0)/100</f>
        <v>35938.51</v>
      </c>
      <c r="M294" s="11">
        <f>(VLOOKUP(I294,资产!$A:$AF,13,0)+VLOOKUP(I294,资产!$A:$AF,14,0)+VLOOKUP(I294,资产!$A:$AF,15,0))/100</f>
        <v>6818.42</v>
      </c>
      <c r="N294" s="11">
        <f>VLOOKUP(I294,资产!$A:$AF,16,0)/100</f>
        <v>14404.65</v>
      </c>
      <c r="O294" s="11">
        <f>VLOOKUP(I294,资产!$A:$AF,17,0)/100</f>
        <v>5102.75</v>
      </c>
      <c r="P294" s="11">
        <f>VLOOKUP(I294,资产!$A:$AF,18,0)/100</f>
        <v>15741.37</v>
      </c>
      <c r="Q294" s="11">
        <f>VLOOKUP(I294,资产!$A:$AF,20,0)/100</f>
        <v>21347.84</v>
      </c>
      <c r="R294" s="35">
        <f>VLOOKUP(I294,负债!$A:$P,5,0)/100</f>
        <v>33583.83</v>
      </c>
      <c r="S294" s="35">
        <f>VLOOKUP(I294,负债!$A:$P,6,0)/100</f>
        <v>3335.38</v>
      </c>
      <c r="T294" s="37">
        <f>VLOOKUP(I294,资产!$A:$AF,2,0)/100</f>
        <v>66577.149999999994</v>
      </c>
      <c r="U294" s="37">
        <f>VLOOKUP(I294,资产!$A:$AF,7,0)/100</f>
        <v>63438.51</v>
      </c>
      <c r="V294" s="37">
        <f>VLOOKUP(I294,负债!$A:$P,9,0)/100</f>
        <v>5670.06</v>
      </c>
      <c r="W294" s="37">
        <f>VLOOKUP(I294,负债!$A:$P,6,0)/100</f>
        <v>3335.38</v>
      </c>
      <c r="X294" s="11">
        <f>VLOOKUP(I294,负债!$A:$P,2,0)/100</f>
        <v>66121.570000000007</v>
      </c>
      <c r="Y294" s="11">
        <f t="shared" si="4"/>
        <v>57571.71</v>
      </c>
    </row>
    <row r="295" spans="9:25" s="12" customFormat="1" x14ac:dyDescent="0.35">
      <c r="I295" s="24">
        <v>45868</v>
      </c>
      <c r="J295" s="11">
        <f>VLOOKUP(I295,资产!$A:$AF,8,0)/100</f>
        <v>42069.16</v>
      </c>
      <c r="K295" s="11">
        <f>VLOOKUP(I295,资产!$A:$AF,9,0)/100</f>
        <v>1954.93</v>
      </c>
      <c r="L295" s="11">
        <f>VLOOKUP(I295,资产!$A:$AF,10,0)/100</f>
        <v>35938.51</v>
      </c>
      <c r="M295" s="11">
        <f>(VLOOKUP(I295,资产!$A:$AF,13,0)+VLOOKUP(I295,资产!$A:$AF,14,0)+VLOOKUP(I295,资产!$A:$AF,15,0))/100</f>
        <v>6818.75</v>
      </c>
      <c r="N295" s="11">
        <f>VLOOKUP(I295,资产!$A:$AF,16,0)/100</f>
        <v>14405.49</v>
      </c>
      <c r="O295" s="11">
        <f>VLOOKUP(I295,资产!$A:$AF,17,0)/100</f>
        <v>5102.8999999999996</v>
      </c>
      <c r="P295" s="11">
        <f>VLOOKUP(I295,资产!$A:$AF,18,0)/100</f>
        <v>15742.02</v>
      </c>
      <c r="Q295" s="11">
        <f>VLOOKUP(I295,资产!$A:$AF,20,0)/100</f>
        <v>21206.720000000001</v>
      </c>
      <c r="R295" s="35">
        <f>VLOOKUP(I295,负债!$A:$P,5,0)/100</f>
        <v>32996.959999999999</v>
      </c>
      <c r="S295" s="35">
        <f>VLOOKUP(I295,负债!$A:$P,6,0)/100</f>
        <v>4194.46</v>
      </c>
      <c r="T295" s="37">
        <f>VLOOKUP(I295,资产!$A:$AF,2,0)/100</f>
        <v>66425.78</v>
      </c>
      <c r="U295" s="37">
        <f>VLOOKUP(I295,资产!$A:$AF,7,0)/100</f>
        <v>63299.35</v>
      </c>
      <c r="V295" s="37">
        <f>VLOOKUP(I295,负债!$A:$P,9,0)/100</f>
        <v>5256.81</v>
      </c>
      <c r="W295" s="37">
        <f>VLOOKUP(I295,负债!$A:$P,6,0)/100</f>
        <v>4194.46</v>
      </c>
      <c r="X295" s="11">
        <f>VLOOKUP(I295,负债!$A:$P,2,0)/100</f>
        <v>65970.2</v>
      </c>
      <c r="Y295" s="11">
        <f t="shared" si="4"/>
        <v>56974.51</v>
      </c>
    </row>
    <row r="296" spans="9:25" s="12" customFormat="1" x14ac:dyDescent="0.35">
      <c r="I296" s="24">
        <v>45875</v>
      </c>
      <c r="J296" s="11">
        <f>VLOOKUP(I296,资产!$A:$AF,8,0)/100</f>
        <v>42045.01</v>
      </c>
      <c r="K296" s="11">
        <f>VLOOKUP(I296,资产!$A:$AF,9,0)/100</f>
        <v>1954.93</v>
      </c>
      <c r="L296" s="11">
        <f>VLOOKUP(I296,资产!$A:$AF,10,0)/100</f>
        <v>35896.99</v>
      </c>
      <c r="M296" s="11">
        <f>(VLOOKUP(I296,资产!$A:$AF,13,0)+VLOOKUP(I296,资产!$A:$AF,14,0)+VLOOKUP(I296,资产!$A:$AF,15,0))/100</f>
        <v>6882.54</v>
      </c>
      <c r="N296" s="11">
        <f>VLOOKUP(I296,资产!$A:$AF,16,0)/100</f>
        <v>14263.11</v>
      </c>
      <c r="O296" s="11">
        <f>VLOOKUP(I296,资产!$A:$AF,17,0)/100</f>
        <v>5147.4799999999996</v>
      </c>
      <c r="P296" s="11">
        <f>VLOOKUP(I296,资产!$A:$AF,18,0)/100</f>
        <v>15751.89</v>
      </c>
      <c r="Q296" s="11">
        <f>VLOOKUP(I296,资产!$A:$AF,20,0)/100</f>
        <v>21206.720000000001</v>
      </c>
      <c r="R296" s="35">
        <f>VLOOKUP(I296,负债!$A:$P,5,0)/100</f>
        <v>33303.72</v>
      </c>
      <c r="S296" s="35">
        <f>VLOOKUP(I296,负债!$A:$P,6,0)/100</f>
        <v>4643.1499999999996</v>
      </c>
      <c r="T296" s="37">
        <f>VLOOKUP(I296,资产!$A:$AF,2,0)/100</f>
        <v>66408.429999999993</v>
      </c>
      <c r="U296" s="37">
        <f>VLOOKUP(I296,资产!$A:$AF,7,0)/100</f>
        <v>63275.199999999997</v>
      </c>
      <c r="V296" s="37">
        <f>VLOOKUP(I296,负债!$A:$P,9,0)/100</f>
        <v>4458.75</v>
      </c>
      <c r="W296" s="37">
        <f>VLOOKUP(I296,负债!$A:$P,6,0)/100</f>
        <v>4643.1499999999996</v>
      </c>
      <c r="X296" s="11">
        <f>VLOOKUP(I296,负债!$A:$P,2,0)/100</f>
        <v>65951</v>
      </c>
      <c r="Y296" s="11">
        <f t="shared" si="4"/>
        <v>57306.529999999992</v>
      </c>
    </row>
    <row r="297" spans="9:25" s="12" customFormat="1" x14ac:dyDescent="0.35">
      <c r="I297" s="24">
        <v>45882</v>
      </c>
      <c r="J297" s="11">
        <f>VLOOKUP(I297,资产!$A:$AF,8,0)/100</f>
        <v>42048.23</v>
      </c>
      <c r="K297" s="11">
        <f>VLOOKUP(I297,资产!$A:$AF,9,0)/100</f>
        <v>1954.93</v>
      </c>
      <c r="L297" s="11">
        <f>VLOOKUP(I297,资产!$A:$AF,10,0)/100</f>
        <v>35896.99</v>
      </c>
      <c r="M297" s="11">
        <f>(VLOOKUP(I297,资产!$A:$AF,13,0)+VLOOKUP(I297,资产!$A:$AF,14,0)+VLOOKUP(I297,资产!$A:$AF,15,0))/100</f>
        <v>6883.06</v>
      </c>
      <c r="N297" s="11">
        <f>VLOOKUP(I297,资产!$A:$AF,16,0)/100</f>
        <v>14264.44</v>
      </c>
      <c r="O297" s="11">
        <f>VLOOKUP(I297,资产!$A:$AF,17,0)/100</f>
        <v>5147.79</v>
      </c>
      <c r="P297" s="11">
        <f>VLOOKUP(I297,资产!$A:$AF,18,0)/100</f>
        <v>15752.95</v>
      </c>
      <c r="Q297" s="11">
        <f>VLOOKUP(I297,资产!$A:$AF,20,0)/100</f>
        <v>21206.06</v>
      </c>
      <c r="R297" s="35">
        <f>VLOOKUP(I297,负债!$A:$P,5,0)/100</f>
        <v>33283.46</v>
      </c>
      <c r="S297" s="35">
        <f>VLOOKUP(I297,负债!$A:$P,6,0)/100</f>
        <v>5154.6899999999996</v>
      </c>
      <c r="T297" s="37">
        <f>VLOOKUP(I297,资产!$A:$AF,2,0)/100</f>
        <v>66436.149999999994</v>
      </c>
      <c r="U297" s="37">
        <f>VLOOKUP(I297,资产!$A:$AF,7,0)/100</f>
        <v>63277.760000000002</v>
      </c>
      <c r="V297" s="37">
        <f>VLOOKUP(I297,负债!$A:$P,9,0)/100</f>
        <v>4022.01</v>
      </c>
      <c r="W297" s="37">
        <f>VLOOKUP(I297,负债!$A:$P,6,0)/100</f>
        <v>5154.6899999999996</v>
      </c>
      <c r="X297" s="11">
        <f>VLOOKUP(I297,负债!$A:$P,2,0)/100</f>
        <v>65978.720000000001</v>
      </c>
      <c r="Y297" s="11">
        <f t="shared" si="4"/>
        <v>57259.44999999999</v>
      </c>
    </row>
    <row r="298" spans="9:25" s="12" customFormat="1" x14ac:dyDescent="0.35">
      <c r="I298" s="24">
        <v>45889</v>
      </c>
      <c r="J298" s="11">
        <f>VLOOKUP(I298,资产!$A:$AF,8,0)/100</f>
        <v>42019.53</v>
      </c>
      <c r="K298" s="11">
        <f>VLOOKUP(I298,资产!$A:$AF,9,0)/100</f>
        <v>1954.93</v>
      </c>
      <c r="L298" s="11">
        <f>VLOOKUP(I298,资产!$A:$AF,10,0)/100</f>
        <v>35865.07</v>
      </c>
      <c r="M298" s="11">
        <f>(VLOOKUP(I298,资产!$A:$AF,13,0)+VLOOKUP(I298,资产!$A:$AF,14,0)+VLOOKUP(I298,资产!$A:$AF,15,0))/100</f>
        <v>6743.6</v>
      </c>
      <c r="N298" s="11">
        <f>VLOOKUP(I298,资产!$A:$AF,16,0)/100</f>
        <v>14429.05</v>
      </c>
      <c r="O298" s="11">
        <f>VLOOKUP(I298,资产!$A:$AF,17,0)/100</f>
        <v>5008.01</v>
      </c>
      <c r="P298" s="11">
        <f>VLOOKUP(I298,资产!$A:$AF,18,0)/100</f>
        <v>15838.86</v>
      </c>
      <c r="Q298" s="11">
        <f>VLOOKUP(I298,资产!$A:$AF,20,0)/100</f>
        <v>21167.64</v>
      </c>
      <c r="R298" s="35">
        <f>VLOOKUP(I298,负债!$A:$P,5,0)/100</f>
        <v>32976.35</v>
      </c>
      <c r="S298" s="35">
        <f>VLOOKUP(I298,负债!$A:$P,6,0)/100</f>
        <v>5260.63</v>
      </c>
      <c r="T298" s="37">
        <f>VLOOKUP(I298,资产!$A:$AF,2,0)/100</f>
        <v>66184.149999999994</v>
      </c>
      <c r="U298" s="37">
        <f>VLOOKUP(I298,资产!$A:$AF,7,0)/100</f>
        <v>63210.65</v>
      </c>
      <c r="V298" s="37">
        <f>VLOOKUP(I298,负债!$A:$P,9,0)/100</f>
        <v>3990.66</v>
      </c>
      <c r="W298" s="37">
        <f>VLOOKUP(I298,负债!$A:$P,6,0)/100</f>
        <v>5260.63</v>
      </c>
      <c r="X298" s="11">
        <f>VLOOKUP(I298,负债!$A:$P,2,0)/100</f>
        <v>65726.720000000001</v>
      </c>
      <c r="Y298" s="11">
        <f t="shared" si="4"/>
        <v>56932.859999999993</v>
      </c>
    </row>
    <row r="299" spans="9:25" s="12" customFormat="1" x14ac:dyDescent="0.35">
      <c r="I299" s="24">
        <v>45896</v>
      </c>
      <c r="J299" s="11">
        <f>VLOOKUP(I299,资产!$A:$AF,8,0)/100</f>
        <v>42023.51</v>
      </c>
      <c r="K299" s="11">
        <f>VLOOKUP(I299,资产!$A:$AF,9,0)/100</f>
        <v>1954.93</v>
      </c>
      <c r="L299" s="11">
        <f>VLOOKUP(I299,资产!$A:$AF,10,0)/100</f>
        <v>35865.82</v>
      </c>
      <c r="M299" s="11">
        <f>(VLOOKUP(I299,资产!$A:$AF,13,0)+VLOOKUP(I299,资产!$A:$AF,14,0)+VLOOKUP(I299,资产!$A:$AF,15,0))/100</f>
        <v>6744.12</v>
      </c>
      <c r="N299" s="11">
        <f>VLOOKUP(I299,资产!$A:$AF,16,0)/100</f>
        <v>14431.13</v>
      </c>
      <c r="O299" s="11">
        <f>VLOOKUP(I299,资产!$A:$AF,17,0)/100</f>
        <v>5008.33</v>
      </c>
      <c r="P299" s="11">
        <f>VLOOKUP(I299,资产!$A:$AF,18,0)/100</f>
        <v>15839.94</v>
      </c>
      <c r="Q299" s="11">
        <f>VLOOKUP(I299,资产!$A:$AF,20,0)/100</f>
        <v>21028.46</v>
      </c>
      <c r="R299" s="35">
        <f>VLOOKUP(I299,负债!$A:$P,5,0)/100</f>
        <v>32168.51</v>
      </c>
      <c r="S299" s="35">
        <f>VLOOKUP(I299,负债!$A:$P,6,0)/100</f>
        <v>5957.98</v>
      </c>
      <c r="T299" s="37">
        <f>VLOOKUP(I299,资产!$A:$AF,2,0)/100</f>
        <v>66033.84</v>
      </c>
      <c r="U299" s="37">
        <f>VLOOKUP(I299,资产!$A:$AF,7,0)/100</f>
        <v>63075.44</v>
      </c>
      <c r="V299" s="37">
        <f>VLOOKUP(I299,负债!$A:$P,9,0)/100</f>
        <v>3931.55</v>
      </c>
      <c r="W299" s="37">
        <f>VLOOKUP(I299,负债!$A:$P,6,0)/100</f>
        <v>5957.98</v>
      </c>
      <c r="X299" s="11">
        <f>VLOOKUP(I299,负债!$A:$P,2,0)/100</f>
        <v>65576.41</v>
      </c>
      <c r="Y299" s="11">
        <f t="shared" si="4"/>
        <v>56144.31</v>
      </c>
    </row>
    <row r="300" spans="9:25" s="12" customFormat="1" x14ac:dyDescent="0.35">
      <c r="I300" s="24">
        <v>45903</v>
      </c>
      <c r="J300" s="11">
        <f>VLOOKUP(I300,资产!$A:$AF,8,0)/100</f>
        <v>42008.18</v>
      </c>
      <c r="K300" s="11">
        <f>VLOOKUP(I300,资产!$A:$AF,9,0)/100</f>
        <v>1954.93</v>
      </c>
      <c r="L300" s="11">
        <f>VLOOKUP(I300,资产!$A:$AF,10,0)/100</f>
        <v>35847.74</v>
      </c>
      <c r="M300" s="11">
        <f>(VLOOKUP(I300,资产!$A:$AF,13,0)+VLOOKUP(I300,资产!$A:$AF,14,0)+VLOOKUP(I300,资产!$A:$AF,15,0))/100</f>
        <v>6752.38</v>
      </c>
      <c r="N300" s="11">
        <f>VLOOKUP(I300,资产!$A:$AF,16,0)/100</f>
        <v>14371.4</v>
      </c>
      <c r="O300" s="11">
        <f>VLOOKUP(I300,资产!$A:$AF,17,0)/100</f>
        <v>5024.33</v>
      </c>
      <c r="P300" s="11">
        <f>VLOOKUP(I300,资产!$A:$AF,18,0)/100</f>
        <v>15860.06</v>
      </c>
      <c r="Q300" s="11">
        <f>VLOOKUP(I300,资产!$A:$AF,20,0)/100</f>
        <v>21028.46</v>
      </c>
      <c r="R300" s="35">
        <f>VLOOKUP(I300,负债!$A:$P,5,0)/100</f>
        <v>31679.05</v>
      </c>
      <c r="S300" s="35">
        <f>VLOOKUP(I300,负债!$A:$P,6,0)/100</f>
        <v>6619.39</v>
      </c>
      <c r="T300" s="37">
        <f>VLOOKUP(I300,资产!$A:$AF,2,0)/100</f>
        <v>66020.710000000006</v>
      </c>
      <c r="U300" s="37">
        <f>VLOOKUP(I300,资产!$A:$AF,7,0)/100</f>
        <v>63060.11</v>
      </c>
      <c r="V300" s="37">
        <f>VLOOKUP(I300,负债!$A:$P,9,0)/100</f>
        <v>3687.31</v>
      </c>
      <c r="W300" s="37">
        <f>VLOOKUP(I300,负债!$A:$P,6,0)/100</f>
        <v>6619.39</v>
      </c>
      <c r="X300" s="11">
        <f>VLOOKUP(I300,负债!$A:$P,2,0)/100</f>
        <v>65563.509999999995</v>
      </c>
      <c r="Y300" s="11">
        <f t="shared" si="4"/>
        <v>55714.010000000009</v>
      </c>
    </row>
    <row r="301" spans="9:25" s="12" customFormat="1" x14ac:dyDescent="0.35">
      <c r="I301" s="24">
        <v>45910</v>
      </c>
      <c r="J301" s="11">
        <f>VLOOKUP(I301,资产!$A:$AF,8,0)/100</f>
        <v>42009.16</v>
      </c>
      <c r="K301" s="11">
        <f>VLOOKUP(I301,资产!$A:$AF,9,0)/100</f>
        <v>1954.93</v>
      </c>
      <c r="L301" s="11">
        <f>VLOOKUP(I301,资产!$A:$AF,10,0)/100</f>
        <v>35847.24</v>
      </c>
      <c r="M301" s="11">
        <f>(VLOOKUP(I301,资产!$A:$AF,13,0)+VLOOKUP(I301,资产!$A:$AF,14,0)+VLOOKUP(I301,资产!$A:$AF,15,0))/100</f>
        <v>6752.62</v>
      </c>
      <c r="N301" s="11">
        <f>VLOOKUP(I301,资产!$A:$AF,16,0)/100</f>
        <v>14372.01</v>
      </c>
      <c r="O301" s="11">
        <f>VLOOKUP(I301,资产!$A:$AF,17,0)/100</f>
        <v>5024.47</v>
      </c>
      <c r="P301" s="11">
        <f>VLOOKUP(I301,资产!$A:$AF,18,0)/100</f>
        <v>15860.06</v>
      </c>
      <c r="Q301" s="11">
        <f>VLOOKUP(I301,资产!$A:$AF,20,0)/100</f>
        <v>21028.46</v>
      </c>
      <c r="R301" s="35">
        <f>VLOOKUP(I301,负债!$A:$P,5,0)/100</f>
        <v>31509.13</v>
      </c>
      <c r="S301" s="35">
        <f>VLOOKUP(I301,负债!$A:$P,6,0)/100</f>
        <v>6675.85</v>
      </c>
      <c r="T301" s="37">
        <f>VLOOKUP(I301,资产!$A:$AF,2,0)/100</f>
        <v>66059.62</v>
      </c>
      <c r="U301" s="37">
        <f>VLOOKUP(I301,资产!$A:$AF,7,0)/100</f>
        <v>63061.09</v>
      </c>
      <c r="V301" s="37">
        <f>VLOOKUP(I301,负债!$A:$P,9,0)/100</f>
        <v>3829.56</v>
      </c>
      <c r="W301" s="37">
        <f>VLOOKUP(I301,负债!$A:$P,6,0)/100</f>
        <v>6675.85</v>
      </c>
      <c r="X301" s="11">
        <f>VLOOKUP(I301,负债!$A:$P,2,0)/100</f>
        <v>65602.44</v>
      </c>
      <c r="Y301" s="11">
        <f t="shared" si="4"/>
        <v>55554.21</v>
      </c>
    </row>
    <row r="302" spans="9:25" s="12" customFormat="1" x14ac:dyDescent="0.35">
      <c r="I302" s="24">
        <v>45917</v>
      </c>
      <c r="J302" s="11">
        <f>VLOOKUP(I302,资产!$A:$AF,8,0)/100</f>
        <v>42010.64</v>
      </c>
      <c r="K302" s="11">
        <f>VLOOKUP(I302,资产!$A:$AF,9,0)/100</f>
        <v>1954.93</v>
      </c>
      <c r="L302" s="11">
        <f>VLOOKUP(I302,资产!$A:$AF,10,0)/100</f>
        <v>35847.24</v>
      </c>
      <c r="M302" s="11">
        <f>(VLOOKUP(I302,资产!$A:$AF,13,0)+VLOOKUP(I302,资产!$A:$AF,14,0)+VLOOKUP(I302,资产!$A:$AF,15,0))/100</f>
        <v>6752.86</v>
      </c>
      <c r="N302" s="11">
        <f>VLOOKUP(I302,资产!$A:$AF,16,0)/100</f>
        <v>14372.62</v>
      </c>
      <c r="O302" s="11">
        <f>VLOOKUP(I302,资产!$A:$AF,17,0)/100</f>
        <v>5024.62</v>
      </c>
      <c r="P302" s="11">
        <f>VLOOKUP(I302,资产!$A:$AF,18,0)/100</f>
        <v>15860.55</v>
      </c>
      <c r="Q302" s="11">
        <f>VLOOKUP(I302,资产!$A:$AF,20,0)/100</f>
        <v>21027.83</v>
      </c>
      <c r="R302" s="35">
        <f>VLOOKUP(I302,负债!$A:$P,5,0)/100</f>
        <v>30203.63</v>
      </c>
      <c r="S302" s="35">
        <f>VLOOKUP(I302,负债!$A:$P,6,0)/100</f>
        <v>8071.42</v>
      </c>
      <c r="T302" s="37">
        <f>VLOOKUP(I302,资产!$A:$AF,2,0)/100</f>
        <v>66085.97</v>
      </c>
      <c r="U302" s="37">
        <f>VLOOKUP(I302,资产!$A:$AF,7,0)/100</f>
        <v>63061.94</v>
      </c>
      <c r="V302" s="37">
        <f>VLOOKUP(I302,负债!$A:$P,9,0)/100</f>
        <v>3715.71</v>
      </c>
      <c r="W302" s="37">
        <f>VLOOKUP(I302,负债!$A:$P,6,0)/100</f>
        <v>8071.42</v>
      </c>
      <c r="X302" s="11">
        <f>VLOOKUP(I302,负债!$A:$P,2,0)/100</f>
        <v>65628.789999999994</v>
      </c>
      <c r="Y302" s="11">
        <f t="shared" ref="Y302:Y306" si="5">T302-V302-W302</f>
        <v>54298.840000000004</v>
      </c>
    </row>
    <row r="303" spans="9:25" s="12" customFormat="1" x14ac:dyDescent="0.35">
      <c r="I303" s="24">
        <v>45924</v>
      </c>
      <c r="J303" s="11">
        <f>VLOOKUP(I303,资产!$A:$AF,8,0)/100</f>
        <v>42012.12</v>
      </c>
      <c r="K303" s="11">
        <f>VLOOKUP(I303,资产!$A:$AF,9,0)/100</f>
        <v>1954.93</v>
      </c>
      <c r="L303" s="11">
        <f>VLOOKUP(I303,资产!$A:$AF,10,0)/100</f>
        <v>35847.24</v>
      </c>
      <c r="M303" s="11">
        <f>(VLOOKUP(I303,资产!$A:$AF,13,0)+VLOOKUP(I303,资产!$A:$AF,14,0)+VLOOKUP(I303,资产!$A:$AF,15,0))/100</f>
        <v>6753.1</v>
      </c>
      <c r="N303" s="11">
        <f>VLOOKUP(I303,资产!$A:$AF,16,0)/100</f>
        <v>14373.22</v>
      </c>
      <c r="O303" s="11">
        <f>VLOOKUP(I303,资产!$A:$AF,17,0)/100</f>
        <v>5024.76</v>
      </c>
      <c r="P303" s="11">
        <f>VLOOKUP(I303,资产!$A:$AF,18,0)/100</f>
        <v>15861.04</v>
      </c>
      <c r="Q303" s="11">
        <f>VLOOKUP(I303,资产!$A:$AF,20,0)/100</f>
        <v>20992.15</v>
      </c>
      <c r="R303" s="35">
        <f>VLOOKUP(I303,负债!$A:$P,5,0)/100</f>
        <v>29996.92</v>
      </c>
      <c r="S303" s="35">
        <f>VLOOKUP(I303,负债!$A:$P,6,0)/100</f>
        <v>7579.7</v>
      </c>
      <c r="T303" s="37">
        <f>VLOOKUP(I303,资产!$A:$AF,2,0)/100</f>
        <v>66083.95</v>
      </c>
      <c r="U303" s="37">
        <f>VLOOKUP(I303,资产!$A:$AF,7,0)/100</f>
        <v>63027.74</v>
      </c>
      <c r="V303" s="37">
        <f>VLOOKUP(I303,负债!$A:$P,9,0)/100</f>
        <v>4093.02</v>
      </c>
      <c r="W303" s="37">
        <f>VLOOKUP(I303,负债!$A:$P,6,0)/100</f>
        <v>7579.7</v>
      </c>
      <c r="X303" s="11">
        <f>VLOOKUP(I303,负债!$A:$P,2,0)/100</f>
        <v>65626.44</v>
      </c>
      <c r="Y303" s="11">
        <f t="shared" si="5"/>
        <v>54411.23</v>
      </c>
    </row>
    <row r="304" spans="9:25" s="12" customFormat="1" x14ac:dyDescent="0.35">
      <c r="I304" s="24">
        <v>45931</v>
      </c>
      <c r="J304" s="11">
        <f>VLOOKUP(I304,资产!$A:$AF,8,0)/100</f>
        <v>41963.85</v>
      </c>
      <c r="K304" s="11">
        <f>VLOOKUP(I304,资产!$A:$AF,9,0)/100</f>
        <v>1954.93</v>
      </c>
      <c r="L304" s="11">
        <f>VLOOKUP(I304,资产!$A:$AF,10,0)/100</f>
        <v>35786.75</v>
      </c>
      <c r="M304" s="11">
        <f>(VLOOKUP(I304,资产!$A:$AF,13,0)+VLOOKUP(I304,资产!$A:$AF,14,0)+VLOOKUP(I304,资产!$A:$AF,15,0))/100</f>
        <v>6888.77</v>
      </c>
      <c r="N304" s="11">
        <f>VLOOKUP(I304,资产!$A:$AF,16,0)/100</f>
        <v>14146.56</v>
      </c>
      <c r="O304" s="11">
        <f>VLOOKUP(I304,资产!$A:$AF,17,0)/100</f>
        <v>5059.7700000000004</v>
      </c>
      <c r="P304" s="11">
        <f>VLOOKUP(I304,资产!$A:$AF,18,0)/100</f>
        <v>15868.77</v>
      </c>
      <c r="Q304" s="11">
        <f>VLOOKUP(I304,资产!$A:$AF,20,0)/100</f>
        <v>20859.830000000002</v>
      </c>
      <c r="R304" s="35">
        <f>VLOOKUP(I304,负债!$A:$P,5,0)/100</f>
        <v>29795.94</v>
      </c>
      <c r="S304" s="35">
        <f>VLOOKUP(I304,负债!$A:$P,6,0)/100</f>
        <v>8193.7800000000007</v>
      </c>
      <c r="T304" s="37">
        <f>VLOOKUP(I304,资产!$A:$AF,2,0)/100</f>
        <v>65871.19</v>
      </c>
      <c r="U304" s="37">
        <f>VLOOKUP(I304,资产!$A:$AF,7,0)/100</f>
        <v>62847.15</v>
      </c>
      <c r="V304" s="37">
        <f>VLOOKUP(I304,负债!$A:$P,9,0)/100</f>
        <v>3847.72</v>
      </c>
      <c r="W304" s="37">
        <f>VLOOKUP(I304,负债!$A:$P,6,0)/100</f>
        <v>8193.7800000000007</v>
      </c>
      <c r="X304" s="11">
        <f>VLOOKUP(I304,负债!$A:$P,2,0)/100</f>
        <v>65413.71</v>
      </c>
      <c r="Y304" s="11">
        <f t="shared" si="5"/>
        <v>53829.69</v>
      </c>
    </row>
    <row r="305" spans="9:25" s="12" customFormat="1" x14ac:dyDescent="0.35">
      <c r="I305" s="24">
        <v>45938</v>
      </c>
      <c r="J305" s="11">
        <f>VLOOKUP(I305,资产!$A:$AF,8,0)/100</f>
        <v>41966.59</v>
      </c>
      <c r="K305" s="11">
        <f>VLOOKUP(I305,资产!$A:$AF,9,0)/100</f>
        <v>1954.93</v>
      </c>
      <c r="L305" s="11">
        <f>VLOOKUP(I305,资产!$A:$AF,10,0)/100</f>
        <v>35786.75</v>
      </c>
      <c r="M305" s="11">
        <f>(VLOOKUP(I305,资产!$A:$AF,13,0)+VLOOKUP(I305,资产!$A:$AF,14,0)+VLOOKUP(I305,资产!$A:$AF,15,0))/100</f>
        <v>6889.2</v>
      </c>
      <c r="N305" s="11">
        <f>VLOOKUP(I305,资产!$A:$AF,16,0)/100</f>
        <v>14147.68</v>
      </c>
      <c r="O305" s="11">
        <f>VLOOKUP(I305,资产!$A:$AF,17,0)/100</f>
        <v>5060.04</v>
      </c>
      <c r="P305" s="11">
        <f>VLOOKUP(I305,资产!$A:$AF,18,0)/100</f>
        <v>15869.67</v>
      </c>
      <c r="Q305" s="11">
        <f>VLOOKUP(I305,资产!$A:$AF,20,0)/100</f>
        <v>20859.830000000002</v>
      </c>
      <c r="R305" s="35">
        <f>VLOOKUP(I305,负债!$A:$P,5,0)/100</f>
        <v>30338.55</v>
      </c>
      <c r="S305" s="35">
        <f>VLOOKUP(I305,负债!$A:$P,6,0)/100</f>
        <v>7940.54</v>
      </c>
      <c r="T305" s="37">
        <f>VLOOKUP(I305,资产!$A:$AF,2,0)/100</f>
        <v>65908.149999999994</v>
      </c>
      <c r="U305" s="37">
        <f>VLOOKUP(I305,资产!$A:$AF,7,0)/100</f>
        <v>62849.89</v>
      </c>
      <c r="V305" s="37">
        <f>VLOOKUP(I305,负债!$A:$P,9,0)/100</f>
        <v>3558.39</v>
      </c>
      <c r="W305" s="37">
        <f>VLOOKUP(I305,负债!$A:$P,6,0)/100</f>
        <v>7940.54</v>
      </c>
      <c r="X305" s="11">
        <f>VLOOKUP(I305,负债!$A:$P,2,0)/100</f>
        <v>65450.44</v>
      </c>
      <c r="Y305" s="11">
        <f t="shared" si="5"/>
        <v>54409.219999999994</v>
      </c>
    </row>
    <row r="306" spans="9:25" s="12" customFormat="1" x14ac:dyDescent="0.35">
      <c r="I306" s="24">
        <v>45945</v>
      </c>
      <c r="J306" s="11">
        <f>VLOOKUP(I306,资产!$A:$AF,8,0)/100</f>
        <v>41962.7</v>
      </c>
      <c r="K306" s="11">
        <f>VLOOKUP(I306,资产!$A:$AF,9,0)/100</f>
        <v>1954.93</v>
      </c>
      <c r="L306" s="11">
        <f>VLOOKUP(I306,资产!$A:$AF,10,0)/100</f>
        <v>35808.839999999997</v>
      </c>
      <c r="M306" s="11">
        <f>(VLOOKUP(I306,资产!$A:$AF,13,0)+VLOOKUP(I306,资产!$A:$AF,14,0)+VLOOKUP(I306,资产!$A:$AF,15,0))/100</f>
        <v>6888.25</v>
      </c>
      <c r="N306" s="11">
        <f>VLOOKUP(I306,资产!$A:$AF,16,0)/100</f>
        <v>14132.23</v>
      </c>
      <c r="O306" s="11">
        <f>VLOOKUP(I306,资产!$A:$AF,17,0)/100</f>
        <v>5067.55</v>
      </c>
      <c r="P306" s="11">
        <f>VLOOKUP(I306,资产!$A:$AF,18,0)/100</f>
        <v>15874.66</v>
      </c>
      <c r="Q306" s="11">
        <f>VLOOKUP(I306,资产!$A:$AF,20,0)/100</f>
        <v>20859.96</v>
      </c>
      <c r="R306" s="35">
        <f>VLOOKUP(I306,负债!$A:$P,5,0)/100</f>
        <v>29882.02</v>
      </c>
      <c r="S306" s="35">
        <f>VLOOKUP(I306,负债!$A:$P,6,0)/100</f>
        <v>8519.52</v>
      </c>
      <c r="T306" s="37">
        <f>VLOOKUP(I306,资产!$A:$AF,2,0)/100</f>
        <v>65964.539999999994</v>
      </c>
      <c r="U306" s="37">
        <f>VLOOKUP(I306,资产!$A:$AF,7,0)/100</f>
        <v>62846.13</v>
      </c>
      <c r="V306" s="37">
        <f>VLOOKUP(I306,负债!$A:$P,9,0)/100</f>
        <v>3479.01</v>
      </c>
      <c r="W306" s="37">
        <f>VLOOKUP(I306,负债!$A:$P,6,0)/100</f>
        <v>8519.52</v>
      </c>
      <c r="X306" s="11">
        <f>VLOOKUP(I306,负债!$A:$P,2,0)/100</f>
        <v>65506.720000000001</v>
      </c>
      <c r="Y306" s="11">
        <f t="shared" si="5"/>
        <v>53966.009999999995</v>
      </c>
    </row>
    <row r="307" spans="9:25" s="12" customFormat="1" x14ac:dyDescent="0.35">
      <c r="I307" s="24">
        <v>45952</v>
      </c>
      <c r="J307" s="11">
        <f>VLOOKUP(I307,资产!$A:$AF,8,0)/100</f>
        <v>41964.67</v>
      </c>
      <c r="K307" s="11">
        <f>VLOOKUP(I307,资产!$A:$AF,9,0)/100</f>
        <v>1954.93</v>
      </c>
      <c r="L307" s="11">
        <f>VLOOKUP(I307,资产!$A:$AF,10,0)/100</f>
        <v>35808.089999999997</v>
      </c>
      <c r="M307" s="11">
        <f>(VLOOKUP(I307,资产!$A:$AF,13,0)+VLOOKUP(I307,资产!$A:$AF,14,0)+VLOOKUP(I307,资产!$A:$AF,15,0))/100</f>
        <v>6888.69</v>
      </c>
      <c r="N307" s="11">
        <f>VLOOKUP(I307,资产!$A:$AF,16,0)/100</f>
        <v>14132.58</v>
      </c>
      <c r="O307" s="11">
        <f>VLOOKUP(I307,资产!$A:$AF,17,0)/100</f>
        <v>5067.82</v>
      </c>
      <c r="P307" s="11">
        <f>VLOOKUP(I307,资产!$A:$AF,18,0)/100</f>
        <v>15875.57</v>
      </c>
      <c r="Q307" s="11">
        <f>VLOOKUP(I307,资产!$A:$AF,20,0)/100</f>
        <v>20826.060000000001</v>
      </c>
      <c r="R307" s="35">
        <f>VLOOKUP(I307,负债!$A:$P,5,0)/100</f>
        <v>29296.37</v>
      </c>
      <c r="S307" s="35">
        <f>VLOOKUP(I307,负债!$A:$P,6,0)/100</f>
        <v>9050.74</v>
      </c>
      <c r="T307" s="37">
        <f>VLOOKUP(I307,资产!$A:$AF,2,0)/100</f>
        <v>65895.33</v>
      </c>
      <c r="U307" s="37">
        <f>VLOOKUP(I307,资产!$A:$AF,7,0)/100</f>
        <v>62814.2</v>
      </c>
      <c r="V307" s="37">
        <f>VLOOKUP(I307,负债!$A:$P,9,0)/100</f>
        <v>3544.24</v>
      </c>
      <c r="W307" s="37">
        <f>VLOOKUP(I307,负债!$A:$P,6,0)/100</f>
        <v>9050.74</v>
      </c>
      <c r="X307" s="11">
        <f>VLOOKUP(I307,负债!$A:$P,2,0)/100</f>
        <v>65437.5</v>
      </c>
      <c r="Y307" s="11">
        <f t="shared" ref="Y307:Y312" si="6">T307-V307-W307</f>
        <v>53300.350000000006</v>
      </c>
    </row>
    <row r="308" spans="9:25" s="12" customFormat="1" x14ac:dyDescent="0.35">
      <c r="I308" s="24">
        <v>45959</v>
      </c>
      <c r="J308" s="11">
        <f>VLOOKUP(I308,资产!$A:$AF,8,0)/100</f>
        <v>41967.39</v>
      </c>
      <c r="K308" s="11">
        <f>VLOOKUP(I308,资产!$A:$AF,9,0)/100</f>
        <v>1954.93</v>
      </c>
      <c r="L308" s="11">
        <f>VLOOKUP(I308,资产!$A:$AF,10,0)/100</f>
        <v>35808.089999999997</v>
      </c>
      <c r="M308" s="11">
        <f>(VLOOKUP(I308,资产!$A:$AF,13,0)+VLOOKUP(I308,资产!$A:$AF,14,0)+VLOOKUP(I308,资产!$A:$AF,15,0))/100</f>
        <v>6889.13</v>
      </c>
      <c r="N308" s="11">
        <f>VLOOKUP(I308,资产!$A:$AF,16,0)/100</f>
        <v>14133.69</v>
      </c>
      <c r="O308" s="11">
        <f>VLOOKUP(I308,资产!$A:$AF,17,0)/100</f>
        <v>5068.1000000000004</v>
      </c>
      <c r="P308" s="11">
        <f>VLOOKUP(I308,资产!$A:$AF,18,0)/100</f>
        <v>15876.47</v>
      </c>
      <c r="Q308" s="11">
        <f>VLOOKUP(I308,资产!$A:$AF,20,0)/100</f>
        <v>20699.63</v>
      </c>
      <c r="R308" s="35">
        <f>VLOOKUP(I308,负债!$A:$P,5,0)/100</f>
        <v>28279.1</v>
      </c>
      <c r="S308" s="35">
        <f>VLOOKUP(I308,负债!$A:$P,6,0)/100</f>
        <v>9838.59</v>
      </c>
      <c r="T308" s="37">
        <f>VLOOKUP(I308,资产!$A:$AF,2,0)/100</f>
        <v>65870.34</v>
      </c>
      <c r="U308" s="37">
        <f>VLOOKUP(I308,资产!$A:$AF,7,0)/100</f>
        <v>62690.49</v>
      </c>
      <c r="V308" s="37">
        <f>VLOOKUP(I308,负债!$A:$P,9,0)/100</f>
        <v>3674.13</v>
      </c>
      <c r="W308" s="37">
        <f>VLOOKUP(I308,负债!$A:$P,6,0)/100</f>
        <v>9838.59</v>
      </c>
      <c r="X308" s="11">
        <f>VLOOKUP(I308,负债!$A:$P,2,0)/100</f>
        <v>65412.46</v>
      </c>
      <c r="Y308" s="11">
        <f t="shared" si="6"/>
        <v>52357.619999999995</v>
      </c>
    </row>
    <row r="309" spans="9:25" s="12" customFormat="1" x14ac:dyDescent="0.35">
      <c r="I309" s="24">
        <v>45966</v>
      </c>
      <c r="J309" s="11">
        <f>VLOOKUP(I309,资产!$A:$AF,8,0)/100</f>
        <v>41927.43</v>
      </c>
      <c r="K309" s="11">
        <f>VLOOKUP(I309,资产!$A:$AF,9,0)/100</f>
        <v>1954.93</v>
      </c>
      <c r="L309" s="11">
        <f>VLOOKUP(I309,资产!$A:$AF,10,0)/100</f>
        <v>35750.29</v>
      </c>
      <c r="M309" s="11">
        <f>(VLOOKUP(I309,资产!$A:$AF,13,0)+VLOOKUP(I309,资产!$A:$AF,14,0)+VLOOKUP(I309,资产!$A:$AF,15,0))/100</f>
        <v>6938.14</v>
      </c>
      <c r="N309" s="11">
        <f>VLOOKUP(I309,资产!$A:$AF,16,0)/100</f>
        <v>14010.05</v>
      </c>
      <c r="O309" s="11">
        <f>VLOOKUP(I309,资产!$A:$AF,17,0)/100</f>
        <v>5093.62</v>
      </c>
      <c r="P309" s="11">
        <f>VLOOKUP(I309,资产!$A:$AF,18,0)/100</f>
        <v>15885.61</v>
      </c>
      <c r="Q309" s="11">
        <f>VLOOKUP(I309,资产!$A:$AF,20,0)/100</f>
        <v>20699.63</v>
      </c>
      <c r="R309" s="35">
        <f>VLOOKUP(I309,负债!$A:$P,5,0)/100</f>
        <v>28519.23</v>
      </c>
      <c r="S309" s="35">
        <f>VLOOKUP(I309,负债!$A:$P,6,0)/100</f>
        <v>9427</v>
      </c>
      <c r="T309" s="37">
        <f>VLOOKUP(I309,资产!$A:$AF,2,0)/100</f>
        <v>65727.320000000007</v>
      </c>
      <c r="U309" s="37">
        <f>VLOOKUP(I309,资产!$A:$AF,7,0)/100</f>
        <v>62650.53</v>
      </c>
      <c r="V309" s="37">
        <f>VLOOKUP(I309,负债!$A:$P,9,0)/100</f>
        <v>3724.81</v>
      </c>
      <c r="W309" s="37">
        <f>VLOOKUP(I309,负债!$A:$P,6,0)/100</f>
        <v>9427</v>
      </c>
      <c r="X309" s="11">
        <f>VLOOKUP(I309,负债!$A:$P,2,0)/100</f>
        <v>65269</v>
      </c>
      <c r="Y309" s="11">
        <f t="shared" si="6"/>
        <v>52575.510000000009</v>
      </c>
    </row>
    <row r="310" spans="9:25" s="12" customFormat="1" x14ac:dyDescent="0.35">
      <c r="I310" s="24">
        <v>45973</v>
      </c>
      <c r="J310" s="11">
        <f>VLOOKUP(I310,资产!$A:$AF,8,0)/100</f>
        <v>41929.93</v>
      </c>
      <c r="K310" s="11">
        <f>VLOOKUP(I310,资产!$A:$AF,9,0)/100</f>
        <v>1954.93</v>
      </c>
      <c r="L310" s="11">
        <f>VLOOKUP(I310,资产!$A:$AF,10,0)/100</f>
        <v>35750.29</v>
      </c>
      <c r="M310" s="11">
        <f>(VLOOKUP(I310,资产!$A:$AF,13,0)+VLOOKUP(I310,资产!$A:$AF,14,0)+VLOOKUP(I310,资产!$A:$AF,15,0))/100</f>
        <v>6938.55</v>
      </c>
      <c r="N310" s="11">
        <f>VLOOKUP(I310,资产!$A:$AF,16,0)/100</f>
        <v>14011.07</v>
      </c>
      <c r="O310" s="11">
        <f>VLOOKUP(I310,资产!$A:$AF,17,0)/100</f>
        <v>5093.87</v>
      </c>
      <c r="P310" s="11">
        <f>VLOOKUP(I310,资产!$A:$AF,18,0)/100</f>
        <v>15886.44</v>
      </c>
      <c r="Q310" s="11">
        <f>VLOOKUP(I310,资产!$A:$AF,20,0)/100</f>
        <v>20699.63</v>
      </c>
      <c r="R310" s="35">
        <f>VLOOKUP(I310,负债!$A:$P,5,0)/100</f>
        <v>28833.4</v>
      </c>
      <c r="S310" s="35">
        <f>VLOOKUP(I310,负债!$A:$P,6,0)/100</f>
        <v>9431.4500000000007</v>
      </c>
      <c r="T310" s="37">
        <f>VLOOKUP(I310,资产!$A:$AF,2,0)/100</f>
        <v>65804.62</v>
      </c>
      <c r="U310" s="37">
        <f>VLOOKUP(I310,资产!$A:$AF,7,0)/100</f>
        <v>62653.03</v>
      </c>
      <c r="V310" s="37">
        <f>VLOOKUP(I310,负债!$A:$P,9,0)/100</f>
        <v>3423.54</v>
      </c>
      <c r="W310" s="37">
        <f>VLOOKUP(I310,负债!$A:$P,6,0)/100</f>
        <v>9431.4500000000007</v>
      </c>
      <c r="X310" s="11">
        <f>VLOOKUP(I310,负债!$A:$P,2,0)/100</f>
        <v>65346.3</v>
      </c>
      <c r="Y310" s="11">
        <f t="shared" si="6"/>
        <v>52949.62999999999</v>
      </c>
    </row>
    <row r="311" spans="9:25" s="12" customFormat="1" x14ac:dyDescent="0.35">
      <c r="I311" s="24">
        <v>45980</v>
      </c>
      <c r="J311" s="11">
        <f>VLOOKUP(I311,资产!$A:$AF,8,0)/100</f>
        <v>41909.39</v>
      </c>
      <c r="K311" s="11">
        <f>VLOOKUP(I311,资产!$A:$AF,9,0)/100</f>
        <v>1954.93</v>
      </c>
      <c r="L311" s="11">
        <f>VLOOKUP(I311,资产!$A:$AF,10,0)/100</f>
        <v>35727.230000000003</v>
      </c>
      <c r="M311" s="11">
        <f>(VLOOKUP(I311,资产!$A:$AF,13,0)+VLOOKUP(I311,资产!$A:$AF,14,0)+VLOOKUP(I311,资产!$A:$AF,15,0))/100</f>
        <v>6974.77</v>
      </c>
      <c r="N311" s="11">
        <f>VLOOKUP(I311,资产!$A:$AF,16,0)/100</f>
        <v>14098.16</v>
      </c>
      <c r="O311" s="11">
        <f>VLOOKUP(I311,资产!$A:$AF,17,0)/100</f>
        <v>4910.25</v>
      </c>
      <c r="P311" s="11">
        <f>VLOOKUP(I311,资产!$A:$AF,18,0)/100</f>
        <v>15926.21</v>
      </c>
      <c r="Q311" s="11">
        <f>VLOOKUP(I311,资产!$A:$AF,20,0)/100</f>
        <v>20699.07</v>
      </c>
      <c r="R311" s="35">
        <f>VLOOKUP(I311,负债!$A:$P,5,0)/100</f>
        <v>29175.32</v>
      </c>
      <c r="S311" s="35">
        <f>VLOOKUP(I311,负债!$A:$P,6,0)/100</f>
        <v>9008.32</v>
      </c>
      <c r="T311" s="37">
        <f>VLOOKUP(I311,资产!$A:$AF,2,0)/100</f>
        <v>65552.83</v>
      </c>
      <c r="U311" s="37">
        <f>VLOOKUP(I311,资产!$A:$AF,7,0)/100</f>
        <v>62631.92</v>
      </c>
      <c r="V311" s="37">
        <f>VLOOKUP(I311,负债!$A:$P,9,0)/100</f>
        <v>3272.58</v>
      </c>
      <c r="W311" s="37">
        <f>VLOOKUP(I311,负债!$A:$P,6,0)/100</f>
        <v>9008.32</v>
      </c>
      <c r="X311" s="11">
        <f>VLOOKUP(I311,负债!$A:$P,2,0)/100</f>
        <v>65094.58</v>
      </c>
      <c r="Y311" s="11">
        <f t="shared" si="6"/>
        <v>53271.93</v>
      </c>
    </row>
    <row r="312" spans="9:25" s="12" customFormat="1" x14ac:dyDescent="0.35">
      <c r="I312" s="24">
        <v>45987</v>
      </c>
      <c r="J312" s="11">
        <f>VLOOKUP(I312,资产!$A:$AF,8,0)/100</f>
        <v>41912.25</v>
      </c>
      <c r="K312" s="11">
        <f>VLOOKUP(I312,资产!$A:$AF,9,0)/100</f>
        <v>1954.93</v>
      </c>
      <c r="L312" s="11">
        <f>VLOOKUP(I312,资产!$A:$AF,10,0)/100</f>
        <v>35727.230000000003</v>
      </c>
      <c r="M312" s="11">
        <f>(VLOOKUP(I312,资产!$A:$AF,13,0)+VLOOKUP(I312,资产!$A:$AF,14,0)+VLOOKUP(I312,资产!$A:$AF,15,0))/100</f>
        <v>6975.23</v>
      </c>
      <c r="N312" s="11">
        <f>VLOOKUP(I312,资产!$A:$AF,16,0)/100</f>
        <v>14099.33</v>
      </c>
      <c r="O312" s="11">
        <f>VLOOKUP(I312,资产!$A:$AF,17,0)/100</f>
        <v>4910.53</v>
      </c>
      <c r="P312" s="11">
        <f>VLOOKUP(I312,资产!$A:$AF,18,0)/100</f>
        <v>15927.16</v>
      </c>
      <c r="Q312" s="11">
        <f>VLOOKUP(I312,资产!$A:$AF,20,0)/100</f>
        <v>20536.650000000001</v>
      </c>
      <c r="R312" s="35">
        <f>VLOOKUP(I312,负债!$A:$P,5,0)/100</f>
        <v>28979.87</v>
      </c>
      <c r="S312" s="35">
        <f>VLOOKUP(I312,负债!$A:$P,6,0)/100</f>
        <v>8996.7800000000007</v>
      </c>
      <c r="T312" s="37">
        <f>VLOOKUP(I312,资产!$A:$AF,2,0)/100</f>
        <v>65524.19</v>
      </c>
      <c r="U312" s="37">
        <f>VLOOKUP(I312,资产!$A:$AF,7,0)/100</f>
        <v>62472.37</v>
      </c>
      <c r="V312" s="37">
        <f>VLOOKUP(I312,负债!$A:$P,9,0)/100</f>
        <v>3323.99</v>
      </c>
      <c r="W312" s="37">
        <f>VLOOKUP(I312,负债!$A:$P,6,0)/100</f>
        <v>8996.7800000000007</v>
      </c>
      <c r="X312" s="11">
        <f>VLOOKUP(I312,负债!$A:$P,2,0)/100</f>
        <v>65065.56</v>
      </c>
      <c r="Y312" s="11">
        <f t="shared" si="6"/>
        <v>53203.420000000006</v>
      </c>
    </row>
    <row r="313" spans="9:25" s="12" customFormat="1" x14ac:dyDescent="0.35">
      <c r="I313" s="24">
        <v>45994</v>
      </c>
      <c r="J313" s="11">
        <f>VLOOKUP(I313,资产!$A:$AF,8,0)/100</f>
        <v>41887.39</v>
      </c>
      <c r="K313" s="11">
        <f>VLOOKUP(I313,资产!$A:$AF,9,0)/100</f>
        <v>1954.93</v>
      </c>
      <c r="L313" s="11">
        <f>VLOOKUP(I313,资产!$A:$AF,10,0)/100</f>
        <v>35700.29</v>
      </c>
      <c r="M313" s="11">
        <f>(VLOOKUP(I313,资产!$A:$AF,13,0)+VLOOKUP(I313,资产!$A:$AF,14,0)+VLOOKUP(I313,资产!$A:$AF,15,0))/100</f>
        <v>6945.77</v>
      </c>
      <c r="N313" s="11">
        <f>VLOOKUP(I313,资产!$A:$AF,16,0)/100</f>
        <v>14038.92</v>
      </c>
      <c r="O313" s="11">
        <f>VLOOKUP(I313,资产!$A:$AF,17,0)/100</f>
        <v>4956.54</v>
      </c>
      <c r="P313" s="11">
        <f>VLOOKUP(I313,资产!$A:$AF,18,0)/100</f>
        <v>15946.15</v>
      </c>
      <c r="Q313" s="11">
        <f>VLOOKUP(I313,资产!$A:$AF,20,0)/100</f>
        <v>20536.650000000001</v>
      </c>
      <c r="R313" s="35">
        <f>VLOOKUP(I313,负债!$A:$P,5,0)/100</f>
        <v>28781.65</v>
      </c>
      <c r="S313" s="35">
        <f>VLOOKUP(I313,负债!$A:$P,6,0)/100</f>
        <v>9085.23</v>
      </c>
      <c r="T313" s="37">
        <f>VLOOKUP(I313,资产!$A:$AF,2,0)/100</f>
        <v>65357.81</v>
      </c>
      <c r="U313" s="37">
        <f>VLOOKUP(I313,资产!$A:$AF,7,0)/100</f>
        <v>62447.51</v>
      </c>
      <c r="V313" s="37">
        <f>VLOOKUP(I313,负债!$A:$P,9,0)/100</f>
        <v>3325.69</v>
      </c>
      <c r="W313" s="37">
        <f>VLOOKUP(I313,负债!$A:$P,6,0)/100</f>
        <v>9085.23</v>
      </c>
      <c r="X313" s="11">
        <f>VLOOKUP(I313,负债!$A:$P,2,0)/100</f>
        <v>64898.69</v>
      </c>
      <c r="Y313" s="11">
        <f t="shared" ref="Y313:Y331" si="7">T313-V313-W313</f>
        <v>52946.89</v>
      </c>
    </row>
    <row r="314" spans="9:25" s="12" customFormat="1" x14ac:dyDescent="0.35">
      <c r="I314" s="24">
        <v>46001</v>
      </c>
      <c r="J314" s="11">
        <f>VLOOKUP(I314,资产!$A:$AF,8,0)/100</f>
        <v>41889.75</v>
      </c>
      <c r="K314" s="11">
        <f>VLOOKUP(I314,资产!$A:$AF,9,0)/100</f>
        <v>1954.93</v>
      </c>
      <c r="L314" s="11">
        <f>VLOOKUP(I314,资产!$A:$AF,10,0)/100</f>
        <v>35700.29</v>
      </c>
      <c r="M314" s="11">
        <f>(VLOOKUP(I314,资产!$A:$AF,13,0)+VLOOKUP(I314,资产!$A:$AF,14,0)+VLOOKUP(I314,资产!$A:$AF,15,0))/100</f>
        <v>6946.15</v>
      </c>
      <c r="N314" s="11">
        <f>VLOOKUP(I314,资产!$A:$AF,16,0)/100</f>
        <v>14039.89</v>
      </c>
      <c r="O314" s="11">
        <f>VLOOKUP(I314,资产!$A:$AF,17,0)/100</f>
        <v>4956.78</v>
      </c>
      <c r="P314" s="11">
        <f>VLOOKUP(I314,资产!$A:$AF,18,0)/100</f>
        <v>15946.93</v>
      </c>
      <c r="Q314" s="11">
        <f>VLOOKUP(I314,资产!$A:$AF,20,0)/100</f>
        <v>20536.650000000001</v>
      </c>
      <c r="R314" s="35">
        <f>VLOOKUP(I314,负债!$A:$P,5,0)/100</f>
        <v>29737.67</v>
      </c>
      <c r="S314" s="35">
        <f>VLOOKUP(I314,负债!$A:$P,6,0)/100</f>
        <v>8058.27</v>
      </c>
      <c r="T314" s="37">
        <f>VLOOKUP(I314,资产!$A:$AF,2,0)/100</f>
        <v>65393.03</v>
      </c>
      <c r="U314" s="37">
        <f>VLOOKUP(I314,资产!$A:$AF,7,0)/100</f>
        <v>62449.87</v>
      </c>
      <c r="V314" s="37">
        <f>VLOOKUP(I314,负债!$A:$P,9,0)/100</f>
        <v>3315.59</v>
      </c>
      <c r="W314" s="37">
        <f>VLOOKUP(I314,负债!$A:$P,6,0)/100</f>
        <v>8058.27</v>
      </c>
      <c r="X314" s="11">
        <f>VLOOKUP(I314,负债!$A:$P,2,0)/100</f>
        <v>64933.9</v>
      </c>
      <c r="Y314" s="11">
        <f t="shared" si="7"/>
        <v>54019.17</v>
      </c>
    </row>
    <row r="315" spans="9:25" s="12" customFormat="1" x14ac:dyDescent="0.35">
      <c r="I315" s="24">
        <v>46008</v>
      </c>
      <c r="J315" s="11">
        <f>VLOOKUP(I315,资产!$A:$AF,8,0)/100</f>
        <v>42041.79</v>
      </c>
      <c r="K315" s="11">
        <f>VLOOKUP(I315,资产!$A:$AF,9,0)/100</f>
        <v>2104.61</v>
      </c>
      <c r="L315" s="11">
        <f>VLOOKUP(I315,资产!$A:$AF,10,0)/100</f>
        <v>35700.29</v>
      </c>
      <c r="M315" s="11">
        <f>(VLOOKUP(I315,资产!$A:$AF,13,0)+VLOOKUP(I315,资产!$A:$AF,14,0)+VLOOKUP(I315,资产!$A:$AF,15,0))/100</f>
        <v>7096.22</v>
      </c>
      <c r="N315" s="11">
        <f>VLOOKUP(I315,资产!$A:$AF,16,0)/100</f>
        <v>14040.85</v>
      </c>
      <c r="O315" s="11">
        <f>VLOOKUP(I315,资产!$A:$AF,17,0)/100</f>
        <v>4957.01</v>
      </c>
      <c r="P315" s="11">
        <f>VLOOKUP(I315,资产!$A:$AF,18,0)/100</f>
        <v>15947.72</v>
      </c>
      <c r="Q315" s="11">
        <f>VLOOKUP(I315,资产!$A:$AF,20,0)/100</f>
        <v>20534.759999999998</v>
      </c>
      <c r="R315" s="35">
        <f>VLOOKUP(I315,负债!$A:$P,5,0)/100</f>
        <v>29336.52</v>
      </c>
      <c r="S315" s="35">
        <f>VLOOKUP(I315,负债!$A:$P,6,0)/100</f>
        <v>8614.17</v>
      </c>
      <c r="T315" s="37">
        <f>VLOOKUP(I315,资产!$A:$AF,2,0)/100</f>
        <v>65568.61</v>
      </c>
      <c r="U315" s="37">
        <f>VLOOKUP(I315,资产!$A:$AF,7,0)/100</f>
        <v>62600.03</v>
      </c>
      <c r="V315" s="37">
        <f>VLOOKUP(I315,负债!$A:$P,9,0)/100</f>
        <v>3322.45</v>
      </c>
      <c r="W315" s="37">
        <f>VLOOKUP(I315,负债!$A:$P,6,0)/100</f>
        <v>8614.17</v>
      </c>
      <c r="X315" s="11">
        <f>VLOOKUP(I315,负债!$A:$P,2,0)/100</f>
        <v>65109.38</v>
      </c>
      <c r="Y315" s="11">
        <f t="shared" si="7"/>
        <v>53631.990000000005</v>
      </c>
    </row>
    <row r="316" spans="9:25" s="12" customFormat="1" x14ac:dyDescent="0.35">
      <c r="I316" s="24">
        <v>46015</v>
      </c>
      <c r="J316" s="11">
        <f>VLOOKUP(I316,资产!$A:$AF,8,0)/100</f>
        <v>42275.81</v>
      </c>
      <c r="K316" s="11">
        <f>VLOOKUP(I316,资产!$A:$AF,9,0)/100</f>
        <v>2335.92</v>
      </c>
      <c r="L316" s="11">
        <f>VLOOKUP(I316,资产!$A:$AF,10,0)/100</f>
        <v>35700.29</v>
      </c>
      <c r="M316" s="11">
        <f>(VLOOKUP(I316,资产!$A:$AF,13,0)+VLOOKUP(I316,资产!$A:$AF,14,0)+VLOOKUP(I316,资产!$A:$AF,15,0))/100</f>
        <v>7327.95</v>
      </c>
      <c r="N316" s="11">
        <f>VLOOKUP(I316,资产!$A:$AF,16,0)/100</f>
        <v>14041.96</v>
      </c>
      <c r="O316" s="11">
        <f>VLOOKUP(I316,资产!$A:$AF,17,0)/100</f>
        <v>4957.28</v>
      </c>
      <c r="P316" s="11">
        <f>VLOOKUP(I316,资产!$A:$AF,18,0)/100</f>
        <v>15948.61</v>
      </c>
      <c r="Q316" s="11">
        <f>VLOOKUP(I316,资产!$A:$AF,20,0)/100</f>
        <v>20505.75</v>
      </c>
      <c r="R316" s="35">
        <f>VLOOKUP(I316,负债!$A:$P,5,0)/100</f>
        <v>29805.14</v>
      </c>
      <c r="S316" s="35">
        <f>VLOOKUP(I316,负债!$A:$P,6,0)/100</f>
        <v>8015.37</v>
      </c>
      <c r="T316" s="37">
        <f>VLOOKUP(I316,资产!$A:$AF,2,0)/100</f>
        <v>65812.31</v>
      </c>
      <c r="U316" s="37">
        <f>VLOOKUP(I316,资产!$A:$AF,7,0)/100</f>
        <v>62805.02</v>
      </c>
      <c r="V316" s="37">
        <f>VLOOKUP(I316,负债!$A:$P,9,0)/100</f>
        <v>3215.39</v>
      </c>
      <c r="W316" s="37">
        <f>VLOOKUP(I316,负债!$A:$P,6,0)/100</f>
        <v>8015.37</v>
      </c>
      <c r="X316" s="11">
        <f>VLOOKUP(I316,负债!$A:$P,2,0)/100</f>
        <v>65353.07</v>
      </c>
      <c r="Y316" s="11">
        <f t="shared" si="7"/>
        <v>54581.549999999996</v>
      </c>
    </row>
    <row r="317" spans="9:25" s="12" customFormat="1" x14ac:dyDescent="0.35">
      <c r="I317" s="24">
        <v>46022</v>
      </c>
      <c r="J317" s="11">
        <f>VLOOKUP(I317,资产!$A:$AF,8,0)/100</f>
        <v>42278.01</v>
      </c>
      <c r="K317" s="11">
        <f>VLOOKUP(I317,资产!$A:$AF,9,0)/100</f>
        <v>2335.92</v>
      </c>
      <c r="L317" s="11">
        <f>VLOOKUP(I317,资产!$A:$AF,10,0)/100</f>
        <v>35674.71</v>
      </c>
      <c r="M317" s="11">
        <f>(VLOOKUP(I317,资产!$A:$AF,13,0)+VLOOKUP(I317,资产!$A:$AF,14,0)+VLOOKUP(I317,资产!$A:$AF,15,0))/100</f>
        <v>7297.72</v>
      </c>
      <c r="N317" s="11">
        <f>VLOOKUP(I317,资产!$A:$AF,16,0)/100</f>
        <v>14012.76</v>
      </c>
      <c r="O317" s="11">
        <f>VLOOKUP(I317,资产!$A:$AF,17,0)/100</f>
        <v>5004.38</v>
      </c>
      <c r="P317" s="11">
        <f>VLOOKUP(I317,资产!$A:$AF,18,0)/100</f>
        <v>15963.14</v>
      </c>
      <c r="Q317" s="11">
        <f>VLOOKUP(I317,资产!$A:$AF,20,0)/100</f>
        <v>20390.240000000002</v>
      </c>
      <c r="R317" s="35">
        <f>VLOOKUP(I317,负债!$A:$P,5,0)/100</f>
        <v>28534.41</v>
      </c>
      <c r="S317" s="35">
        <f>VLOOKUP(I317,负债!$A:$P,6,0)/100</f>
        <v>8728.5300000000007</v>
      </c>
      <c r="T317" s="37">
        <f>VLOOKUP(I317,资产!$A:$AF,2,0)/100</f>
        <v>66406.179999999993</v>
      </c>
      <c r="U317" s="37">
        <f>VLOOKUP(I317,资产!$A:$AF,7,0)/100</f>
        <v>62691.71</v>
      </c>
      <c r="V317" s="37">
        <f>VLOOKUP(I317,负债!$A:$P,9,0)/100</f>
        <v>4621.9799999999996</v>
      </c>
      <c r="W317" s="37">
        <f>VLOOKUP(I317,负债!$A:$P,6,0)/100</f>
        <v>8728.5300000000007</v>
      </c>
      <c r="X317" s="11">
        <f>VLOOKUP(I317,负债!$A:$P,2,0)/100</f>
        <v>65946.81</v>
      </c>
      <c r="Y317" s="11">
        <f t="shared" si="7"/>
        <v>53055.67</v>
      </c>
    </row>
    <row r="318" spans="9:25" s="12" customFormat="1" x14ac:dyDescent="0.35">
      <c r="I318" s="24">
        <v>46029</v>
      </c>
      <c r="J318" s="11">
        <f>VLOOKUP(I318,资产!$A:$AF,8,0)/100</f>
        <v>42355.27</v>
      </c>
      <c r="K318" s="11">
        <f>VLOOKUP(I318,资产!$A:$AF,9,0)/100</f>
        <v>2417.5700000000002</v>
      </c>
      <c r="L318" s="11">
        <f>VLOOKUP(I318,资产!$A:$AF,10,0)/100</f>
        <v>35674.71</v>
      </c>
      <c r="M318" s="11">
        <f>(VLOOKUP(I318,资产!$A:$AF,13,0)+VLOOKUP(I318,资产!$A:$AF,14,0)+VLOOKUP(I318,资产!$A:$AF,15,0))/100</f>
        <v>7378.68</v>
      </c>
      <c r="N318" s="11">
        <f>VLOOKUP(I318,资产!$A:$AF,16,0)/100</f>
        <v>14010.95</v>
      </c>
      <c r="O318" s="11">
        <f>VLOOKUP(I318,资产!$A:$AF,17,0)/100</f>
        <v>5003.9399999999996</v>
      </c>
      <c r="P318" s="11">
        <f>VLOOKUP(I318,资产!$A:$AF,18,0)/100</f>
        <v>15961.7</v>
      </c>
      <c r="Q318" s="11">
        <f>VLOOKUP(I318,资产!$A:$AF,20,0)/100</f>
        <v>20390.240000000002</v>
      </c>
      <c r="R318" s="35">
        <f>VLOOKUP(I318,负债!$A:$P,5,0)/100</f>
        <v>30229.97</v>
      </c>
      <c r="S318" s="35">
        <f>VLOOKUP(I318,负债!$A:$P,6,0)/100</f>
        <v>7835.71</v>
      </c>
      <c r="T318" s="37">
        <f>VLOOKUP(I318,资产!$A:$AF,2,0)/100</f>
        <v>65736.02</v>
      </c>
      <c r="U318" s="37">
        <f>VLOOKUP(I318,资产!$A:$AF,7,0)/100</f>
        <v>62768.97</v>
      </c>
      <c r="V318" s="37">
        <f>VLOOKUP(I318,负债!$A:$P,9,0)/100</f>
        <v>3283</v>
      </c>
      <c r="W318" s="37">
        <f>VLOOKUP(I318,负债!$A:$P,6,0)/100</f>
        <v>7835.71</v>
      </c>
      <c r="X318" s="11">
        <f>VLOOKUP(I318,负债!$A:$P,2,0)/100</f>
        <v>65275.3</v>
      </c>
      <c r="Y318" s="11">
        <f t="shared" si="7"/>
        <v>54617.310000000005</v>
      </c>
    </row>
    <row r="319" spans="9:25" s="12" customFormat="1" x14ac:dyDescent="0.35">
      <c r="I319" s="24">
        <v>46036</v>
      </c>
      <c r="J319" s="11">
        <f>VLOOKUP(I319,资产!$A:$AF,8,0)/100</f>
        <v>42432.53</v>
      </c>
      <c r="K319" s="11">
        <f>VLOOKUP(I319,资产!$A:$AF,9,0)/100</f>
        <v>2499.2199999999998</v>
      </c>
      <c r="L319" s="11">
        <f>VLOOKUP(I319,资产!$A:$AF,10,0)/100</f>
        <v>35674.71</v>
      </c>
      <c r="M319" s="11">
        <f>(VLOOKUP(I319,资产!$A:$AF,13,0)+VLOOKUP(I319,资产!$A:$AF,14,0)+VLOOKUP(I319,资产!$A:$AF,15,0))/100</f>
        <v>7459.64</v>
      </c>
      <c r="N319" s="11">
        <f>VLOOKUP(I319,资产!$A:$AF,16,0)/100</f>
        <v>14096.19</v>
      </c>
      <c r="O319" s="11">
        <f>VLOOKUP(I319,资产!$A:$AF,17,0)/100</f>
        <v>4916.46</v>
      </c>
      <c r="P319" s="11">
        <f>VLOOKUP(I319,资产!$A:$AF,18,0)/100</f>
        <v>15960.25</v>
      </c>
      <c r="Q319" s="11">
        <f>VLOOKUP(I319,资产!$A:$AF,20,0)/100</f>
        <v>20390.240000000002</v>
      </c>
      <c r="R319" s="35">
        <f>VLOOKUP(I319,负债!$A:$P,5,0)/100</f>
        <v>30617.599999999999</v>
      </c>
      <c r="S319" s="35">
        <f>VLOOKUP(I319,负债!$A:$P,6,0)/100</f>
        <v>7770.61</v>
      </c>
      <c r="T319" s="37">
        <f>VLOOKUP(I319,资产!$A:$AF,2,0)/100</f>
        <v>65817</v>
      </c>
      <c r="U319" s="37">
        <f>VLOOKUP(I319,资产!$A:$AF,7,0)/100</f>
        <v>62846.239999999998</v>
      </c>
      <c r="V319" s="37">
        <f>VLOOKUP(I319,负债!$A:$P,9,0)/100</f>
        <v>3177.51</v>
      </c>
      <c r="W319" s="37">
        <f>VLOOKUP(I319,负债!$A:$P,6,0)/100</f>
        <v>7770.61</v>
      </c>
      <c r="X319" s="11">
        <f>VLOOKUP(I319,负债!$A:$P,2,0)/100</f>
        <v>65356.27</v>
      </c>
      <c r="Y319" s="11">
        <f t="shared" si="7"/>
        <v>54868.88</v>
      </c>
    </row>
    <row r="320" spans="9:25" s="12" customFormat="1" x14ac:dyDescent="0.35">
      <c r="I320" s="24">
        <v>46043</v>
      </c>
      <c r="J320" s="11">
        <f>VLOOKUP(I320,资产!$A:$AF,8,0)/100</f>
        <v>42511.56</v>
      </c>
      <c r="K320" s="11">
        <f>VLOOKUP(I320,资产!$A:$AF,9,0)/100</f>
        <v>2582.2800000000002</v>
      </c>
      <c r="L320" s="11">
        <f>VLOOKUP(I320,资产!$A:$AF,10,0)/100</f>
        <v>36021.089999999997</v>
      </c>
      <c r="M320" s="11">
        <f>(VLOOKUP(I320,资产!$A:$AF,13,0)+VLOOKUP(I320,资产!$A:$AF,14,0)+VLOOKUP(I320,资产!$A:$AF,15,0))/100</f>
        <v>7450.72</v>
      </c>
      <c r="N320" s="11">
        <f>VLOOKUP(I320,资产!$A:$AF,16,0)/100</f>
        <v>14008.37</v>
      </c>
      <c r="O320" s="11">
        <f>VLOOKUP(I320,资产!$A:$AF,17,0)/100</f>
        <v>5029.6400000000003</v>
      </c>
      <c r="P320" s="11">
        <f>VLOOKUP(I320,资产!$A:$AF,18,0)/100</f>
        <v>16022.84</v>
      </c>
      <c r="Q320" s="11">
        <f>VLOOKUP(I320,资产!$A:$AF,20,0)/100</f>
        <v>20358.400000000001</v>
      </c>
      <c r="R320" s="35">
        <f>VLOOKUP(I320,负债!$A:$P,5,0)/100</f>
        <v>29565.26</v>
      </c>
      <c r="S320" s="35">
        <f>VLOOKUP(I320,负债!$A:$P,6,0)/100</f>
        <v>8711.69</v>
      </c>
      <c r="T320" s="37">
        <f>VLOOKUP(I320,资产!$A:$AF,2,0)/100</f>
        <v>65845.8</v>
      </c>
      <c r="U320" s="37">
        <f>VLOOKUP(I320,资产!$A:$AF,7,0)/100</f>
        <v>62893.43</v>
      </c>
      <c r="V320" s="37">
        <f>VLOOKUP(I320,负债!$A:$P,9,0)/100</f>
        <v>3233.88</v>
      </c>
      <c r="W320" s="37">
        <f>VLOOKUP(I320,负债!$A:$P,6,0)/100</f>
        <v>8711.69</v>
      </c>
      <c r="X320" s="11">
        <f>VLOOKUP(I320,负债!$A:$P,2,0)/100</f>
        <v>65385.06</v>
      </c>
      <c r="Y320" s="11">
        <f t="shared" si="7"/>
        <v>53900.23</v>
      </c>
    </row>
    <row r="321" spans="9:25" s="12" customFormat="1" x14ac:dyDescent="0.35">
      <c r="I321" s="24">
        <v>46050</v>
      </c>
      <c r="J321" s="11">
        <f>VLOOKUP(I321,资产!$A:$AF,8,0)/100</f>
        <v>42659.77</v>
      </c>
      <c r="K321" s="11">
        <f>VLOOKUP(I321,资产!$A:$AF,9,0)/100</f>
        <v>2734.52</v>
      </c>
      <c r="L321" s="11">
        <f>VLOOKUP(I321,资产!$A:$AF,10,0)/100</f>
        <v>36021.089999999997</v>
      </c>
      <c r="M321" s="11">
        <f>(VLOOKUP(I321,资产!$A:$AF,13,0)+VLOOKUP(I321,资产!$A:$AF,14,0)+VLOOKUP(I321,资产!$A:$AF,15,0))/100</f>
        <v>7602.35</v>
      </c>
      <c r="N321" s="11">
        <f>VLOOKUP(I321,资产!$A:$AF,16,0)/100</f>
        <v>14006.74</v>
      </c>
      <c r="O321" s="11">
        <f>VLOOKUP(I321,资产!$A:$AF,17,0)/100</f>
        <v>5029.29</v>
      </c>
      <c r="P321" s="11">
        <f>VLOOKUP(I321,资产!$A:$AF,18,0)/100</f>
        <v>16021.39</v>
      </c>
      <c r="Q321" s="11">
        <f>VLOOKUP(I321,资产!$A:$AF,20,0)/100</f>
        <v>20237.099999999999</v>
      </c>
      <c r="R321" s="35">
        <f>VLOOKUP(I321,负债!$A:$P,5,0)/100</f>
        <v>28829.4</v>
      </c>
      <c r="S321" s="35">
        <f>VLOOKUP(I321,负债!$A:$P,6,0)/100</f>
        <v>9527.0499999999993</v>
      </c>
      <c r="T321" s="37">
        <f>VLOOKUP(I321,资产!$A:$AF,2,0)/100</f>
        <v>65875.679999999993</v>
      </c>
      <c r="U321" s="37">
        <f>VLOOKUP(I321,资产!$A:$AF,7,0)/100</f>
        <v>62920.34</v>
      </c>
      <c r="V321" s="37">
        <f>VLOOKUP(I321,负债!$A:$P,9,0)/100</f>
        <v>3271.51</v>
      </c>
      <c r="W321" s="37">
        <f>VLOOKUP(I321,负债!$A:$P,6,0)/100</f>
        <v>9527.0499999999993</v>
      </c>
      <c r="X321" s="11">
        <f>VLOOKUP(I321,负债!$A:$P,2,0)/100</f>
        <v>65414.94</v>
      </c>
      <c r="Y321" s="11">
        <f t="shared" si="7"/>
        <v>53077.119999999995</v>
      </c>
    </row>
    <row r="322" spans="9:25" s="12" customFormat="1" x14ac:dyDescent="0.35">
      <c r="I322" s="24">
        <v>46057</v>
      </c>
      <c r="J322" s="11">
        <f>VLOOKUP(I322,资产!$A:$AF,8,0)/100</f>
        <v>42810.18</v>
      </c>
      <c r="K322" s="11">
        <f>VLOOKUP(I322,资产!$A:$AF,9,0)/100</f>
        <v>2886.77</v>
      </c>
      <c r="L322" s="11">
        <f>VLOOKUP(I322,资产!$A:$AF,10,0)/100</f>
        <v>36021.089999999997</v>
      </c>
      <c r="M322" s="11">
        <f>(VLOOKUP(I322,资产!$A:$AF,13,0)+VLOOKUP(I322,资产!$A:$AF,14,0)+VLOOKUP(I322,资产!$A:$AF,15,0))/100</f>
        <v>7899.07</v>
      </c>
      <c r="N322" s="11">
        <f>VLOOKUP(I322,资产!$A:$AF,16,0)/100</f>
        <v>13821.08</v>
      </c>
      <c r="O322" s="11">
        <f>VLOOKUP(I322,资产!$A:$AF,17,0)/100</f>
        <v>5060.1400000000003</v>
      </c>
      <c r="P322" s="11">
        <f>VLOOKUP(I322,资产!$A:$AF,18,0)/100</f>
        <v>16029.89</v>
      </c>
      <c r="Q322" s="11">
        <f>VLOOKUP(I322,资产!$A:$AF,20,0)/100</f>
        <v>20237.099999999999</v>
      </c>
      <c r="R322" s="35">
        <f>VLOOKUP(I322,负债!$A:$P,5,0)/100</f>
        <v>29374.93</v>
      </c>
      <c r="S322" s="35">
        <f>VLOOKUP(I322,负债!$A:$P,6,0)/100</f>
        <v>9077.3700000000008</v>
      </c>
      <c r="T322" s="37">
        <f>VLOOKUP(I322,资产!$A:$AF,2,0)/100</f>
        <v>66059.09</v>
      </c>
      <c r="U322" s="37">
        <f>VLOOKUP(I322,资产!$A:$AF,7,0)/100</f>
        <v>63070.75</v>
      </c>
      <c r="V322" s="37">
        <f>VLOOKUP(I322,负债!$A:$P,9,0)/100</f>
        <v>3268.59</v>
      </c>
      <c r="W322" s="37">
        <f>VLOOKUP(I322,负债!$A:$P,6,0)/100</f>
        <v>9077.3700000000008</v>
      </c>
      <c r="X322" s="11">
        <f>VLOOKUP(I322,负债!$A:$P,2,0)/100</f>
        <v>65597.350000000006</v>
      </c>
      <c r="Y322" s="11">
        <f t="shared" si="7"/>
        <v>53713.13</v>
      </c>
    </row>
    <row r="323" spans="9:25" s="12" customFormat="1" x14ac:dyDescent="0.35">
      <c r="I323" s="24">
        <v>46064</v>
      </c>
      <c r="J323" s="11">
        <f>VLOOKUP(I323,资产!$A:$AF,8,0)/100</f>
        <v>42976.06</v>
      </c>
      <c r="K323" s="11">
        <f>VLOOKUP(I323,资产!$A:$AF,9,0)/100</f>
        <v>3052.85</v>
      </c>
      <c r="L323" s="11">
        <f>VLOOKUP(I323,资产!$A:$AF,10,0)/100</f>
        <v>36021.089999999997</v>
      </c>
      <c r="M323" s="11">
        <f>(VLOOKUP(I323,资产!$A:$AF,13,0)+VLOOKUP(I323,资产!$A:$AF,14,0)+VLOOKUP(I323,资产!$A:$AF,15,0))/100</f>
        <v>8065.11</v>
      </c>
      <c r="N323" s="11">
        <f>VLOOKUP(I323,资产!$A:$AF,16,0)/100</f>
        <v>13821</v>
      </c>
      <c r="O323" s="11">
        <f>VLOOKUP(I323,资产!$A:$AF,17,0)/100</f>
        <v>5060.12</v>
      </c>
      <c r="P323" s="11">
        <f>VLOOKUP(I323,资产!$A:$AF,18,0)/100</f>
        <v>16029.82</v>
      </c>
      <c r="Q323" s="11">
        <f>VLOOKUP(I323,资产!$A:$AF,20,0)/100</f>
        <v>20237.099999999999</v>
      </c>
      <c r="R323" s="35">
        <f>VLOOKUP(I323,负债!$A:$P,5,0)/100</f>
        <v>29584.93</v>
      </c>
      <c r="S323" s="35">
        <f>VLOOKUP(I323,负债!$A:$P,6,0)/100</f>
        <v>9105.33</v>
      </c>
      <c r="T323" s="37">
        <f>VLOOKUP(I323,资产!$A:$AF,2,0)/100</f>
        <v>66223.820000000007</v>
      </c>
      <c r="U323" s="37">
        <f>VLOOKUP(I323,资产!$A:$AF,7,0)/100</f>
        <v>63236.63</v>
      </c>
      <c r="V323" s="37">
        <f>VLOOKUP(I323,负债!$A:$P,9,0)/100</f>
        <v>3206.55</v>
      </c>
      <c r="W323" s="37">
        <f>VLOOKUP(I323,负债!$A:$P,6,0)/100</f>
        <v>9105.33</v>
      </c>
      <c r="X323" s="11">
        <f>VLOOKUP(I323,负债!$A:$P,2,0)/100</f>
        <v>65761.36</v>
      </c>
      <c r="Y323" s="11">
        <f t="shared" si="7"/>
        <v>53911.94</v>
      </c>
    </row>
    <row r="324" spans="9:25" s="12" customFormat="1" x14ac:dyDescent="0.35">
      <c r="I324" s="24">
        <v>46071</v>
      </c>
      <c r="J324" s="11">
        <f>VLOOKUP(I324,资产!$A:$AF,8,0)/100</f>
        <v>43055.96</v>
      </c>
      <c r="K324" s="11">
        <f>VLOOKUP(I324,资产!$A:$AF,9,0)/100</f>
        <v>3132.96</v>
      </c>
      <c r="L324" s="11">
        <f>VLOOKUP(I324,资产!$A:$AF,10,0)/100</f>
        <v>36021.089999999997</v>
      </c>
      <c r="M324" s="11">
        <f>(VLOOKUP(I324,资产!$A:$AF,13,0)+VLOOKUP(I324,资产!$A:$AF,14,0)+VLOOKUP(I324,资产!$A:$AF,15,0))/100</f>
        <v>8097.08</v>
      </c>
      <c r="N324" s="11">
        <f>VLOOKUP(I324,资产!$A:$AF,16,0)/100</f>
        <v>14111.09</v>
      </c>
      <c r="O324" s="11">
        <f>VLOOKUP(I324,资产!$A:$AF,17,0)/100</f>
        <v>4927.53</v>
      </c>
      <c r="P324" s="11">
        <f>VLOOKUP(I324,资产!$A:$AF,18,0)/100</f>
        <v>15920.28</v>
      </c>
      <c r="Q324" s="11">
        <f>VLOOKUP(I324,资产!$A:$AF,20,0)/100</f>
        <v>20237.27</v>
      </c>
      <c r="R324" s="35">
        <f>VLOOKUP(I324,负债!$A:$P,5,0)/100</f>
        <v>29599.61</v>
      </c>
      <c r="S324" s="35">
        <f>VLOOKUP(I324,负债!$A:$P,6,0)/100</f>
        <v>8888.5400000000009</v>
      </c>
      <c r="T324" s="37">
        <f>VLOOKUP(I324,资产!$A:$AF,2,0)/100</f>
        <v>66133.95</v>
      </c>
      <c r="U324" s="37">
        <f>VLOOKUP(I324,资产!$A:$AF,7,0)/100</f>
        <v>63316.7</v>
      </c>
      <c r="V324" s="37">
        <f>VLOOKUP(I324,负债!$A:$P,9,0)/100</f>
        <v>3293.48</v>
      </c>
      <c r="W324" s="37">
        <f>VLOOKUP(I324,负债!$A:$P,6,0)/100</f>
        <v>8888.5400000000009</v>
      </c>
      <c r="X324" s="11">
        <f>VLOOKUP(I324,负债!$A:$P,2,0)/100</f>
        <v>65671.14</v>
      </c>
      <c r="Y324" s="11">
        <f t="shared" si="7"/>
        <v>53951.929999999993</v>
      </c>
    </row>
    <row r="325" spans="9:25" s="12" customFormat="1" x14ac:dyDescent="0.35">
      <c r="I325" s="24">
        <v>46078</v>
      </c>
      <c r="J325" s="11">
        <f>VLOOKUP(I325,资产!$A:$AF,8,0)/100</f>
        <v>43215.96</v>
      </c>
      <c r="K325" s="11">
        <f>VLOOKUP(I325,资产!$A:$AF,9,0)/100</f>
        <v>3293.16</v>
      </c>
      <c r="L325" s="11">
        <f>VLOOKUP(I325,资产!$A:$AF,10,0)/100</f>
        <v>36021.089999999997</v>
      </c>
      <c r="M325" s="11">
        <f>(VLOOKUP(I325,资产!$A:$AF,13,0)+VLOOKUP(I325,资产!$A:$AF,14,0)+VLOOKUP(I325,资产!$A:$AF,15,0))/100</f>
        <v>8257.24</v>
      </c>
      <c r="N325" s="11">
        <f>VLOOKUP(I325,资产!$A:$AF,16,0)/100</f>
        <v>14111</v>
      </c>
      <c r="O325" s="11">
        <f>VLOOKUP(I325,资产!$A:$AF,17,0)/100</f>
        <v>4927.51</v>
      </c>
      <c r="P325" s="11">
        <f>VLOOKUP(I325,资产!$A:$AF,18,0)/100</f>
        <v>15920.21</v>
      </c>
      <c r="Q325" s="11">
        <f>VLOOKUP(I325,资产!$A:$AF,20,0)/100</f>
        <v>20104.18</v>
      </c>
      <c r="R325" s="35">
        <f>VLOOKUP(I325,负债!$A:$P,5,0)/100</f>
        <v>30044.29</v>
      </c>
      <c r="S325" s="35">
        <f>VLOOKUP(I325,负债!$A:$P,6,0)/100</f>
        <v>8389.75</v>
      </c>
      <c r="T325" s="37">
        <f>VLOOKUP(I325,资产!$A:$AF,2,0)/100</f>
        <v>66137.97</v>
      </c>
      <c r="U325" s="37">
        <f>VLOOKUP(I325,资产!$A:$AF,7,0)/100</f>
        <v>63343.61</v>
      </c>
      <c r="V325" s="37">
        <f>VLOOKUP(I325,负债!$A:$P,9,0)/100</f>
        <v>3292.22</v>
      </c>
      <c r="W325" s="37">
        <f>VLOOKUP(I325,负债!$A:$P,6,0)/100</f>
        <v>8389.75</v>
      </c>
      <c r="X325" s="11">
        <f>VLOOKUP(I325,负债!$A:$P,2,0)/100</f>
        <v>65675.06</v>
      </c>
      <c r="Y325" s="11">
        <f t="shared" si="7"/>
        <v>54456</v>
      </c>
    </row>
    <row r="326" spans="9:25" s="12" customFormat="1" x14ac:dyDescent="0.35">
      <c r="I326" s="24">
        <v>46085</v>
      </c>
      <c r="J326" s="11">
        <f>VLOOKUP(I326,资产!$A:$AF,8,0)/100</f>
        <v>43365.33</v>
      </c>
      <c r="K326" s="11">
        <f>VLOOKUP(I326,资产!$A:$AF,9,0)/100</f>
        <v>3440.76</v>
      </c>
      <c r="L326" s="11">
        <f>VLOOKUP(I326,资产!$A:$AF,10,0)/100</f>
        <v>36021.089999999997</v>
      </c>
      <c r="M326" s="11">
        <f>(VLOOKUP(I326,资产!$A:$AF,13,0)+VLOOKUP(I326,资产!$A:$AF,14,0)+VLOOKUP(I326,资产!$A:$AF,15,0))/100</f>
        <v>8558.39</v>
      </c>
      <c r="N326" s="11">
        <f>VLOOKUP(I326,资产!$A:$AF,16,0)/100</f>
        <v>13904.74</v>
      </c>
      <c r="O326" s="11">
        <f>VLOOKUP(I326,资产!$A:$AF,17,0)/100</f>
        <v>4962.2</v>
      </c>
      <c r="P326" s="11">
        <f>VLOOKUP(I326,资产!$A:$AF,18,0)/100</f>
        <v>15940.01</v>
      </c>
      <c r="Q326" s="11">
        <f>VLOOKUP(I326,资产!$A:$AF,20,0)/100</f>
        <v>20104.18</v>
      </c>
      <c r="R326" s="35">
        <f>VLOOKUP(I326,负债!$A:$P,5,0)/100</f>
        <v>30137.18</v>
      </c>
      <c r="S326" s="35">
        <f>VLOOKUP(I326,负债!$A:$P,6,0)/100</f>
        <v>8469.7900000000009</v>
      </c>
      <c r="T326" s="37">
        <f>VLOOKUP(I326,资产!$A:$AF,2,0)/100</f>
        <v>66288.94</v>
      </c>
      <c r="U326" s="37">
        <f>VLOOKUP(I326,资产!$A:$AF,7,0)/100</f>
        <v>63492.98</v>
      </c>
      <c r="V326" s="37">
        <f>VLOOKUP(I326,负债!$A:$P,9,0)/100</f>
        <v>3195.04</v>
      </c>
      <c r="W326" s="37">
        <f>VLOOKUP(I326,负债!$A:$P,6,0)/100</f>
        <v>8469.7900000000009</v>
      </c>
      <c r="X326" s="11">
        <f>VLOOKUP(I326,负债!$A:$P,2,0)/100</f>
        <v>65825.58</v>
      </c>
      <c r="Y326" s="11">
        <f t="shared" si="7"/>
        <v>54624.11</v>
      </c>
    </row>
    <row r="327" spans="9:25" s="12" customFormat="1" x14ac:dyDescent="0.35">
      <c r="I327" s="24">
        <v>46092</v>
      </c>
      <c r="J327" s="11">
        <f>VLOOKUP(I327,资产!$A:$AF,8,0)/100</f>
        <v>43515.45</v>
      </c>
      <c r="K327" s="11">
        <f>VLOOKUP(I327,资产!$A:$AF,9,0)/100</f>
        <v>3587.62</v>
      </c>
      <c r="L327" s="11">
        <f>VLOOKUP(I327,资产!$A:$AF,10,0)/100</f>
        <v>36021.089999999997</v>
      </c>
      <c r="M327" s="11">
        <f>(VLOOKUP(I327,资产!$A:$AF,13,0)+VLOOKUP(I327,资产!$A:$AF,14,0)+VLOOKUP(I327,资产!$A:$AF,15,0))/100</f>
        <v>8705.73</v>
      </c>
      <c r="N327" s="11">
        <f>VLOOKUP(I327,资产!$A:$AF,16,0)/100</f>
        <v>13906.06</v>
      </c>
      <c r="O327" s="11">
        <f>VLOOKUP(I327,资产!$A:$AF,17,0)/100</f>
        <v>4962.4799999999996</v>
      </c>
      <c r="P327" s="11">
        <f>VLOOKUP(I327,资产!$A:$AF,18,0)/100</f>
        <v>15941.18</v>
      </c>
      <c r="Q327" s="11">
        <f>VLOOKUP(I327,资产!$A:$AF,20,0)/100</f>
        <v>20104.18</v>
      </c>
      <c r="R327" s="35">
        <f>VLOOKUP(I327,负债!$A:$P,5,0)/100</f>
        <v>30731.51</v>
      </c>
      <c r="S327" s="35">
        <f>VLOOKUP(I327,负债!$A:$P,6,0)/100</f>
        <v>8058.06</v>
      </c>
      <c r="T327" s="37">
        <f>VLOOKUP(I327,资产!$A:$AF,2,0)/100</f>
        <v>66463.44</v>
      </c>
      <c r="U327" s="37">
        <f>VLOOKUP(I327,资产!$A:$AF,7,0)/100</f>
        <v>63643.1</v>
      </c>
      <c r="V327" s="37">
        <f>VLOOKUP(I327,负债!$A:$P,9,0)/100</f>
        <v>3254.6</v>
      </c>
      <c r="W327" s="37">
        <f>VLOOKUP(I327,负债!$A:$P,6,0)/100</f>
        <v>8058.06</v>
      </c>
      <c r="X327" s="11">
        <f>VLOOKUP(I327,负债!$A:$P,2,0)/100</f>
        <v>66000.039999999994</v>
      </c>
      <c r="Y327" s="11">
        <f t="shared" si="7"/>
        <v>55150.780000000006</v>
      </c>
    </row>
    <row r="328" spans="9:25" s="12" customFormat="1" x14ac:dyDescent="0.35">
      <c r="I328" s="24">
        <v>46099</v>
      </c>
      <c r="J328" s="11">
        <f>VLOOKUP(I328,资产!$A:$AF,8,0)/100</f>
        <v>43585.97</v>
      </c>
      <c r="K328" s="11">
        <f>VLOOKUP(I328,资产!$A:$AF,9,0)/100</f>
        <v>3654.88</v>
      </c>
      <c r="L328" s="11">
        <f>VLOOKUP(I328,资产!$A:$AF,10,0)/100</f>
        <v>36021.089999999997</v>
      </c>
      <c r="M328" s="11">
        <f>(VLOOKUP(I328,资产!$A:$AF,13,0)+VLOOKUP(I328,资产!$A:$AF,14,0)+VLOOKUP(I328,资产!$A:$AF,15,0))/100</f>
        <v>8773.18</v>
      </c>
      <c r="N328" s="11">
        <f>VLOOKUP(I328,资产!$A:$AF,16,0)/100</f>
        <v>13907.53</v>
      </c>
      <c r="O328" s="11">
        <f>VLOOKUP(I328,资产!$A:$AF,17,0)/100</f>
        <v>4962.8599999999997</v>
      </c>
      <c r="P328" s="11">
        <f>VLOOKUP(I328,资产!$A:$AF,18,0)/100</f>
        <v>15942.4</v>
      </c>
      <c r="Q328" s="11">
        <f>VLOOKUP(I328,资产!$A:$AF,20,0)/100</f>
        <v>20103.7</v>
      </c>
      <c r="R328" s="35">
        <f>VLOOKUP(I328,负债!$A:$P,5,0)/100</f>
        <v>29988.09</v>
      </c>
      <c r="S328" s="35">
        <f>VLOOKUP(I328,负债!$A:$P,6,0)/100</f>
        <v>8758.33</v>
      </c>
      <c r="T328" s="37">
        <f>VLOOKUP(I328,资产!$A:$AF,2,0)/100</f>
        <v>66559.39</v>
      </c>
      <c r="U328" s="37">
        <f>VLOOKUP(I328,资产!$A:$AF,7,0)/100</f>
        <v>63713.14</v>
      </c>
      <c r="V328" s="37">
        <f>VLOOKUP(I328,负债!$A:$P,9,0)/100</f>
        <v>3313.52</v>
      </c>
      <c r="W328" s="37">
        <f>VLOOKUP(I328,负债!$A:$P,6,0)/100</f>
        <v>8758.33</v>
      </c>
      <c r="X328" s="11">
        <f>VLOOKUP(I328,负债!$A:$P,2,0)/100</f>
        <v>66095.95</v>
      </c>
      <c r="Y328" s="11">
        <f t="shared" si="7"/>
        <v>54487.54</v>
      </c>
    </row>
    <row r="329" spans="9:25" s="12" customFormat="1" x14ac:dyDescent="0.35">
      <c r="I329" s="24">
        <v>46106</v>
      </c>
      <c r="J329" s="11">
        <f>VLOOKUP(I329,资产!$A:$AF,8,0)/100</f>
        <v>43750.64</v>
      </c>
      <c r="K329" s="11">
        <f>VLOOKUP(I329,资产!$A:$AF,9,0)/100</f>
        <v>3816.3</v>
      </c>
      <c r="L329" s="11">
        <f>VLOOKUP(I329,资产!$A:$AF,10,0)/100</f>
        <v>36021.089999999997</v>
      </c>
      <c r="M329" s="11">
        <f>(VLOOKUP(I329,资产!$A:$AF,13,0)+VLOOKUP(I329,资产!$A:$AF,14,0)+VLOOKUP(I329,资产!$A:$AF,15,0))/100</f>
        <v>8935.09</v>
      </c>
      <c r="N329" s="11">
        <f>VLOOKUP(I329,资产!$A:$AF,16,0)/100</f>
        <v>13908.85</v>
      </c>
      <c r="O329" s="11">
        <f>VLOOKUP(I329,资产!$A:$AF,17,0)/100</f>
        <v>4963.1400000000003</v>
      </c>
      <c r="P329" s="11">
        <f>VLOOKUP(I329,资产!$A:$AF,18,0)/100</f>
        <v>15943.57</v>
      </c>
      <c r="Q329" s="11">
        <f>VLOOKUP(I329,资产!$A:$AF,20,0)/100</f>
        <v>19966.8</v>
      </c>
      <c r="R329" s="35">
        <f>VLOOKUP(I329,负债!$A:$P,5,0)/100</f>
        <v>30360.73</v>
      </c>
      <c r="S329" s="35">
        <f>VLOOKUP(I329,负债!$A:$P,6,0)/100</f>
        <v>8374.1200000000008</v>
      </c>
      <c r="T329" s="37">
        <f>VLOOKUP(I329,资产!$A:$AF,2,0)/100</f>
        <v>66571.61</v>
      </c>
      <c r="U329" s="37">
        <f>VLOOKUP(I329,资产!$A:$AF,7,0)/100</f>
        <v>63740.92</v>
      </c>
      <c r="V329" s="37">
        <f>VLOOKUP(I329,负债!$A:$P,9,0)/100</f>
        <v>3341.36</v>
      </c>
      <c r="W329" s="37">
        <f>VLOOKUP(I329,负债!$A:$P,6,0)/100</f>
        <v>8374.1200000000008</v>
      </c>
      <c r="X329" s="11">
        <f>VLOOKUP(I329,负债!$A:$P,2,0)/100</f>
        <v>66107.28</v>
      </c>
      <c r="Y329" s="11">
        <f t="shared" si="7"/>
        <v>54856.13</v>
      </c>
    </row>
    <row r="330" spans="9:25" s="12" customFormat="1" x14ac:dyDescent="0.35">
      <c r="I330" s="24">
        <v>46113</v>
      </c>
      <c r="J330" s="11">
        <f>VLOOKUP(I330,资产!$A:$AF,8,0)/100</f>
        <v>43902.04</v>
      </c>
      <c r="K330" s="11">
        <f>VLOOKUP(I330,资产!$A:$AF,9,0)/100</f>
        <v>3964.27</v>
      </c>
      <c r="L330" s="11">
        <f>VLOOKUP(I330,资产!$A:$AF,10,0)/100</f>
        <v>36001.449999999997</v>
      </c>
      <c r="M330" s="11">
        <f>(VLOOKUP(I330,资产!$A:$AF,13,0)+VLOOKUP(I330,资产!$A:$AF,14,0)+VLOOKUP(I330,资产!$A:$AF,15,0))/100</f>
        <v>9113.7099999999991</v>
      </c>
      <c r="N330" s="11">
        <f>VLOOKUP(I330,资产!$A:$AF,16,0)/100</f>
        <v>13801.56</v>
      </c>
      <c r="O330" s="11">
        <f>VLOOKUP(I330,资产!$A:$AF,17,0)/100</f>
        <v>5028.55</v>
      </c>
      <c r="P330" s="11">
        <f>VLOOKUP(I330,资产!$A:$AF,18,0)/100</f>
        <v>15958.23</v>
      </c>
      <c r="Q330" s="11">
        <f>VLOOKUP(I330,资产!$A:$AF,20,0)/100</f>
        <v>19966.8</v>
      </c>
      <c r="R330" s="35">
        <f>VLOOKUP(I330,负债!$A:$P,5,0)/100</f>
        <v>30644.6</v>
      </c>
      <c r="S330" s="35">
        <f>VLOOKUP(I330,负债!$A:$P,6,0)/100</f>
        <v>8035.53</v>
      </c>
      <c r="T330" s="37">
        <f>VLOOKUP(I330,资产!$A:$AF,2,0)/100</f>
        <v>66753.440000000002</v>
      </c>
      <c r="U330" s="37">
        <f>VLOOKUP(I330,资产!$A:$AF,7,0)/100</f>
        <v>63892.32</v>
      </c>
      <c r="V330" s="37">
        <f>VLOOKUP(I330,负债!$A:$P,9,0)/100</f>
        <v>3395.94</v>
      </c>
      <c r="W330" s="37">
        <f>VLOOKUP(I330,负债!$A:$P,6,0)/100</f>
        <v>8035.53</v>
      </c>
      <c r="X330" s="11">
        <f>VLOOKUP(I330,负债!$A:$P,2,0)/100</f>
        <v>66288.63</v>
      </c>
      <c r="Y330" s="11">
        <f t="shared" si="7"/>
        <v>55321.97</v>
      </c>
    </row>
    <row r="331" spans="9:25" s="12" customFormat="1" x14ac:dyDescent="0.35">
      <c r="I331" s="24">
        <v>46120</v>
      </c>
      <c r="J331" s="11">
        <f>VLOOKUP(I331,资产!$A:$AF,8,0)/100</f>
        <v>44067.79</v>
      </c>
      <c r="K331" s="11">
        <f>VLOOKUP(I331,资产!$A:$AF,9,0)/100</f>
        <v>4125.6899999999996</v>
      </c>
      <c r="L331" s="11">
        <f>VLOOKUP(I331,资产!$A:$AF,10,0)/100</f>
        <v>36001.449999999997</v>
      </c>
      <c r="M331" s="11">
        <f>(VLOOKUP(I331,资产!$A:$AF,13,0)+VLOOKUP(I331,资产!$A:$AF,14,0)+VLOOKUP(I331,资产!$A:$AF,15,0))/100</f>
        <v>9275.77</v>
      </c>
      <c r="N331" s="11">
        <f>VLOOKUP(I331,资产!$A:$AF,16,0)/100</f>
        <v>13803.31</v>
      </c>
      <c r="O331" s="11">
        <f>VLOOKUP(I331,资产!$A:$AF,17,0)/100</f>
        <v>5028.9399999999996</v>
      </c>
      <c r="P331" s="11">
        <f>VLOOKUP(I331,资产!$A:$AF,18,0)/100</f>
        <v>15959.77</v>
      </c>
      <c r="Q331" s="11">
        <f>VLOOKUP(I331,资产!$A:$AF,20,0)/100</f>
        <v>19966.8</v>
      </c>
      <c r="R331" s="35">
        <f>VLOOKUP(I331,负债!$A:$P,5,0)/100</f>
        <v>31835.33</v>
      </c>
      <c r="S331" s="35">
        <f>VLOOKUP(I331,负债!$A:$P,6,0)/100</f>
        <v>6970.79</v>
      </c>
      <c r="T331" s="37">
        <f>VLOOKUP(I331,资产!$A:$AF,2,0)/100</f>
        <v>66938.710000000006</v>
      </c>
      <c r="U331" s="37">
        <f>VLOOKUP(I331,资产!$A:$AF,7,0)/100</f>
        <v>64058.06</v>
      </c>
      <c r="V331" s="37">
        <f>VLOOKUP(I331,负债!$A:$P,9,0)/100</f>
        <v>3448.59</v>
      </c>
      <c r="W331" s="37">
        <f>VLOOKUP(I331,负债!$A:$P,6,0)/100</f>
        <v>6970.79</v>
      </c>
      <c r="X331" s="11">
        <f>VLOOKUP(I331,负债!$A:$P,2,0)/100</f>
        <v>66473.899999999994</v>
      </c>
      <c r="Y331" s="11">
        <f t="shared" si="7"/>
        <v>56519.330000000009</v>
      </c>
    </row>
    <row r="332" spans="9:25" s="12" customFormat="1" x14ac:dyDescent="0.35">
      <c r="I332" s="24">
        <v>46127</v>
      </c>
      <c r="J332" s="11">
        <f>VLOOKUP(I332,资产!$A:$AF,8,0)/100</f>
        <v>44072.09</v>
      </c>
      <c r="K332" s="11">
        <f>VLOOKUP(I332,资产!$A:$AF,9,0)/100</f>
        <v>4125.6899999999996</v>
      </c>
      <c r="L332" s="11">
        <f>VLOOKUP(I332,资产!$A:$AF,10,0)/100</f>
        <v>36186.660000000003</v>
      </c>
      <c r="M332" s="11">
        <f>(VLOOKUP(I332,资产!$A:$AF,13,0)+VLOOKUP(I332,资产!$A:$AF,14,0)+VLOOKUP(I332,资产!$A:$AF,15,0))/100</f>
        <v>9090.81</v>
      </c>
      <c r="N332" s="11">
        <f>VLOOKUP(I332,资产!$A:$AF,16,0)/100</f>
        <v>13882.45</v>
      </c>
      <c r="O332" s="11">
        <f>VLOOKUP(I332,资产!$A:$AF,17,0)/100</f>
        <v>5098.49</v>
      </c>
      <c r="P332" s="11">
        <f>VLOOKUP(I332,资产!$A:$AF,18,0)/100</f>
        <v>16000.33</v>
      </c>
      <c r="Q332" s="11">
        <f>VLOOKUP(I332,资产!$A:$AF,20,0)/100</f>
        <v>19964.78</v>
      </c>
      <c r="R332" s="35">
        <f>VLOOKUP(I332,负债!$A:$P,5,0)/100</f>
        <v>29801.88</v>
      </c>
      <c r="S332" s="35">
        <f>VLOOKUP(I332,负债!$A:$P,6,0)/100</f>
        <v>9244.35</v>
      </c>
      <c r="T332" s="37">
        <f>VLOOKUP(I332,资产!$A:$AF,2,0)/100</f>
        <v>67056.960000000006</v>
      </c>
      <c r="U332" s="37">
        <f>VLOOKUP(I332,资产!$A:$AF,7,0)/100</f>
        <v>64060.33</v>
      </c>
      <c r="V332" s="37">
        <f>VLOOKUP(I332,负债!$A:$P,9,0)/100</f>
        <v>3398.66</v>
      </c>
      <c r="W332" s="37">
        <f>VLOOKUP(I332,负债!$A:$P,6,0)/100</f>
        <v>9244.35</v>
      </c>
      <c r="X332" s="11">
        <f>VLOOKUP(I332,负债!$A:$P,2,0)/100</f>
        <v>66592.14</v>
      </c>
      <c r="Y332" s="11">
        <f>T332-V332-W332</f>
        <v>54413.950000000004</v>
      </c>
    </row>
    <row r="333" spans="9:25" s="12" customFormat="1" x14ac:dyDescent="0.35">
      <c r="I333" s="24">
        <v>46134</v>
      </c>
      <c r="J333" s="11">
        <f>VLOOKUP(I333,资产!$A:$AF,8,0)/100</f>
        <v>44202.67</v>
      </c>
      <c r="K333" s="11">
        <f>VLOOKUP(I333,资产!$A:$AF,9,0)/100</f>
        <v>4252.1400000000003</v>
      </c>
      <c r="L333" s="11">
        <f>VLOOKUP(I333,资产!$A:$AF,10,0)/100</f>
        <v>36186.660000000003</v>
      </c>
      <c r="M333" s="11">
        <f>(VLOOKUP(I333,资产!$A:$AF,13,0)+VLOOKUP(I333,资产!$A:$AF,14,0)+VLOOKUP(I333,资产!$A:$AF,15,0))/100</f>
        <v>9217.73</v>
      </c>
      <c r="N333" s="11">
        <f>VLOOKUP(I333,资产!$A:$AF,16,0)/100</f>
        <v>13884.19</v>
      </c>
      <c r="O333" s="11">
        <f>VLOOKUP(I333,资产!$A:$AF,17,0)/100</f>
        <v>5098.88</v>
      </c>
      <c r="P333" s="11">
        <f>VLOOKUP(I333,资产!$A:$AF,18,0)/100</f>
        <v>16001.87</v>
      </c>
      <c r="Q333" s="11">
        <f>VLOOKUP(I333,资产!$A:$AF,20,0)/100</f>
        <v>19932.759999999998</v>
      </c>
      <c r="R333" s="35">
        <f>VLOOKUP(I333,负债!$A:$P,5,0)/100</f>
        <v>29145.759999999998</v>
      </c>
      <c r="S333" s="35">
        <f>VLOOKUP(I333,负债!$A:$P,6,0)/100</f>
        <v>10071.719999999999</v>
      </c>
      <c r="T333" s="37">
        <f>VLOOKUP(I333,资产!$A:$AF,2,0)/100</f>
        <v>67074.19</v>
      </c>
      <c r="U333" s="37">
        <f>VLOOKUP(I333,资产!$A:$AF,7,0)/100</f>
        <v>64158.9</v>
      </c>
      <c r="V333" s="37">
        <f>VLOOKUP(I333,负债!$A:$P,9,0)/100</f>
        <v>3251.24</v>
      </c>
      <c r="W333" s="37">
        <f>VLOOKUP(I333,负债!$A:$P,6,0)/100</f>
        <v>10071.719999999999</v>
      </c>
      <c r="X333" s="11">
        <f>VLOOKUP(I333,负债!$A:$P,2,0)/100</f>
        <v>66609.27</v>
      </c>
      <c r="Y333" s="11">
        <f t="shared" ref="Y333:Y335" si="8">T333-V333-W333</f>
        <v>53751.23</v>
      </c>
    </row>
    <row r="334" spans="9:25" s="12" customFormat="1" x14ac:dyDescent="0.35">
      <c r="I334" s="24">
        <v>46141</v>
      </c>
      <c r="J334" s="11">
        <f>VLOOKUP(I334,资产!$A:$AF,8,0)/100</f>
        <v>44257.37</v>
      </c>
      <c r="K334" s="11">
        <f>VLOOKUP(I334,资产!$A:$AF,9,0)/100</f>
        <v>4302.72</v>
      </c>
      <c r="L334" s="11">
        <f>VLOOKUP(I334,资产!$A:$AF,10,0)/100</f>
        <v>36186.660000000003</v>
      </c>
      <c r="M334" s="11">
        <f>(VLOOKUP(I334,资产!$A:$AF,13,0)+VLOOKUP(I334,资产!$A:$AF,14,0)+VLOOKUP(I334,资产!$A:$AF,15,0))/100</f>
        <v>9268.76</v>
      </c>
      <c r="N334" s="11">
        <f>VLOOKUP(I334,资产!$A:$AF,16,0)/100</f>
        <v>13888.06</v>
      </c>
      <c r="O334" s="11">
        <f>VLOOKUP(I334,资产!$A:$AF,17,0)/100</f>
        <v>5097.13</v>
      </c>
      <c r="P334" s="11">
        <f>VLOOKUP(I334,资产!$A:$AF,18,0)/100</f>
        <v>16003.42</v>
      </c>
      <c r="Q334" s="11">
        <f>VLOOKUP(I334,资产!$A:$AF,20,0)/100</f>
        <v>19810.599999999999</v>
      </c>
      <c r="R334" s="35">
        <f>VLOOKUP(I334,负债!$A:$P,5,0)/100</f>
        <v>29191.57</v>
      </c>
      <c r="S334" s="35">
        <f>VLOOKUP(I334,负债!$A:$P,6,0)/100</f>
        <v>9881.02</v>
      </c>
      <c r="T334" s="37">
        <f>VLOOKUP(I334,资产!$A:$AF,2,0)/100</f>
        <v>66999.5</v>
      </c>
      <c r="U334" s="37">
        <f>VLOOKUP(I334,资产!$A:$AF,7,0)/100</f>
        <v>64091.44</v>
      </c>
      <c r="V334" s="37">
        <f>VLOOKUP(I334,负债!$A:$P,9,0)/100</f>
        <v>3227.11</v>
      </c>
      <c r="W334" s="37">
        <f>VLOOKUP(I334,负债!$A:$P,6,0)/100</f>
        <v>9881.02</v>
      </c>
      <c r="X334" s="11">
        <f>VLOOKUP(I334,负债!$A:$P,2,0)/100</f>
        <v>66534.55</v>
      </c>
      <c r="Y334" s="11">
        <f t="shared" si="8"/>
        <v>53891.369999999995</v>
      </c>
    </row>
    <row r="335" spans="9:25" s="12" customFormat="1" x14ac:dyDescent="0.35">
      <c r="I335" s="24">
        <v>46148</v>
      </c>
      <c r="J335" s="11">
        <f>VLOOKUP(I335,资产!$A:$AF,8,0)/100</f>
        <v>44341.61</v>
      </c>
      <c r="K335" s="11">
        <f>VLOOKUP(I335,资产!$A:$AF,9,0)/100</f>
        <v>4378.57</v>
      </c>
      <c r="L335" s="11">
        <f>VLOOKUP(I335,资产!$A:$AF,10,0)/100</f>
        <v>36153.93</v>
      </c>
      <c r="M335" s="11">
        <f>(VLOOKUP(I335,资产!$A:$AF,13,0)+VLOOKUP(I335,资产!$A:$AF,14,0)+VLOOKUP(I335,资产!$A:$AF,15,0))/100</f>
        <v>9223.7099999999991</v>
      </c>
      <c r="N335" s="11">
        <f>VLOOKUP(I335,资产!$A:$AF,16,0)/100</f>
        <v>13941.75</v>
      </c>
      <c r="O335" s="11">
        <f>VLOOKUP(I335,资产!$A:$AF,17,0)/100</f>
        <v>5153.28</v>
      </c>
      <c r="P335" s="11">
        <f>VLOOKUP(I335,资产!$A:$AF,18,0)/100</f>
        <v>16022.87</v>
      </c>
      <c r="Q335" s="11">
        <f>VLOOKUP(I335,资产!$A:$AF,20,0)/100</f>
        <v>19810.599999999999</v>
      </c>
      <c r="R335" s="35">
        <f>VLOOKUP(I335,负债!$A:$P,5,0)/100</f>
        <v>30514.81</v>
      </c>
      <c r="S335" s="35">
        <f>VLOOKUP(I335,负债!$A:$P,6,0)/100</f>
        <v>8627.57</v>
      </c>
      <c r="T335" s="37">
        <f>VLOOKUP(I335,资产!$A:$AF,2,0)/100</f>
        <v>67095.05</v>
      </c>
      <c r="U335" s="37">
        <f>VLOOKUP(I335,资产!$A:$AF,7,0)/100</f>
        <v>64175.68</v>
      </c>
      <c r="V335" s="37">
        <f>VLOOKUP(I335,负债!$A:$P,9,0)/100</f>
        <v>3226.86</v>
      </c>
      <c r="W335" s="37">
        <f>VLOOKUP(I335,负债!$A:$P,6,0)/100</f>
        <v>8627.57</v>
      </c>
      <c r="X335" s="11">
        <f>VLOOKUP(I335,负债!$A:$P,2,0)/100</f>
        <v>66622.929999999993</v>
      </c>
      <c r="Y335" s="11">
        <f t="shared" si="8"/>
        <v>55240.62</v>
      </c>
    </row>
    <row r="336" spans="9:25" s="12" customFormat="1" x14ac:dyDescent="0.35">
      <c r="I336" s="24">
        <v>46155</v>
      </c>
      <c r="J336" s="11">
        <f>VLOOKUP(I336,资产!$A:$AF,8,0)/100</f>
        <v>44502.35</v>
      </c>
      <c r="K336" s="11">
        <f>VLOOKUP(I336,资产!$A:$AF,9,0)/100</f>
        <v>4530.3100000000004</v>
      </c>
      <c r="L336" s="11">
        <f>VLOOKUP(I336,资产!$A:$AF,10,0)/100</f>
        <v>36153.93</v>
      </c>
      <c r="M336" s="11">
        <f>(VLOOKUP(I336,资产!$A:$AF,13,0)+VLOOKUP(I336,资产!$A:$AF,14,0)+VLOOKUP(I336,资产!$A:$AF,15,0))/100</f>
        <v>9376.44</v>
      </c>
      <c r="N336" s="11">
        <f>VLOOKUP(I336,资产!$A:$AF,16,0)/100</f>
        <v>13945.57</v>
      </c>
      <c r="O336" s="11">
        <f>VLOOKUP(I336,资产!$A:$AF,17,0)/100</f>
        <v>5154.13</v>
      </c>
      <c r="P336" s="11">
        <f>VLOOKUP(I336,资产!$A:$AF,18,0)/100</f>
        <v>16026.21</v>
      </c>
      <c r="Q336" s="11">
        <f>VLOOKUP(I336,资产!$A:$AF,20,0)/100</f>
        <v>19810.599999999999</v>
      </c>
      <c r="R336" s="35">
        <f>VLOOKUP(I336,负债!$A:$P,5,0)/100</f>
        <v>31173.67</v>
      </c>
      <c r="S336" s="35">
        <f>VLOOKUP(I336,负债!$A:$P,6,0)/100</f>
        <v>8074.2</v>
      </c>
      <c r="T336" s="37">
        <f>VLOOKUP(I336,资产!$A:$AF,2,0)/100</f>
        <v>67285.02</v>
      </c>
      <c r="U336" s="37">
        <f>VLOOKUP(I336,资产!$A:$AF,7,0)/100</f>
        <v>64336.42</v>
      </c>
      <c r="V336" s="37">
        <f>VLOOKUP(I336,负债!$A:$P,9,0)/100</f>
        <v>3263.47</v>
      </c>
      <c r="W336" s="37">
        <f>VLOOKUP(I336,负债!$A:$P,6,0)/100</f>
        <v>8074.2</v>
      </c>
      <c r="X336" s="11">
        <f>VLOOKUP(I336,负债!$A:$P,2,0)/100</f>
        <v>66812.91</v>
      </c>
      <c r="Y336" s="11">
        <f>T336-V336-W336</f>
        <v>55947.350000000006</v>
      </c>
    </row>
    <row r="337" spans="9:25" s="12" customFormat="1" x14ac:dyDescent="0.35">
      <c r="I337" s="24">
        <v>46162</v>
      </c>
      <c r="J337" s="11">
        <f>VLOOKUP(I337,资产!$A:$AF,8,0)/100</f>
        <v>44577.120000000003</v>
      </c>
      <c r="K337" s="11">
        <f>VLOOKUP(I337,资产!$A:$AF,9,0)/100</f>
        <v>4596.07</v>
      </c>
      <c r="L337" s="11">
        <f>VLOOKUP(I337,资产!$A:$AF,10,0)/100</f>
        <v>36153.93</v>
      </c>
      <c r="M337" s="11">
        <f>(VLOOKUP(I337,资产!$A:$AF,13,0)+VLOOKUP(I337,资产!$A:$AF,14,0)+VLOOKUP(I337,资产!$A:$AF,15,0))/100</f>
        <v>9376.82</v>
      </c>
      <c r="N337" s="11">
        <f>VLOOKUP(I337,资产!$A:$AF,16,0)/100</f>
        <v>14298.8</v>
      </c>
      <c r="O337" s="11">
        <f>VLOOKUP(I337,资产!$A:$AF,17,0)/100</f>
        <v>4812.58</v>
      </c>
      <c r="P337" s="11">
        <f>VLOOKUP(I337,资产!$A:$AF,18,0)/100</f>
        <v>16088.92</v>
      </c>
      <c r="Q337" s="11">
        <f>VLOOKUP(I337,资产!$A:$AF,20,0)/100</f>
        <v>19776.61</v>
      </c>
      <c r="R337" s="35">
        <f>VLOOKUP(I337,负债!$A:$P,5,0)/100</f>
        <v>31067.16</v>
      </c>
      <c r="S337" s="35">
        <f>VLOOKUP(I337,负债!$A:$P,6,0)/100</f>
        <v>7819.79</v>
      </c>
      <c r="T337" s="37">
        <f>VLOOKUP(I337,资产!$A:$AF,2,0)/100</f>
        <v>67136.429999999993</v>
      </c>
      <c r="U337" s="37">
        <f>VLOOKUP(I337,资产!$A:$AF,7,0)/100</f>
        <v>64377.19</v>
      </c>
      <c r="V337" s="37">
        <f>VLOOKUP(I337,负债!$A:$P,9,0)/100</f>
        <v>3426.28</v>
      </c>
      <c r="W337" s="37">
        <f>VLOOKUP(I337,负债!$A:$P,6,0)/100</f>
        <v>7819.79</v>
      </c>
      <c r="X337" s="11">
        <f>VLOOKUP(I337,负债!$A:$P,2,0)/100</f>
        <v>66664.070000000007</v>
      </c>
      <c r="Y337" s="11">
        <f>T337-V337-W337</f>
        <v>55890.359999999993</v>
      </c>
    </row>
    <row r="338" spans="9:25" s="12" customFormat="1" x14ac:dyDescent="0.35">
      <c r="I338" s="24"/>
      <c r="J338" s="11"/>
      <c r="K338" s="11"/>
      <c r="L338" s="11"/>
      <c r="M338" s="11"/>
      <c r="N338" s="11"/>
      <c r="O338" s="11"/>
      <c r="P338" s="11"/>
      <c r="Q338" s="11"/>
      <c r="R338" s="35"/>
      <c r="S338" s="35"/>
      <c r="T338" s="37"/>
      <c r="U338" s="37"/>
      <c r="V338" s="37"/>
      <c r="W338" s="37"/>
      <c r="X338" s="11"/>
      <c r="Y338" s="11"/>
    </row>
    <row r="339" spans="9:25" s="12" customFormat="1" x14ac:dyDescent="0.35">
      <c r="I339" s="24"/>
      <c r="J339" s="11"/>
      <c r="K339" s="11"/>
      <c r="L339" s="11"/>
      <c r="M339" s="11"/>
      <c r="N339" s="11"/>
      <c r="O339" s="11"/>
      <c r="P339" s="11"/>
      <c r="Q339" s="11"/>
      <c r="R339" s="35"/>
      <c r="S339" s="35"/>
      <c r="T339" s="37"/>
      <c r="U339" s="37"/>
      <c r="V339" s="37"/>
      <c r="W339" s="37"/>
      <c r="X339" s="11"/>
      <c r="Y339" s="11"/>
    </row>
    <row r="340" spans="9:25" s="12" customFormat="1" x14ac:dyDescent="0.35">
      <c r="I340" s="24"/>
      <c r="J340" s="11"/>
      <c r="K340" s="11"/>
      <c r="L340" s="11"/>
      <c r="M340" s="11"/>
      <c r="N340" s="11"/>
      <c r="O340" s="11"/>
      <c r="P340" s="11"/>
      <c r="Q340" s="11"/>
      <c r="R340" s="35"/>
      <c r="S340" s="35"/>
      <c r="T340" s="37"/>
      <c r="U340" s="37"/>
      <c r="V340" s="37"/>
      <c r="W340" s="37"/>
      <c r="X340" s="11"/>
      <c r="Y340" s="11"/>
    </row>
    <row r="341" spans="9:25" s="12" customFormat="1" x14ac:dyDescent="0.35">
      <c r="I341" s="24"/>
      <c r="J341" s="11"/>
      <c r="K341" s="11"/>
      <c r="L341" s="11"/>
      <c r="M341" s="11"/>
      <c r="N341" s="11"/>
      <c r="O341" s="11"/>
      <c r="P341" s="11"/>
      <c r="Q341" s="11"/>
      <c r="R341" s="35"/>
      <c r="S341" s="35"/>
      <c r="T341" s="37"/>
      <c r="U341" s="37"/>
      <c r="V341" s="37"/>
      <c r="W341" s="37"/>
      <c r="X341" s="11"/>
      <c r="Y341" s="11"/>
    </row>
    <row r="342" spans="9:25" s="12" customFormat="1" x14ac:dyDescent="0.35">
      <c r="I342" s="24"/>
      <c r="J342" s="11"/>
      <c r="K342" s="11"/>
      <c r="L342" s="11"/>
      <c r="M342" s="11"/>
      <c r="N342" s="11"/>
      <c r="O342" s="11"/>
      <c r="P342" s="11"/>
      <c r="Q342" s="11"/>
      <c r="R342" s="35"/>
      <c r="S342" s="35"/>
      <c r="T342" s="37"/>
      <c r="U342" s="37"/>
      <c r="V342" s="37"/>
      <c r="W342" s="37"/>
      <c r="X342" s="11"/>
      <c r="Y342" s="11"/>
    </row>
    <row r="343" spans="9:25" s="12" customFormat="1" x14ac:dyDescent="0.35">
      <c r="I343" s="24"/>
      <c r="J343" s="11"/>
      <c r="K343" s="11"/>
      <c r="L343" s="11"/>
      <c r="M343" s="11"/>
      <c r="N343" s="11"/>
      <c r="O343" s="11"/>
      <c r="P343" s="11"/>
      <c r="Q343" s="11"/>
      <c r="R343" s="35"/>
      <c r="S343" s="35"/>
      <c r="T343" s="37"/>
      <c r="U343" s="37"/>
      <c r="V343" s="37"/>
      <c r="W343" s="37"/>
      <c r="X343" s="11"/>
      <c r="Y343" s="11"/>
    </row>
    <row r="344" spans="9:25" s="12" customFormat="1" x14ac:dyDescent="0.35">
      <c r="I344" s="24"/>
      <c r="J344" s="11"/>
      <c r="K344" s="11"/>
      <c r="L344" s="11"/>
      <c r="M344" s="11"/>
      <c r="N344" s="11"/>
      <c r="O344" s="11"/>
      <c r="P344" s="11"/>
      <c r="Q344" s="11"/>
      <c r="R344" s="35"/>
      <c r="S344" s="35"/>
      <c r="T344" s="37"/>
      <c r="U344" s="37"/>
      <c r="V344" s="37"/>
      <c r="W344" s="37"/>
      <c r="X344" s="11"/>
      <c r="Y344" s="11"/>
    </row>
    <row r="345" spans="9:25" s="12" customFormat="1" x14ac:dyDescent="0.35">
      <c r="I345" s="24"/>
      <c r="J345" s="11"/>
      <c r="K345" s="11"/>
      <c r="L345" s="11"/>
      <c r="M345" s="11"/>
      <c r="N345" s="11"/>
      <c r="O345" s="11"/>
      <c r="P345" s="11"/>
      <c r="Q345" s="11"/>
      <c r="R345" s="35"/>
      <c r="S345" s="35"/>
      <c r="T345" s="37"/>
      <c r="U345" s="37"/>
      <c r="V345" s="37"/>
      <c r="W345" s="37"/>
      <c r="X345" s="11"/>
      <c r="Y345" s="11"/>
    </row>
    <row r="346" spans="9:25" s="12" customFormat="1" x14ac:dyDescent="0.35">
      <c r="I346" s="24"/>
      <c r="J346" s="11"/>
      <c r="K346" s="11"/>
      <c r="L346" s="11"/>
      <c r="M346" s="11"/>
      <c r="N346" s="11"/>
      <c r="O346" s="11"/>
      <c r="P346" s="11"/>
      <c r="Q346" s="11"/>
      <c r="R346" s="35"/>
      <c r="S346" s="35"/>
      <c r="T346" s="37"/>
      <c r="U346" s="37"/>
      <c r="V346" s="37"/>
      <c r="W346" s="37"/>
      <c r="X346" s="11"/>
      <c r="Y346" s="11"/>
    </row>
    <row r="347" spans="9:25" s="12" customFormat="1" x14ac:dyDescent="0.35">
      <c r="I347" s="24"/>
      <c r="J347" s="11"/>
      <c r="K347" s="11"/>
      <c r="L347" s="11"/>
      <c r="M347" s="11"/>
      <c r="N347" s="11"/>
      <c r="O347" s="11"/>
      <c r="P347" s="11"/>
      <c r="Q347" s="11"/>
      <c r="R347" s="35"/>
      <c r="S347" s="35"/>
      <c r="T347" s="37"/>
      <c r="U347" s="37"/>
      <c r="V347" s="37"/>
      <c r="W347" s="37"/>
      <c r="X347" s="11"/>
      <c r="Y347" s="11"/>
    </row>
    <row r="348" spans="9:25" s="12" customFormat="1" x14ac:dyDescent="0.35">
      <c r="I348" s="24"/>
      <c r="J348" s="11"/>
      <c r="K348" s="11"/>
      <c r="L348" s="11"/>
      <c r="M348" s="11"/>
      <c r="N348" s="11"/>
      <c r="O348" s="11"/>
      <c r="P348" s="11"/>
      <c r="Q348" s="11"/>
      <c r="R348" s="35"/>
      <c r="S348" s="35"/>
      <c r="T348" s="37"/>
      <c r="U348" s="37"/>
      <c r="V348" s="37"/>
      <c r="W348" s="37"/>
      <c r="X348" s="11"/>
      <c r="Y348" s="11"/>
    </row>
    <row r="349" spans="9:25" s="12" customFormat="1" x14ac:dyDescent="0.35">
      <c r="I349" s="24"/>
      <c r="J349" s="11"/>
      <c r="K349" s="11"/>
      <c r="L349" s="11"/>
      <c r="M349" s="11"/>
      <c r="N349" s="11"/>
      <c r="O349" s="11"/>
      <c r="P349" s="11"/>
      <c r="Q349" s="11"/>
      <c r="R349" s="35"/>
      <c r="S349" s="35"/>
      <c r="T349" s="37"/>
      <c r="U349" s="37"/>
      <c r="V349" s="37"/>
      <c r="W349" s="37"/>
      <c r="X349" s="11"/>
      <c r="Y349" s="11"/>
    </row>
    <row r="350" spans="9:25" s="12" customFormat="1" x14ac:dyDescent="0.35">
      <c r="I350" s="24"/>
      <c r="J350" s="11"/>
      <c r="K350" s="11"/>
      <c r="L350" s="11"/>
      <c r="M350" s="11"/>
      <c r="N350" s="11"/>
      <c r="O350" s="11"/>
      <c r="P350" s="11"/>
      <c r="Q350" s="11"/>
      <c r="R350" s="35"/>
      <c r="S350" s="35"/>
      <c r="T350" s="37"/>
      <c r="U350" s="37"/>
      <c r="V350" s="37"/>
      <c r="W350" s="37"/>
      <c r="X350" s="11"/>
      <c r="Y350" s="11"/>
    </row>
    <row r="351" spans="9:25" s="12" customFormat="1" x14ac:dyDescent="0.35">
      <c r="I351" s="24"/>
      <c r="J351" s="11"/>
      <c r="K351" s="11"/>
      <c r="L351" s="11"/>
      <c r="M351" s="11"/>
      <c r="N351" s="11"/>
      <c r="O351" s="11"/>
      <c r="P351" s="11"/>
      <c r="Q351" s="11"/>
      <c r="R351" s="35"/>
      <c r="S351" s="35"/>
      <c r="T351" s="37"/>
      <c r="U351" s="37"/>
      <c r="V351" s="37"/>
      <c r="W351" s="37"/>
      <c r="X351" s="11"/>
      <c r="Y351" s="11"/>
    </row>
    <row r="352" spans="9:25" s="12" customFormat="1" x14ac:dyDescent="0.35">
      <c r="I352" s="24"/>
      <c r="J352" s="11"/>
      <c r="K352" s="11"/>
      <c r="L352" s="11"/>
      <c r="M352" s="11"/>
      <c r="N352" s="11"/>
      <c r="O352" s="11"/>
      <c r="P352" s="11"/>
      <c r="Q352" s="11"/>
      <c r="R352" s="35"/>
      <c r="S352" s="35"/>
      <c r="T352" s="37"/>
      <c r="U352" s="37"/>
      <c r="V352" s="37"/>
      <c r="W352" s="37"/>
      <c r="X352" s="11"/>
      <c r="Y352" s="11"/>
    </row>
    <row r="353" spans="9:25" s="12" customFormat="1" x14ac:dyDescent="0.35">
      <c r="I353" s="24"/>
      <c r="J353" s="11"/>
      <c r="K353" s="11"/>
      <c r="L353" s="11"/>
      <c r="M353" s="11"/>
      <c r="N353" s="11"/>
      <c r="O353" s="11"/>
      <c r="P353" s="11"/>
      <c r="Q353" s="11"/>
      <c r="R353" s="35"/>
      <c r="S353" s="35"/>
      <c r="T353" s="37"/>
      <c r="U353" s="37"/>
      <c r="V353" s="37"/>
      <c r="W353" s="37"/>
      <c r="X353" s="11"/>
      <c r="Y353" s="11"/>
    </row>
    <row r="354" spans="9:25" s="12" customFormat="1" x14ac:dyDescent="0.35">
      <c r="I354" s="24"/>
      <c r="J354" s="11"/>
      <c r="K354" s="11"/>
      <c r="L354" s="11"/>
      <c r="M354" s="11"/>
      <c r="N354" s="11"/>
      <c r="O354" s="11"/>
      <c r="P354" s="11"/>
      <c r="Q354" s="11"/>
      <c r="R354" s="35"/>
      <c r="S354" s="35"/>
      <c r="T354" s="37"/>
      <c r="U354" s="37"/>
      <c r="V354" s="37"/>
      <c r="W354" s="37"/>
      <c r="X354" s="11"/>
      <c r="Y354" s="11"/>
    </row>
    <row r="355" spans="9:25" s="12" customFormat="1" x14ac:dyDescent="0.35">
      <c r="I355" s="24"/>
      <c r="J355" s="11"/>
      <c r="K355" s="11"/>
      <c r="L355" s="11"/>
      <c r="M355" s="11"/>
      <c r="N355" s="11"/>
      <c r="O355" s="11"/>
      <c r="P355" s="11"/>
      <c r="Q355" s="11"/>
      <c r="R355" s="35"/>
      <c r="S355" s="35"/>
      <c r="T355" s="37"/>
      <c r="U355" s="37"/>
      <c r="V355" s="37"/>
      <c r="W355" s="37"/>
      <c r="X355" s="11"/>
      <c r="Y355" s="11"/>
    </row>
    <row r="356" spans="9:25" s="12" customFormat="1" x14ac:dyDescent="0.35">
      <c r="J356" s="11"/>
      <c r="K356" s="11"/>
      <c r="L356" s="11"/>
      <c r="M356" s="11"/>
      <c r="N356" s="11"/>
      <c r="O356" s="11"/>
      <c r="P356" s="11"/>
      <c r="Q356" s="11"/>
      <c r="R356" s="35"/>
      <c r="S356" s="35"/>
      <c r="T356" s="37"/>
      <c r="U356" s="37"/>
      <c r="V356" s="37"/>
      <c r="W356" s="37"/>
      <c r="X356" s="11"/>
      <c r="Y356" s="11"/>
    </row>
    <row r="357" spans="9:25" s="12" customFormat="1" x14ac:dyDescent="0.35">
      <c r="J357" s="11"/>
      <c r="K357" s="11"/>
      <c r="L357" s="11"/>
      <c r="M357" s="11"/>
      <c r="N357" s="11"/>
      <c r="O357" s="11"/>
      <c r="P357" s="11"/>
      <c r="Q357" s="11"/>
      <c r="R357" s="35"/>
      <c r="S357" s="35"/>
      <c r="T357" s="37"/>
      <c r="U357" s="37"/>
      <c r="V357" s="37"/>
      <c r="W357" s="37"/>
      <c r="X357" s="11"/>
      <c r="Y357" s="11"/>
    </row>
    <row r="358" spans="9:25" s="12" customFormat="1" x14ac:dyDescent="0.35">
      <c r="L358" s="11"/>
      <c r="M358" s="11"/>
      <c r="N358" s="11"/>
      <c r="O358" s="11"/>
      <c r="P358" s="11"/>
      <c r="Q358" s="11"/>
      <c r="R358" s="36"/>
      <c r="S358" s="36"/>
      <c r="T358" s="38"/>
      <c r="U358" s="38"/>
      <c r="V358" s="38"/>
      <c r="W358" s="38"/>
    </row>
    <row r="359" spans="9:25" s="12" customFormat="1" x14ac:dyDescent="0.35">
      <c r="L359" s="11"/>
      <c r="M359" s="11"/>
      <c r="N359" s="11"/>
      <c r="O359" s="11"/>
      <c r="P359" s="11"/>
      <c r="Q359" s="11"/>
      <c r="R359" s="36"/>
      <c r="S359" s="36"/>
      <c r="T359" s="38"/>
      <c r="U359" s="38"/>
      <c r="V359" s="38"/>
      <c r="W359" s="38"/>
    </row>
    <row r="360" spans="9:25" s="12" customFormat="1" x14ac:dyDescent="0.35">
      <c r="L360" s="11"/>
      <c r="M360" s="11"/>
      <c r="N360" s="11"/>
      <c r="O360" s="11"/>
      <c r="P360" s="11"/>
      <c r="Q360" s="11"/>
      <c r="R360" s="36"/>
      <c r="S360" s="36"/>
      <c r="T360" s="38"/>
      <c r="U360" s="38"/>
      <c r="V360" s="38"/>
      <c r="W360" s="38"/>
    </row>
    <row r="361" spans="9:25" s="12" customFormat="1" x14ac:dyDescent="0.35">
      <c r="L361" s="11"/>
      <c r="M361" s="11"/>
      <c r="N361" s="11"/>
      <c r="O361" s="11"/>
      <c r="P361" s="11"/>
      <c r="Q361" s="11"/>
      <c r="R361" s="36"/>
      <c r="S361" s="36"/>
      <c r="T361" s="38"/>
      <c r="U361" s="38"/>
      <c r="V361" s="38"/>
      <c r="W361" s="38"/>
    </row>
    <row r="362" spans="9:25" s="12" customFormat="1" x14ac:dyDescent="0.35">
      <c r="L362" s="11"/>
      <c r="M362" s="11"/>
      <c r="N362" s="11"/>
      <c r="O362" s="11"/>
      <c r="P362" s="11"/>
      <c r="Q362" s="11"/>
      <c r="R362" s="36"/>
      <c r="S362" s="36"/>
      <c r="T362" s="38"/>
      <c r="U362" s="38"/>
      <c r="V362" s="38"/>
      <c r="W362" s="38"/>
    </row>
    <row r="363" spans="9:25" s="12" customFormat="1" x14ac:dyDescent="0.35">
      <c r="L363" s="11"/>
      <c r="M363" s="11"/>
      <c r="N363" s="11"/>
      <c r="O363" s="11"/>
      <c r="P363" s="11"/>
      <c r="Q363" s="11"/>
      <c r="R363" s="36"/>
      <c r="S363" s="36"/>
      <c r="T363" s="38"/>
      <c r="U363" s="38"/>
      <c r="V363" s="38"/>
      <c r="W363" s="38"/>
    </row>
    <row r="364" spans="9:25" s="12" customFormat="1" x14ac:dyDescent="0.35">
      <c r="L364" s="11"/>
      <c r="M364" s="11"/>
      <c r="N364" s="11"/>
      <c r="O364" s="11"/>
      <c r="P364" s="11"/>
      <c r="Q364" s="11"/>
      <c r="R364" s="36"/>
      <c r="S364" s="36"/>
      <c r="T364" s="38"/>
      <c r="U364" s="38"/>
      <c r="V364" s="38"/>
      <c r="W364" s="38"/>
    </row>
    <row r="365" spans="9:25" s="12" customFormat="1" x14ac:dyDescent="0.35">
      <c r="L365" s="11"/>
      <c r="M365" s="11"/>
      <c r="N365" s="11"/>
      <c r="O365" s="11"/>
      <c r="P365" s="11"/>
      <c r="Q365" s="11"/>
      <c r="R365" s="36"/>
      <c r="S365" s="36"/>
      <c r="T365" s="38"/>
      <c r="U365" s="38"/>
      <c r="V365" s="38"/>
      <c r="W365" s="38"/>
    </row>
    <row r="366" spans="9:25" s="12" customFormat="1" x14ac:dyDescent="0.35">
      <c r="L366" s="11"/>
      <c r="M366" s="11"/>
      <c r="N366" s="11"/>
      <c r="O366" s="11"/>
      <c r="P366" s="11"/>
      <c r="Q366" s="11"/>
      <c r="R366" s="36"/>
      <c r="S366" s="36"/>
      <c r="T366" s="38"/>
      <c r="U366" s="38"/>
      <c r="V366" s="38"/>
      <c r="W366" s="38"/>
    </row>
    <row r="367" spans="9:25" s="12" customFormat="1" x14ac:dyDescent="0.35">
      <c r="L367" s="11"/>
      <c r="M367" s="11"/>
      <c r="N367" s="11"/>
      <c r="O367" s="11"/>
      <c r="P367" s="11"/>
      <c r="Q367" s="11"/>
      <c r="R367" s="36"/>
      <c r="S367" s="36"/>
      <c r="T367" s="38"/>
      <c r="U367" s="38"/>
      <c r="V367" s="38"/>
      <c r="W367" s="38"/>
    </row>
    <row r="368" spans="9:25" s="12" customFormat="1" x14ac:dyDescent="0.35">
      <c r="L368" s="11"/>
      <c r="M368" s="11"/>
      <c r="N368" s="11"/>
      <c r="O368" s="11"/>
      <c r="P368" s="11"/>
      <c r="Q368" s="11"/>
      <c r="R368" s="36"/>
      <c r="S368" s="36"/>
      <c r="T368" s="38"/>
      <c r="U368" s="38"/>
      <c r="V368" s="38"/>
      <c r="W368" s="38"/>
    </row>
    <row r="369" spans="12:23" s="12" customFormat="1" x14ac:dyDescent="0.35">
      <c r="L369" s="11"/>
      <c r="M369" s="11"/>
      <c r="N369" s="11"/>
      <c r="O369" s="11"/>
      <c r="P369" s="11"/>
      <c r="Q369" s="11"/>
      <c r="R369" s="36"/>
      <c r="S369" s="36"/>
      <c r="T369" s="38"/>
      <c r="U369" s="38"/>
      <c r="V369" s="38"/>
      <c r="W369" s="38"/>
    </row>
    <row r="370" spans="12:23" s="12" customFormat="1" x14ac:dyDescent="0.35">
      <c r="L370" s="11"/>
      <c r="M370" s="11"/>
      <c r="N370" s="11"/>
      <c r="O370" s="11"/>
      <c r="P370" s="11"/>
      <c r="Q370" s="11"/>
      <c r="R370" s="36"/>
      <c r="S370" s="36"/>
      <c r="T370" s="38"/>
      <c r="U370" s="38"/>
      <c r="V370" s="38"/>
      <c r="W370" s="38"/>
    </row>
    <row r="371" spans="12:23" s="12" customFormat="1" x14ac:dyDescent="0.35">
      <c r="L371" s="11"/>
      <c r="M371" s="11"/>
      <c r="N371" s="11"/>
      <c r="O371" s="11"/>
      <c r="P371" s="11"/>
      <c r="Q371" s="11"/>
      <c r="R371" s="36"/>
      <c r="S371" s="36"/>
      <c r="T371" s="38"/>
      <c r="U371" s="38"/>
      <c r="V371" s="38"/>
      <c r="W371" s="38"/>
    </row>
    <row r="372" spans="12:23" s="12" customFormat="1" x14ac:dyDescent="0.35">
      <c r="L372" s="11"/>
      <c r="M372" s="11"/>
      <c r="N372" s="11"/>
      <c r="O372" s="11"/>
      <c r="P372" s="11"/>
      <c r="Q372" s="11"/>
      <c r="R372" s="36"/>
      <c r="S372" s="36"/>
      <c r="T372" s="38"/>
      <c r="U372" s="38"/>
      <c r="V372" s="38"/>
      <c r="W372" s="38"/>
    </row>
    <row r="373" spans="12:23" s="12" customFormat="1" x14ac:dyDescent="0.35">
      <c r="L373" s="11"/>
      <c r="M373" s="11"/>
      <c r="N373" s="11"/>
      <c r="O373" s="11"/>
      <c r="P373" s="11"/>
      <c r="Q373" s="11"/>
      <c r="R373" s="36"/>
      <c r="S373" s="36"/>
      <c r="T373" s="38"/>
      <c r="U373" s="38"/>
      <c r="V373" s="38"/>
      <c r="W373" s="38"/>
    </row>
    <row r="374" spans="12:23" s="12" customFormat="1" x14ac:dyDescent="0.35">
      <c r="L374" s="11"/>
      <c r="M374" s="11"/>
      <c r="N374" s="11"/>
      <c r="O374" s="11"/>
      <c r="P374" s="11"/>
      <c r="Q374" s="11"/>
      <c r="R374" s="36"/>
      <c r="S374" s="36"/>
      <c r="T374" s="38"/>
      <c r="U374" s="38"/>
      <c r="V374" s="38"/>
      <c r="W374" s="38"/>
    </row>
    <row r="375" spans="12:23" s="12" customFormat="1" x14ac:dyDescent="0.35">
      <c r="L375" s="11"/>
      <c r="M375" s="11"/>
      <c r="N375" s="11"/>
      <c r="O375" s="11"/>
      <c r="P375" s="11"/>
      <c r="Q375" s="11"/>
      <c r="R375" s="36"/>
      <c r="S375" s="36"/>
      <c r="T375" s="38"/>
      <c r="U375" s="38"/>
      <c r="V375" s="38"/>
      <c r="W375" s="38"/>
    </row>
    <row r="376" spans="12:23" s="12" customFormat="1" x14ac:dyDescent="0.35">
      <c r="L376" s="11"/>
      <c r="M376" s="11"/>
      <c r="N376" s="11"/>
      <c r="O376" s="11"/>
      <c r="P376" s="11"/>
      <c r="Q376" s="11"/>
      <c r="R376" s="36"/>
      <c r="S376" s="36"/>
      <c r="T376" s="38"/>
      <c r="U376" s="38"/>
      <c r="V376" s="38"/>
      <c r="W376" s="38"/>
    </row>
    <row r="377" spans="12:23" s="12" customFormat="1" x14ac:dyDescent="0.35">
      <c r="L377" s="11"/>
      <c r="M377" s="11"/>
      <c r="N377" s="11"/>
      <c r="O377" s="11"/>
      <c r="P377" s="11"/>
      <c r="Q377" s="11"/>
      <c r="R377" s="36"/>
      <c r="S377" s="36"/>
      <c r="T377" s="38"/>
      <c r="U377" s="38"/>
      <c r="V377" s="38"/>
      <c r="W377" s="38"/>
    </row>
    <row r="378" spans="12:23" s="12" customFormat="1" x14ac:dyDescent="0.35">
      <c r="L378" s="11"/>
      <c r="M378" s="11"/>
      <c r="N378" s="11"/>
      <c r="O378" s="11"/>
      <c r="P378" s="11"/>
      <c r="Q378" s="11"/>
      <c r="R378" s="36"/>
      <c r="S378" s="36"/>
      <c r="T378" s="38"/>
      <c r="U378" s="38"/>
      <c r="V378" s="38"/>
      <c r="W378" s="38"/>
    </row>
    <row r="379" spans="12:23" s="12" customFormat="1" x14ac:dyDescent="0.35">
      <c r="L379" s="11"/>
      <c r="M379" s="11"/>
      <c r="N379" s="11"/>
      <c r="O379" s="11"/>
      <c r="P379" s="11"/>
      <c r="Q379" s="11"/>
      <c r="R379" s="36"/>
      <c r="S379" s="36"/>
      <c r="T379" s="38"/>
      <c r="U379" s="38"/>
      <c r="V379" s="38"/>
      <c r="W379" s="38"/>
    </row>
    <row r="380" spans="12:23" s="12" customFormat="1" x14ac:dyDescent="0.35">
      <c r="L380" s="11"/>
      <c r="M380" s="11"/>
      <c r="N380" s="11"/>
      <c r="O380" s="11"/>
      <c r="P380" s="11"/>
      <c r="Q380" s="11"/>
      <c r="R380" s="36"/>
      <c r="S380" s="36"/>
      <c r="T380" s="38"/>
      <c r="U380" s="38"/>
      <c r="V380" s="38"/>
      <c r="W380" s="38"/>
    </row>
    <row r="381" spans="12:23" s="12" customFormat="1" x14ac:dyDescent="0.35">
      <c r="L381" s="11"/>
      <c r="M381" s="11"/>
      <c r="N381" s="11"/>
      <c r="O381" s="11"/>
      <c r="P381" s="11"/>
      <c r="Q381" s="11"/>
      <c r="R381" s="36"/>
      <c r="S381" s="36"/>
      <c r="T381" s="38"/>
      <c r="U381" s="38"/>
      <c r="V381" s="38"/>
      <c r="W381" s="38"/>
    </row>
    <row r="382" spans="12:23" s="12" customFormat="1" x14ac:dyDescent="0.35">
      <c r="L382" s="11"/>
      <c r="M382" s="11"/>
      <c r="N382" s="11"/>
      <c r="O382" s="11"/>
      <c r="P382" s="11"/>
      <c r="Q382" s="11"/>
      <c r="R382" s="36"/>
      <c r="S382" s="36"/>
      <c r="T382" s="38"/>
      <c r="U382" s="38"/>
      <c r="V382" s="38"/>
      <c r="W382" s="38"/>
    </row>
    <row r="383" spans="12:23" s="12" customFormat="1" x14ac:dyDescent="0.35">
      <c r="L383" s="11"/>
      <c r="M383" s="11"/>
      <c r="N383" s="11"/>
      <c r="O383" s="11"/>
      <c r="P383" s="11"/>
      <c r="Q383" s="11"/>
      <c r="R383" s="36"/>
      <c r="S383" s="36"/>
      <c r="T383" s="38"/>
      <c r="U383" s="38"/>
      <c r="V383" s="38"/>
      <c r="W383" s="38"/>
    </row>
    <row r="384" spans="12:23" s="12" customFormat="1" x14ac:dyDescent="0.35">
      <c r="L384" s="11"/>
      <c r="M384" s="11"/>
      <c r="N384" s="11"/>
      <c r="O384" s="11"/>
      <c r="P384" s="11"/>
      <c r="Q384" s="11"/>
      <c r="R384" s="36"/>
      <c r="S384" s="36"/>
      <c r="T384" s="38"/>
      <c r="U384" s="38"/>
      <c r="V384" s="38"/>
      <c r="W384" s="38"/>
    </row>
    <row r="385" spans="12:23" s="12" customFormat="1" x14ac:dyDescent="0.35">
      <c r="L385" s="11"/>
      <c r="M385" s="11"/>
      <c r="N385" s="11"/>
      <c r="O385" s="11"/>
      <c r="P385" s="11"/>
      <c r="Q385" s="11"/>
      <c r="R385" s="36"/>
      <c r="S385" s="36"/>
      <c r="T385" s="38"/>
      <c r="U385" s="38"/>
      <c r="V385" s="38"/>
      <c r="W385" s="38"/>
    </row>
    <row r="386" spans="12:23" s="12" customFormat="1" x14ac:dyDescent="0.35">
      <c r="L386" s="11"/>
      <c r="M386" s="11"/>
      <c r="N386" s="11"/>
      <c r="O386" s="11"/>
      <c r="P386" s="11"/>
      <c r="Q386" s="11"/>
      <c r="R386" s="36"/>
      <c r="S386" s="36"/>
      <c r="T386" s="38"/>
      <c r="U386" s="38"/>
      <c r="V386" s="38"/>
      <c r="W386" s="38"/>
    </row>
    <row r="387" spans="12:23" s="12" customFormat="1" x14ac:dyDescent="0.35">
      <c r="L387" s="11"/>
      <c r="M387" s="11"/>
      <c r="N387" s="11"/>
      <c r="O387" s="11"/>
      <c r="P387" s="11"/>
      <c r="Q387" s="11"/>
      <c r="R387" s="36"/>
      <c r="S387" s="36"/>
      <c r="T387" s="38"/>
      <c r="U387" s="38"/>
      <c r="V387" s="38"/>
      <c r="W387" s="38"/>
    </row>
    <row r="388" spans="12:23" s="12" customFormat="1" x14ac:dyDescent="0.35">
      <c r="L388" s="11"/>
      <c r="M388" s="11"/>
      <c r="N388" s="11"/>
      <c r="O388" s="11"/>
      <c r="P388" s="11"/>
      <c r="Q388" s="11"/>
      <c r="R388" s="36"/>
      <c r="S388" s="36"/>
      <c r="T388" s="38"/>
      <c r="U388" s="38"/>
      <c r="V388" s="38"/>
      <c r="W388" s="38"/>
    </row>
    <row r="389" spans="12:23" s="12" customFormat="1" x14ac:dyDescent="0.35">
      <c r="L389" s="11"/>
      <c r="M389" s="11"/>
      <c r="N389" s="11"/>
      <c r="O389" s="11"/>
      <c r="P389" s="11"/>
      <c r="Q389" s="11"/>
      <c r="R389" s="36"/>
      <c r="S389" s="36"/>
      <c r="T389" s="38"/>
      <c r="U389" s="38"/>
      <c r="V389" s="38"/>
      <c r="W389" s="38"/>
    </row>
    <row r="390" spans="12:23" s="12" customFormat="1" x14ac:dyDescent="0.35">
      <c r="L390" s="11"/>
      <c r="M390" s="11"/>
      <c r="N390" s="11"/>
      <c r="O390" s="11"/>
      <c r="P390" s="11"/>
      <c r="Q390" s="11"/>
      <c r="R390" s="36"/>
      <c r="S390" s="36"/>
      <c r="T390" s="38"/>
      <c r="U390" s="38"/>
      <c r="V390" s="38"/>
      <c r="W390" s="38"/>
    </row>
    <row r="391" spans="12:23" s="12" customFormat="1" x14ac:dyDescent="0.35">
      <c r="L391" s="11"/>
      <c r="M391" s="11"/>
      <c r="N391" s="11"/>
      <c r="O391" s="11"/>
      <c r="P391" s="11"/>
      <c r="Q391" s="11"/>
      <c r="R391" s="36"/>
      <c r="S391" s="36"/>
      <c r="T391" s="38"/>
      <c r="U391" s="38"/>
      <c r="V391" s="38"/>
      <c r="W391" s="38"/>
    </row>
    <row r="392" spans="12:23" s="12" customFormat="1" x14ac:dyDescent="0.35">
      <c r="L392" s="11"/>
      <c r="M392" s="11"/>
      <c r="N392" s="11"/>
      <c r="O392" s="11"/>
      <c r="P392" s="11"/>
      <c r="Q392" s="11"/>
      <c r="R392" s="36"/>
      <c r="S392" s="36"/>
      <c r="T392" s="38"/>
      <c r="U392" s="38"/>
      <c r="V392" s="38"/>
      <c r="W392" s="38"/>
    </row>
    <row r="393" spans="12:23" s="12" customFormat="1" x14ac:dyDescent="0.35">
      <c r="L393" s="11"/>
      <c r="M393" s="11"/>
      <c r="N393" s="11"/>
      <c r="O393" s="11"/>
      <c r="P393" s="11"/>
      <c r="Q393" s="11"/>
      <c r="R393" s="36"/>
      <c r="S393" s="36"/>
      <c r="T393" s="38"/>
      <c r="U393" s="38"/>
      <c r="V393" s="38"/>
      <c r="W393" s="38"/>
    </row>
    <row r="394" spans="12:23" s="12" customFormat="1" x14ac:dyDescent="0.35">
      <c r="L394" s="11"/>
      <c r="M394" s="11"/>
      <c r="N394" s="11"/>
      <c r="O394" s="11"/>
      <c r="P394" s="11"/>
      <c r="Q394" s="11"/>
      <c r="R394" s="36"/>
      <c r="S394" s="36"/>
      <c r="T394" s="38"/>
      <c r="U394" s="38"/>
      <c r="V394" s="38"/>
      <c r="W394" s="38"/>
    </row>
    <row r="395" spans="12:23" s="12" customFormat="1" x14ac:dyDescent="0.35">
      <c r="L395" s="11"/>
      <c r="M395" s="11"/>
      <c r="N395" s="11"/>
      <c r="O395" s="11"/>
      <c r="P395" s="11"/>
      <c r="Q395" s="11"/>
      <c r="R395" s="36"/>
      <c r="S395" s="36"/>
      <c r="T395" s="38"/>
      <c r="U395" s="38"/>
      <c r="V395" s="38"/>
      <c r="W395" s="38"/>
    </row>
    <row r="396" spans="12:23" s="12" customFormat="1" x14ac:dyDescent="0.35">
      <c r="L396" s="11"/>
      <c r="M396" s="11"/>
      <c r="N396" s="11"/>
      <c r="O396" s="11"/>
      <c r="P396" s="11"/>
      <c r="Q396" s="11"/>
      <c r="R396" s="36"/>
      <c r="S396" s="36"/>
      <c r="T396" s="38"/>
      <c r="U396" s="38"/>
      <c r="V396" s="38"/>
      <c r="W396" s="38"/>
    </row>
    <row r="397" spans="12:23" s="12" customFormat="1" x14ac:dyDescent="0.35">
      <c r="L397" s="11"/>
      <c r="M397" s="11"/>
      <c r="N397" s="11"/>
      <c r="O397" s="11"/>
      <c r="P397" s="11"/>
      <c r="Q397" s="11"/>
      <c r="R397" s="36"/>
      <c r="S397" s="36"/>
      <c r="T397" s="38"/>
      <c r="U397" s="38"/>
      <c r="V397" s="38"/>
      <c r="W397" s="38"/>
    </row>
    <row r="398" spans="12:23" s="12" customFormat="1" x14ac:dyDescent="0.35">
      <c r="L398" s="11"/>
      <c r="M398" s="11"/>
      <c r="N398" s="11"/>
      <c r="O398" s="11"/>
      <c r="P398" s="11"/>
      <c r="Q398" s="11"/>
      <c r="R398" s="36"/>
      <c r="S398" s="36"/>
      <c r="T398" s="38"/>
      <c r="U398" s="38"/>
      <c r="V398" s="38"/>
      <c r="W398" s="38"/>
    </row>
    <row r="399" spans="12:23" s="12" customFormat="1" x14ac:dyDescent="0.35">
      <c r="L399" s="11"/>
      <c r="M399" s="11"/>
      <c r="N399" s="11"/>
      <c r="O399" s="11"/>
      <c r="P399" s="11"/>
      <c r="Q399" s="11"/>
      <c r="R399" s="36"/>
      <c r="S399" s="36"/>
      <c r="T399" s="38"/>
      <c r="U399" s="38"/>
      <c r="V399" s="38"/>
      <c r="W399" s="38"/>
    </row>
    <row r="400" spans="12:23" s="12" customFormat="1" x14ac:dyDescent="0.35">
      <c r="L400" s="11"/>
      <c r="M400" s="11"/>
      <c r="N400" s="11"/>
      <c r="O400" s="11"/>
      <c r="P400" s="11"/>
      <c r="Q400" s="11"/>
      <c r="R400" s="36"/>
      <c r="S400" s="36"/>
      <c r="T400" s="38"/>
      <c r="U400" s="38"/>
      <c r="V400" s="38"/>
      <c r="W400" s="38"/>
    </row>
    <row r="401" spans="12:23" s="12" customFormat="1" x14ac:dyDescent="0.35">
      <c r="L401" s="11"/>
      <c r="M401" s="11"/>
      <c r="N401" s="11"/>
      <c r="O401" s="11"/>
      <c r="P401" s="11"/>
      <c r="Q401" s="11"/>
      <c r="R401" s="36"/>
      <c r="S401" s="36"/>
      <c r="T401" s="38"/>
      <c r="U401" s="38"/>
      <c r="V401" s="38"/>
      <c r="W401" s="38"/>
    </row>
    <row r="402" spans="12:23" s="12" customFormat="1" x14ac:dyDescent="0.35">
      <c r="L402" s="11"/>
      <c r="M402" s="11"/>
      <c r="N402" s="11"/>
      <c r="O402" s="11"/>
      <c r="P402" s="11"/>
      <c r="Q402" s="11"/>
      <c r="R402" s="36"/>
      <c r="S402" s="36"/>
      <c r="T402" s="38"/>
      <c r="U402" s="38"/>
      <c r="V402" s="38"/>
      <c r="W402" s="38"/>
    </row>
    <row r="403" spans="12:23" s="12" customFormat="1" x14ac:dyDescent="0.35">
      <c r="L403" s="11"/>
      <c r="M403" s="11"/>
      <c r="N403" s="11"/>
      <c r="O403" s="11"/>
      <c r="P403" s="11"/>
      <c r="Q403" s="11"/>
      <c r="R403" s="36"/>
      <c r="S403" s="36"/>
      <c r="T403" s="38"/>
      <c r="U403" s="38"/>
      <c r="V403" s="38"/>
      <c r="W403" s="38"/>
    </row>
    <row r="404" spans="12:23" s="12" customFormat="1" x14ac:dyDescent="0.35">
      <c r="L404" s="11"/>
      <c r="M404" s="11"/>
      <c r="N404" s="11"/>
      <c r="O404" s="11"/>
      <c r="P404" s="11"/>
      <c r="Q404" s="11"/>
      <c r="R404" s="36"/>
      <c r="S404" s="36"/>
      <c r="T404" s="38"/>
      <c r="U404" s="38"/>
      <c r="V404" s="38"/>
      <c r="W404" s="38"/>
    </row>
    <row r="405" spans="12:23" s="12" customFormat="1" x14ac:dyDescent="0.35">
      <c r="L405" s="11"/>
      <c r="M405" s="11"/>
      <c r="N405" s="11"/>
      <c r="O405" s="11"/>
      <c r="P405" s="11"/>
      <c r="Q405" s="11"/>
      <c r="R405" s="36"/>
      <c r="S405" s="36"/>
      <c r="T405" s="38"/>
      <c r="U405" s="38"/>
      <c r="V405" s="38"/>
      <c r="W405" s="38"/>
    </row>
    <row r="406" spans="12:23" s="12" customFormat="1" x14ac:dyDescent="0.35">
      <c r="L406" s="11"/>
      <c r="M406" s="11"/>
      <c r="N406" s="11"/>
      <c r="O406" s="11"/>
      <c r="P406" s="11"/>
      <c r="Q406" s="11"/>
      <c r="R406" s="36"/>
      <c r="S406" s="36"/>
      <c r="T406" s="38"/>
      <c r="U406" s="38"/>
      <c r="V406" s="38"/>
      <c r="W406" s="38"/>
    </row>
    <row r="407" spans="12:23" s="12" customFormat="1" x14ac:dyDescent="0.35">
      <c r="L407" s="11"/>
      <c r="M407" s="11"/>
      <c r="N407" s="11"/>
      <c r="O407" s="11"/>
      <c r="P407" s="11"/>
      <c r="Q407" s="11"/>
      <c r="R407" s="36"/>
      <c r="S407" s="36"/>
      <c r="T407" s="38"/>
      <c r="U407" s="38"/>
      <c r="V407" s="38"/>
      <c r="W407" s="38"/>
    </row>
    <row r="408" spans="12:23" s="12" customFormat="1" x14ac:dyDescent="0.35">
      <c r="L408" s="11"/>
      <c r="M408" s="11"/>
      <c r="N408" s="11"/>
      <c r="O408" s="11"/>
      <c r="P408" s="11"/>
      <c r="Q408" s="11"/>
      <c r="R408" s="36"/>
      <c r="S408" s="36"/>
      <c r="T408" s="38"/>
      <c r="U408" s="38"/>
      <c r="V408" s="38"/>
      <c r="W408" s="38"/>
    </row>
    <row r="409" spans="12:23" s="12" customFormat="1" x14ac:dyDescent="0.35">
      <c r="L409" s="11"/>
      <c r="M409" s="11"/>
      <c r="N409" s="11"/>
      <c r="O409" s="11"/>
      <c r="P409" s="11"/>
      <c r="Q409" s="11"/>
      <c r="R409" s="36"/>
      <c r="S409" s="36"/>
      <c r="T409" s="38"/>
      <c r="U409" s="38"/>
      <c r="V409" s="38"/>
      <c r="W409" s="38"/>
    </row>
    <row r="410" spans="12:23" s="12" customFormat="1" x14ac:dyDescent="0.35">
      <c r="L410" s="11"/>
      <c r="M410" s="11"/>
      <c r="N410" s="11"/>
      <c r="O410" s="11"/>
      <c r="P410" s="11"/>
      <c r="Q410" s="11"/>
      <c r="R410" s="36"/>
      <c r="S410" s="36"/>
      <c r="T410" s="38"/>
      <c r="U410" s="38"/>
      <c r="V410" s="38"/>
      <c r="W410" s="38"/>
    </row>
    <row r="411" spans="12:23" s="12" customFormat="1" x14ac:dyDescent="0.35">
      <c r="L411" s="11"/>
      <c r="M411" s="11"/>
      <c r="N411" s="11"/>
      <c r="O411" s="11"/>
      <c r="P411" s="11"/>
      <c r="Q411" s="11"/>
      <c r="R411" s="36"/>
      <c r="S411" s="36"/>
      <c r="T411" s="38"/>
      <c r="U411" s="38"/>
      <c r="V411" s="38"/>
      <c r="W411" s="38"/>
    </row>
    <row r="412" spans="12:23" s="12" customFormat="1" x14ac:dyDescent="0.35">
      <c r="L412" s="11"/>
      <c r="M412" s="11"/>
      <c r="N412" s="11"/>
      <c r="O412" s="11"/>
      <c r="P412" s="11"/>
      <c r="Q412" s="11"/>
      <c r="R412" s="36"/>
      <c r="S412" s="36"/>
      <c r="T412" s="38"/>
      <c r="U412" s="38"/>
      <c r="V412" s="38"/>
      <c r="W412" s="38"/>
    </row>
    <row r="413" spans="12:23" s="12" customFormat="1" x14ac:dyDescent="0.35">
      <c r="L413" s="11"/>
      <c r="M413" s="11"/>
      <c r="N413" s="11"/>
      <c r="O413" s="11"/>
      <c r="P413" s="11"/>
      <c r="Q413" s="11"/>
      <c r="R413" s="36"/>
      <c r="S413" s="36"/>
      <c r="T413" s="38"/>
      <c r="U413" s="38"/>
      <c r="V413" s="38"/>
      <c r="W413" s="38"/>
    </row>
    <row r="414" spans="12:23" s="12" customFormat="1" x14ac:dyDescent="0.35">
      <c r="L414" s="11"/>
      <c r="M414" s="11"/>
      <c r="N414" s="11"/>
      <c r="O414" s="11"/>
      <c r="P414" s="11"/>
      <c r="Q414" s="11"/>
      <c r="R414" s="36"/>
      <c r="S414" s="36"/>
      <c r="T414" s="38"/>
      <c r="U414" s="38"/>
      <c r="V414" s="38"/>
      <c r="W414" s="38"/>
    </row>
    <row r="415" spans="12:23" s="12" customFormat="1" x14ac:dyDescent="0.35">
      <c r="L415" s="11"/>
      <c r="M415" s="11"/>
      <c r="N415" s="11"/>
      <c r="O415" s="11"/>
      <c r="P415" s="11"/>
      <c r="Q415" s="11"/>
      <c r="R415" s="36"/>
      <c r="S415" s="36"/>
      <c r="T415" s="38"/>
      <c r="U415" s="38"/>
      <c r="V415" s="38"/>
      <c r="W415" s="38"/>
    </row>
    <row r="416" spans="12:23" s="12" customFormat="1" x14ac:dyDescent="0.35">
      <c r="L416" s="11"/>
      <c r="M416" s="11"/>
      <c r="N416" s="11"/>
      <c r="O416" s="11"/>
      <c r="P416" s="11"/>
      <c r="Q416" s="11"/>
      <c r="R416" s="36"/>
      <c r="S416" s="36"/>
      <c r="T416" s="38"/>
      <c r="U416" s="38"/>
      <c r="V416" s="38"/>
      <c r="W416" s="38"/>
    </row>
    <row r="417" spans="12:23" s="12" customFormat="1" x14ac:dyDescent="0.35">
      <c r="L417" s="11"/>
      <c r="M417" s="11"/>
      <c r="N417" s="11"/>
      <c r="O417" s="11"/>
      <c r="P417" s="11"/>
      <c r="Q417" s="11"/>
      <c r="R417" s="36"/>
      <c r="S417" s="36"/>
      <c r="T417" s="38"/>
      <c r="U417" s="38"/>
      <c r="V417" s="38"/>
      <c r="W417" s="38"/>
    </row>
    <row r="418" spans="12:23" s="12" customFormat="1" x14ac:dyDescent="0.35">
      <c r="L418" s="11"/>
      <c r="M418" s="11"/>
      <c r="N418" s="11"/>
      <c r="O418" s="11"/>
      <c r="P418" s="11"/>
      <c r="Q418" s="11"/>
      <c r="R418" s="36"/>
      <c r="S418" s="36"/>
      <c r="T418" s="38"/>
      <c r="U418" s="38"/>
      <c r="V418" s="38"/>
      <c r="W418" s="38"/>
    </row>
    <row r="419" spans="12:23" s="12" customFormat="1" x14ac:dyDescent="0.35">
      <c r="L419" s="11"/>
      <c r="M419" s="11"/>
      <c r="N419" s="11"/>
      <c r="O419" s="11"/>
      <c r="P419" s="11"/>
      <c r="Q419" s="11"/>
      <c r="R419" s="36"/>
      <c r="S419" s="36"/>
      <c r="T419" s="38"/>
      <c r="U419" s="38"/>
      <c r="V419" s="38"/>
      <c r="W419" s="38"/>
    </row>
    <row r="420" spans="12:23" s="12" customFormat="1" x14ac:dyDescent="0.35">
      <c r="L420" s="11"/>
      <c r="M420" s="11"/>
      <c r="N420" s="11"/>
      <c r="O420" s="11"/>
      <c r="P420" s="11"/>
      <c r="Q420" s="11"/>
      <c r="R420" s="36"/>
      <c r="S420" s="36"/>
      <c r="T420" s="38"/>
      <c r="U420" s="38"/>
      <c r="V420" s="38"/>
      <c r="W420" s="38"/>
    </row>
    <row r="421" spans="12:23" s="12" customFormat="1" x14ac:dyDescent="0.35">
      <c r="L421" s="11"/>
      <c r="M421" s="11"/>
      <c r="N421" s="11"/>
      <c r="O421" s="11"/>
      <c r="P421" s="11"/>
      <c r="Q421" s="11"/>
      <c r="R421" s="36"/>
      <c r="S421" s="36"/>
      <c r="T421" s="38"/>
      <c r="U421" s="38"/>
      <c r="V421" s="38"/>
      <c r="W421" s="38"/>
    </row>
    <row r="422" spans="12:23" s="12" customFormat="1" x14ac:dyDescent="0.35">
      <c r="L422" s="11"/>
      <c r="M422" s="11"/>
      <c r="N422" s="11"/>
      <c r="O422" s="11"/>
      <c r="P422" s="11"/>
      <c r="Q422" s="11"/>
      <c r="R422" s="36"/>
      <c r="S422" s="36"/>
      <c r="T422" s="38"/>
      <c r="U422" s="38"/>
      <c r="V422" s="38"/>
      <c r="W422" s="38"/>
    </row>
    <row r="423" spans="12:23" s="12" customFormat="1" x14ac:dyDescent="0.35">
      <c r="L423" s="11"/>
      <c r="M423" s="11"/>
      <c r="N423" s="11"/>
      <c r="O423" s="11"/>
      <c r="P423" s="11"/>
      <c r="Q423" s="11"/>
      <c r="R423" s="36"/>
      <c r="S423" s="36"/>
      <c r="T423" s="38"/>
      <c r="U423" s="38"/>
      <c r="V423" s="38"/>
      <c r="W423" s="38"/>
    </row>
    <row r="424" spans="12:23" s="12" customFormat="1" x14ac:dyDescent="0.35">
      <c r="L424" s="11"/>
      <c r="M424" s="11"/>
      <c r="N424" s="11"/>
      <c r="O424" s="11"/>
      <c r="P424" s="11"/>
      <c r="Q424" s="11"/>
      <c r="R424" s="36"/>
      <c r="S424" s="36"/>
      <c r="T424" s="38"/>
      <c r="U424" s="38"/>
      <c r="V424" s="38"/>
      <c r="W424" s="38"/>
    </row>
    <row r="425" spans="12:23" s="12" customFormat="1" x14ac:dyDescent="0.35">
      <c r="L425" s="11"/>
      <c r="M425" s="11"/>
      <c r="N425" s="11"/>
      <c r="O425" s="11"/>
      <c r="P425" s="11"/>
      <c r="Q425" s="11"/>
      <c r="R425" s="36"/>
      <c r="S425" s="36"/>
      <c r="T425" s="38"/>
      <c r="U425" s="38"/>
      <c r="V425" s="38"/>
      <c r="W425" s="38"/>
    </row>
    <row r="426" spans="12:23" s="12" customFormat="1" x14ac:dyDescent="0.35">
      <c r="L426" s="11"/>
      <c r="M426" s="11"/>
      <c r="N426" s="11"/>
      <c r="O426" s="11"/>
      <c r="P426" s="11"/>
      <c r="Q426" s="11"/>
      <c r="R426" s="36"/>
      <c r="S426" s="36"/>
      <c r="T426" s="38"/>
      <c r="U426" s="38"/>
      <c r="V426" s="38"/>
      <c r="W426" s="38"/>
    </row>
    <row r="427" spans="12:23" s="12" customFormat="1" x14ac:dyDescent="0.35">
      <c r="L427" s="11"/>
      <c r="M427" s="11"/>
      <c r="N427" s="11"/>
      <c r="O427" s="11"/>
      <c r="P427" s="11"/>
      <c r="Q427" s="11"/>
      <c r="R427" s="36"/>
      <c r="S427" s="36"/>
      <c r="T427" s="38"/>
      <c r="U427" s="38"/>
      <c r="V427" s="38"/>
      <c r="W427" s="38"/>
    </row>
    <row r="428" spans="12:23" s="12" customFormat="1" x14ac:dyDescent="0.35">
      <c r="L428" s="11"/>
      <c r="M428" s="11"/>
      <c r="N428" s="11"/>
      <c r="O428" s="11"/>
      <c r="P428" s="11"/>
      <c r="Q428" s="11"/>
      <c r="R428" s="36"/>
      <c r="S428" s="36"/>
      <c r="T428" s="38"/>
      <c r="U428" s="38"/>
      <c r="V428" s="38"/>
      <c r="W428" s="38"/>
    </row>
    <row r="429" spans="12:23" s="12" customFormat="1" x14ac:dyDescent="0.35">
      <c r="L429" s="11"/>
      <c r="M429" s="11"/>
      <c r="N429" s="11"/>
      <c r="O429" s="11"/>
      <c r="P429" s="11"/>
      <c r="Q429" s="11"/>
      <c r="R429" s="36"/>
      <c r="S429" s="36"/>
      <c r="T429" s="38"/>
      <c r="U429" s="38"/>
      <c r="V429" s="38"/>
      <c r="W429" s="38"/>
    </row>
    <row r="430" spans="12:23" s="12" customFormat="1" x14ac:dyDescent="0.35">
      <c r="L430" s="11"/>
      <c r="M430" s="11"/>
      <c r="N430" s="11"/>
      <c r="O430" s="11"/>
      <c r="P430" s="11"/>
      <c r="Q430" s="11"/>
      <c r="R430" s="36"/>
      <c r="S430" s="36"/>
      <c r="T430" s="38"/>
      <c r="U430" s="38"/>
      <c r="V430" s="38"/>
      <c r="W430" s="38"/>
    </row>
    <row r="431" spans="12:23" s="12" customFormat="1" x14ac:dyDescent="0.35">
      <c r="L431" s="11"/>
      <c r="M431" s="11"/>
      <c r="N431" s="11"/>
      <c r="O431" s="11"/>
      <c r="P431" s="11"/>
      <c r="Q431" s="11"/>
      <c r="R431" s="36"/>
      <c r="S431" s="36"/>
      <c r="T431" s="38"/>
      <c r="U431" s="38"/>
      <c r="V431" s="38"/>
      <c r="W431" s="38"/>
    </row>
    <row r="432" spans="12:23" s="12" customFormat="1" x14ac:dyDescent="0.35">
      <c r="L432" s="11"/>
      <c r="M432" s="11"/>
      <c r="N432" s="11"/>
      <c r="O432" s="11"/>
      <c r="P432" s="11"/>
      <c r="Q432" s="11"/>
      <c r="R432" s="36"/>
      <c r="S432" s="36"/>
      <c r="T432" s="38"/>
      <c r="U432" s="38"/>
      <c r="V432" s="38"/>
      <c r="W432" s="38"/>
    </row>
    <row r="433" spans="12:23" s="12" customFormat="1" x14ac:dyDescent="0.35">
      <c r="L433" s="11"/>
      <c r="M433" s="11"/>
      <c r="N433" s="11"/>
      <c r="O433" s="11"/>
      <c r="P433" s="11"/>
      <c r="Q433" s="11"/>
      <c r="R433" s="36"/>
      <c r="S433" s="36"/>
      <c r="T433" s="38"/>
      <c r="U433" s="38"/>
      <c r="V433" s="38"/>
      <c r="W433" s="38"/>
    </row>
    <row r="434" spans="12:23" s="12" customFormat="1" x14ac:dyDescent="0.35">
      <c r="L434" s="11"/>
      <c r="M434" s="11"/>
      <c r="N434" s="11"/>
      <c r="O434" s="11"/>
      <c r="P434" s="11"/>
      <c r="Q434" s="11"/>
      <c r="R434" s="36"/>
      <c r="S434" s="36"/>
      <c r="T434" s="38"/>
      <c r="U434" s="38"/>
      <c r="V434" s="38"/>
      <c r="W434" s="38"/>
    </row>
    <row r="435" spans="12:23" s="12" customFormat="1" x14ac:dyDescent="0.35">
      <c r="L435" s="11"/>
      <c r="M435" s="11"/>
      <c r="N435" s="11"/>
      <c r="O435" s="11"/>
      <c r="P435" s="11"/>
      <c r="Q435" s="11"/>
      <c r="R435" s="36"/>
      <c r="S435" s="36"/>
      <c r="T435" s="38"/>
      <c r="U435" s="38"/>
      <c r="V435" s="38"/>
      <c r="W435" s="38"/>
    </row>
    <row r="436" spans="12:23" s="12" customFormat="1" x14ac:dyDescent="0.35">
      <c r="L436" s="11"/>
      <c r="M436" s="11"/>
      <c r="N436" s="11"/>
      <c r="O436" s="11"/>
      <c r="P436" s="11"/>
      <c r="Q436" s="11"/>
      <c r="R436" s="36"/>
      <c r="S436" s="36"/>
      <c r="T436" s="38"/>
      <c r="U436" s="38"/>
      <c r="V436" s="38"/>
      <c r="W436" s="38"/>
    </row>
    <row r="437" spans="12:23" s="12" customFormat="1" x14ac:dyDescent="0.35">
      <c r="L437" s="11"/>
      <c r="M437" s="11"/>
      <c r="N437" s="11"/>
      <c r="O437" s="11"/>
      <c r="P437" s="11"/>
      <c r="Q437" s="11"/>
      <c r="R437" s="36"/>
      <c r="S437" s="36"/>
      <c r="T437" s="38"/>
      <c r="U437" s="38"/>
      <c r="V437" s="38"/>
      <c r="W437" s="38"/>
    </row>
    <row r="438" spans="12:23" s="12" customFormat="1" x14ac:dyDescent="0.35">
      <c r="L438" s="11"/>
      <c r="M438" s="11"/>
      <c r="N438" s="11"/>
      <c r="O438" s="11"/>
      <c r="P438" s="11"/>
      <c r="Q438" s="11"/>
      <c r="R438" s="36"/>
      <c r="S438" s="36"/>
      <c r="T438" s="38"/>
      <c r="U438" s="38"/>
      <c r="V438" s="38"/>
      <c r="W438" s="38"/>
    </row>
    <row r="439" spans="12:23" s="12" customFormat="1" x14ac:dyDescent="0.35">
      <c r="L439" s="11"/>
      <c r="M439" s="11"/>
      <c r="N439" s="11"/>
      <c r="O439" s="11"/>
      <c r="P439" s="11"/>
      <c r="Q439" s="11"/>
      <c r="R439" s="36"/>
      <c r="S439" s="36"/>
      <c r="T439" s="38"/>
      <c r="U439" s="38"/>
      <c r="V439" s="38"/>
      <c r="W439" s="38"/>
    </row>
    <row r="440" spans="12:23" s="12" customFormat="1" x14ac:dyDescent="0.35">
      <c r="L440" s="11"/>
      <c r="M440" s="11"/>
      <c r="N440" s="11"/>
      <c r="O440" s="11"/>
      <c r="P440" s="11"/>
      <c r="Q440" s="11"/>
      <c r="R440" s="36"/>
      <c r="S440" s="36"/>
      <c r="T440" s="38"/>
      <c r="U440" s="38"/>
      <c r="V440" s="38"/>
      <c r="W440" s="38"/>
    </row>
    <row r="441" spans="12:23" s="12" customFormat="1" x14ac:dyDescent="0.35">
      <c r="L441" s="11"/>
      <c r="M441" s="11"/>
      <c r="N441" s="11"/>
      <c r="O441" s="11"/>
      <c r="P441" s="11"/>
      <c r="Q441" s="11"/>
      <c r="R441" s="36"/>
      <c r="S441" s="36"/>
      <c r="T441" s="38"/>
      <c r="U441" s="38"/>
      <c r="V441" s="38"/>
      <c r="W441" s="38"/>
    </row>
    <row r="442" spans="12:23" s="12" customFormat="1" x14ac:dyDescent="0.35">
      <c r="L442" s="11"/>
      <c r="M442" s="11"/>
      <c r="N442" s="11"/>
      <c r="O442" s="11"/>
      <c r="P442" s="11"/>
      <c r="Q442" s="11"/>
      <c r="R442" s="36"/>
      <c r="S442" s="36"/>
      <c r="T442" s="38"/>
      <c r="U442" s="38"/>
      <c r="V442" s="38"/>
      <c r="W442" s="38"/>
    </row>
    <row r="443" spans="12:23" s="12" customFormat="1" x14ac:dyDescent="0.35">
      <c r="L443" s="11"/>
      <c r="M443" s="11"/>
      <c r="N443" s="11"/>
      <c r="O443" s="11"/>
      <c r="P443" s="11"/>
      <c r="Q443" s="11"/>
      <c r="R443" s="36"/>
      <c r="S443" s="36"/>
      <c r="T443" s="38"/>
      <c r="U443" s="38"/>
      <c r="V443" s="38"/>
      <c r="W443" s="38"/>
    </row>
    <row r="444" spans="12:23" s="12" customFormat="1" x14ac:dyDescent="0.35">
      <c r="L444" s="11"/>
      <c r="M444" s="11"/>
      <c r="N444" s="11"/>
      <c r="O444" s="11"/>
      <c r="P444" s="11"/>
      <c r="Q444" s="11"/>
      <c r="R444" s="36"/>
      <c r="S444" s="36"/>
      <c r="T444" s="38"/>
      <c r="U444" s="38"/>
      <c r="V444" s="38"/>
      <c r="W444" s="38"/>
    </row>
    <row r="445" spans="12:23" s="12" customFormat="1" x14ac:dyDescent="0.35">
      <c r="L445" s="11"/>
      <c r="M445" s="11"/>
      <c r="N445" s="11"/>
      <c r="O445" s="11"/>
      <c r="P445" s="11"/>
      <c r="Q445" s="11"/>
      <c r="R445" s="36"/>
      <c r="S445" s="36"/>
      <c r="T445" s="38"/>
      <c r="U445" s="38"/>
      <c r="V445" s="38"/>
      <c r="W445" s="38"/>
    </row>
    <row r="446" spans="12:23" s="12" customFormat="1" x14ac:dyDescent="0.35">
      <c r="L446" s="11"/>
      <c r="M446" s="11"/>
      <c r="N446" s="11"/>
      <c r="O446" s="11"/>
      <c r="P446" s="11"/>
      <c r="Q446" s="11"/>
      <c r="R446" s="36"/>
      <c r="S446" s="36"/>
      <c r="T446" s="38"/>
      <c r="U446" s="38"/>
      <c r="V446" s="38"/>
      <c r="W446" s="38"/>
    </row>
    <row r="447" spans="12:23" s="12" customFormat="1" x14ac:dyDescent="0.35">
      <c r="L447" s="11"/>
      <c r="M447" s="11"/>
      <c r="N447" s="11"/>
      <c r="O447" s="11"/>
      <c r="P447" s="11"/>
      <c r="Q447" s="11"/>
      <c r="R447" s="36"/>
      <c r="S447" s="36"/>
      <c r="T447" s="38"/>
      <c r="U447" s="38"/>
      <c r="V447" s="38"/>
      <c r="W447" s="38"/>
    </row>
    <row r="448" spans="12:23" s="12" customFormat="1" x14ac:dyDescent="0.35">
      <c r="L448" s="11"/>
      <c r="M448" s="11"/>
      <c r="N448" s="11"/>
      <c r="O448" s="11"/>
      <c r="P448" s="11"/>
      <c r="Q448" s="11"/>
      <c r="R448" s="36"/>
      <c r="S448" s="36"/>
      <c r="T448" s="38"/>
      <c r="U448" s="38"/>
      <c r="V448" s="38"/>
      <c r="W448" s="38"/>
    </row>
    <row r="449" spans="12:23" s="12" customFormat="1" x14ac:dyDescent="0.35">
      <c r="L449" s="11"/>
      <c r="M449" s="11"/>
      <c r="N449" s="11"/>
      <c r="O449" s="11"/>
      <c r="P449" s="11"/>
      <c r="Q449" s="11"/>
      <c r="R449" s="36"/>
      <c r="S449" s="36"/>
      <c r="T449" s="38"/>
      <c r="U449" s="38"/>
      <c r="V449" s="38"/>
      <c r="W449" s="38"/>
    </row>
    <row r="450" spans="12:23" s="12" customFormat="1" x14ac:dyDescent="0.35">
      <c r="L450" s="11"/>
      <c r="M450" s="11"/>
      <c r="N450" s="11"/>
      <c r="O450" s="11"/>
      <c r="P450" s="11"/>
      <c r="Q450" s="11"/>
      <c r="R450" s="36"/>
      <c r="S450" s="36"/>
      <c r="T450" s="38"/>
      <c r="U450" s="38"/>
      <c r="V450" s="38"/>
      <c r="W450" s="38"/>
    </row>
    <row r="451" spans="12:23" s="12" customFormat="1" x14ac:dyDescent="0.35">
      <c r="L451" s="11"/>
      <c r="M451" s="11"/>
      <c r="N451" s="11"/>
      <c r="O451" s="11"/>
      <c r="P451" s="11"/>
      <c r="Q451" s="11"/>
      <c r="R451" s="36"/>
      <c r="S451" s="36"/>
      <c r="T451" s="38"/>
      <c r="U451" s="38"/>
      <c r="V451" s="38"/>
      <c r="W451" s="38"/>
    </row>
    <row r="452" spans="12:23" s="12" customFormat="1" x14ac:dyDescent="0.35">
      <c r="L452" s="11"/>
      <c r="M452" s="11"/>
      <c r="N452" s="11"/>
      <c r="O452" s="11"/>
      <c r="P452" s="11"/>
      <c r="Q452" s="11"/>
      <c r="R452" s="36"/>
      <c r="S452" s="36"/>
      <c r="T452" s="38"/>
      <c r="U452" s="38"/>
      <c r="V452" s="38"/>
      <c r="W452" s="38"/>
    </row>
    <row r="453" spans="12:23" s="12" customFormat="1" x14ac:dyDescent="0.35">
      <c r="L453" s="11"/>
      <c r="M453" s="11"/>
      <c r="N453" s="11"/>
      <c r="O453" s="11"/>
      <c r="P453" s="11"/>
      <c r="Q453" s="11"/>
      <c r="R453" s="36"/>
      <c r="S453" s="36"/>
      <c r="T453" s="38"/>
      <c r="U453" s="38"/>
      <c r="V453" s="38"/>
      <c r="W453" s="38"/>
    </row>
    <row r="454" spans="12:23" s="12" customFormat="1" x14ac:dyDescent="0.35">
      <c r="L454" s="11"/>
      <c r="M454" s="11"/>
      <c r="N454" s="11"/>
      <c r="O454" s="11"/>
      <c r="P454" s="11"/>
      <c r="Q454" s="11"/>
      <c r="R454" s="36"/>
      <c r="S454" s="36"/>
      <c r="T454" s="38"/>
      <c r="U454" s="38"/>
      <c r="V454" s="38"/>
      <c r="W454" s="38"/>
    </row>
    <row r="455" spans="12:23" s="12" customFormat="1" x14ac:dyDescent="0.35">
      <c r="L455" s="11"/>
      <c r="M455" s="11"/>
      <c r="N455" s="11"/>
      <c r="O455" s="11"/>
      <c r="P455" s="11"/>
      <c r="Q455" s="11"/>
      <c r="R455" s="36"/>
      <c r="S455" s="36"/>
      <c r="T455" s="38"/>
      <c r="U455" s="38"/>
      <c r="V455" s="38"/>
      <c r="W455" s="38"/>
    </row>
    <row r="456" spans="12:23" s="12" customFormat="1" x14ac:dyDescent="0.35">
      <c r="L456" s="11"/>
      <c r="M456" s="11"/>
      <c r="N456" s="11"/>
      <c r="O456" s="11"/>
      <c r="P456" s="11"/>
      <c r="Q456" s="11"/>
      <c r="R456" s="36"/>
      <c r="S456" s="36"/>
      <c r="T456" s="38"/>
      <c r="U456" s="38"/>
      <c r="V456" s="38"/>
      <c r="W456" s="38"/>
    </row>
    <row r="457" spans="12:23" s="12" customFormat="1" x14ac:dyDescent="0.35">
      <c r="L457" s="11"/>
      <c r="M457" s="11"/>
      <c r="N457" s="11"/>
      <c r="O457" s="11"/>
      <c r="P457" s="11"/>
      <c r="Q457" s="11"/>
      <c r="R457" s="36"/>
      <c r="S457" s="36"/>
      <c r="T457" s="38"/>
      <c r="U457" s="38"/>
      <c r="V457" s="38"/>
      <c r="W457" s="38"/>
    </row>
    <row r="458" spans="12:23" s="12" customFormat="1" x14ac:dyDescent="0.35">
      <c r="L458" s="11"/>
      <c r="M458" s="11"/>
      <c r="N458" s="11"/>
      <c r="O458" s="11"/>
      <c r="P458" s="11"/>
      <c r="Q458" s="11"/>
      <c r="R458" s="36"/>
      <c r="S458" s="36"/>
      <c r="T458" s="38"/>
      <c r="U458" s="38"/>
      <c r="V458" s="38"/>
      <c r="W458" s="38"/>
    </row>
    <row r="459" spans="12:23" s="12" customFormat="1" x14ac:dyDescent="0.35">
      <c r="L459" s="11"/>
      <c r="M459" s="11"/>
      <c r="N459" s="11"/>
      <c r="O459" s="11"/>
      <c r="P459" s="11"/>
      <c r="Q459" s="11"/>
      <c r="R459" s="36"/>
      <c r="S459" s="36"/>
      <c r="T459" s="38"/>
      <c r="U459" s="38"/>
      <c r="V459" s="38"/>
      <c r="W459" s="38"/>
    </row>
    <row r="460" spans="12:23" s="12" customFormat="1" x14ac:dyDescent="0.35">
      <c r="L460" s="11"/>
      <c r="M460" s="11"/>
      <c r="N460" s="11"/>
      <c r="O460" s="11"/>
      <c r="P460" s="11"/>
      <c r="Q460" s="11"/>
      <c r="R460" s="36"/>
      <c r="S460" s="36"/>
      <c r="T460" s="38"/>
      <c r="U460" s="38"/>
      <c r="V460" s="38"/>
      <c r="W460" s="38"/>
    </row>
    <row r="461" spans="12:23" s="12" customFormat="1" x14ac:dyDescent="0.35">
      <c r="L461" s="11"/>
      <c r="M461" s="11"/>
      <c r="N461" s="11"/>
      <c r="O461" s="11"/>
      <c r="P461" s="11"/>
      <c r="Q461" s="11"/>
      <c r="R461" s="36"/>
      <c r="S461" s="36"/>
      <c r="T461" s="38"/>
      <c r="U461" s="38"/>
      <c r="V461" s="38"/>
      <c r="W461" s="38"/>
    </row>
    <row r="462" spans="12:23" s="12" customFormat="1" x14ac:dyDescent="0.35">
      <c r="L462" s="11"/>
      <c r="M462" s="11"/>
      <c r="N462" s="11"/>
      <c r="O462" s="11"/>
      <c r="P462" s="11"/>
      <c r="Q462" s="11"/>
      <c r="R462" s="36"/>
      <c r="S462" s="36"/>
      <c r="T462" s="38"/>
      <c r="U462" s="38"/>
      <c r="V462" s="38"/>
      <c r="W462" s="38"/>
    </row>
    <row r="463" spans="12:23" s="12" customFormat="1" x14ac:dyDescent="0.35">
      <c r="L463" s="11"/>
      <c r="M463" s="11"/>
      <c r="N463" s="11"/>
      <c r="O463" s="11"/>
      <c r="P463" s="11"/>
      <c r="Q463" s="11"/>
      <c r="R463" s="36"/>
      <c r="S463" s="36"/>
      <c r="T463" s="38"/>
      <c r="U463" s="38"/>
      <c r="V463" s="38"/>
      <c r="W463" s="38"/>
    </row>
    <row r="464" spans="12:23" s="12" customFormat="1" x14ac:dyDescent="0.35">
      <c r="L464" s="11"/>
      <c r="M464" s="11"/>
      <c r="N464" s="11"/>
      <c r="O464" s="11"/>
      <c r="P464" s="11"/>
      <c r="Q464" s="11"/>
      <c r="R464" s="36"/>
      <c r="S464" s="36"/>
      <c r="T464" s="38"/>
      <c r="U464" s="38"/>
      <c r="V464" s="38"/>
      <c r="W464" s="38"/>
    </row>
    <row r="465" spans="12:23" s="12" customFormat="1" x14ac:dyDescent="0.35">
      <c r="L465" s="11"/>
      <c r="M465" s="11"/>
      <c r="N465" s="11"/>
      <c r="O465" s="11"/>
      <c r="P465" s="11"/>
      <c r="Q465" s="11"/>
      <c r="R465" s="36"/>
      <c r="S465" s="36"/>
      <c r="T465" s="38"/>
      <c r="U465" s="38"/>
      <c r="V465" s="38"/>
      <c r="W465" s="38"/>
    </row>
    <row r="466" spans="12:23" s="12" customFormat="1" x14ac:dyDescent="0.35">
      <c r="L466" s="11"/>
      <c r="M466" s="11"/>
      <c r="N466" s="11"/>
      <c r="O466" s="11"/>
      <c r="P466" s="11"/>
      <c r="Q466" s="11"/>
      <c r="R466" s="36"/>
      <c r="S466" s="36"/>
      <c r="T466" s="38"/>
      <c r="U466" s="38"/>
      <c r="V466" s="38"/>
      <c r="W466" s="38"/>
    </row>
    <row r="467" spans="12:23" s="12" customFormat="1" x14ac:dyDescent="0.35">
      <c r="L467" s="11"/>
      <c r="M467" s="11"/>
      <c r="N467" s="11"/>
      <c r="O467" s="11"/>
      <c r="P467" s="11"/>
      <c r="Q467" s="11"/>
      <c r="R467" s="36"/>
      <c r="S467" s="36"/>
      <c r="T467" s="38"/>
      <c r="U467" s="38"/>
      <c r="V467" s="38"/>
      <c r="W467" s="38"/>
    </row>
    <row r="468" spans="12:23" s="12" customFormat="1" x14ac:dyDescent="0.35">
      <c r="L468" s="11"/>
      <c r="M468" s="11"/>
      <c r="N468" s="11"/>
      <c r="O468" s="11"/>
      <c r="P468" s="11"/>
      <c r="Q468" s="11"/>
      <c r="R468" s="36"/>
      <c r="S468" s="36"/>
      <c r="T468" s="38"/>
      <c r="U468" s="38"/>
      <c r="V468" s="38"/>
      <c r="W468" s="38"/>
    </row>
    <row r="469" spans="12:23" s="12" customFormat="1" x14ac:dyDescent="0.35">
      <c r="L469" s="11"/>
      <c r="M469" s="11"/>
      <c r="N469" s="11"/>
      <c r="O469" s="11"/>
      <c r="P469" s="11"/>
      <c r="Q469" s="11"/>
      <c r="R469" s="36"/>
      <c r="S469" s="36"/>
      <c r="T469" s="38"/>
      <c r="U469" s="38"/>
      <c r="V469" s="38"/>
      <c r="W469" s="38"/>
    </row>
    <row r="470" spans="12:23" s="12" customFormat="1" x14ac:dyDescent="0.35">
      <c r="L470" s="11"/>
      <c r="M470" s="11"/>
      <c r="N470" s="11"/>
      <c r="O470" s="11"/>
      <c r="P470" s="11"/>
      <c r="Q470" s="11"/>
      <c r="R470" s="36"/>
      <c r="S470" s="36"/>
      <c r="T470" s="38"/>
      <c r="U470" s="38"/>
      <c r="V470" s="38"/>
      <c r="W470" s="38"/>
    </row>
    <row r="471" spans="12:23" s="12" customFormat="1" x14ac:dyDescent="0.35">
      <c r="L471" s="11"/>
      <c r="M471" s="11"/>
      <c r="N471" s="11"/>
      <c r="O471" s="11"/>
      <c r="P471" s="11"/>
      <c r="Q471" s="11"/>
      <c r="R471" s="36"/>
      <c r="S471" s="36"/>
      <c r="T471" s="38"/>
      <c r="U471" s="38"/>
      <c r="V471" s="38"/>
      <c r="W471" s="38"/>
    </row>
    <row r="472" spans="12:23" s="12" customFormat="1" x14ac:dyDescent="0.35">
      <c r="L472" s="11"/>
      <c r="M472" s="11"/>
      <c r="N472" s="11"/>
      <c r="O472" s="11"/>
      <c r="P472" s="11"/>
      <c r="Q472" s="11"/>
      <c r="R472" s="36"/>
      <c r="S472" s="36"/>
      <c r="T472" s="38"/>
      <c r="U472" s="38"/>
      <c r="V472" s="38"/>
      <c r="W472" s="38"/>
    </row>
    <row r="473" spans="12:23" s="12" customFormat="1" x14ac:dyDescent="0.35">
      <c r="L473" s="11"/>
      <c r="M473" s="11"/>
      <c r="N473" s="11"/>
      <c r="O473" s="11"/>
      <c r="P473" s="11"/>
      <c r="Q473" s="11"/>
      <c r="R473" s="36"/>
      <c r="S473" s="36"/>
      <c r="T473" s="38"/>
      <c r="U473" s="38"/>
      <c r="V473" s="38"/>
      <c r="W473" s="38"/>
    </row>
    <row r="474" spans="12:23" s="12" customFormat="1" x14ac:dyDescent="0.35">
      <c r="L474" s="11"/>
      <c r="M474" s="11"/>
      <c r="N474" s="11"/>
      <c r="O474" s="11"/>
      <c r="P474" s="11"/>
      <c r="Q474" s="11"/>
      <c r="R474" s="36"/>
      <c r="S474" s="36"/>
      <c r="T474" s="38"/>
      <c r="U474" s="38"/>
      <c r="V474" s="38"/>
      <c r="W474" s="38"/>
    </row>
    <row r="475" spans="12:23" s="12" customFormat="1" x14ac:dyDescent="0.35">
      <c r="L475" s="11"/>
      <c r="M475" s="11"/>
      <c r="N475" s="11"/>
      <c r="O475" s="11"/>
      <c r="P475" s="11"/>
      <c r="Q475" s="11"/>
      <c r="R475" s="36"/>
      <c r="S475" s="36"/>
      <c r="T475" s="38"/>
      <c r="U475" s="38"/>
      <c r="V475" s="38"/>
      <c r="W475" s="38"/>
    </row>
    <row r="476" spans="12:23" s="12" customFormat="1" x14ac:dyDescent="0.35">
      <c r="L476" s="11"/>
      <c r="M476" s="11"/>
      <c r="N476" s="11"/>
      <c r="O476" s="11"/>
      <c r="P476" s="11"/>
      <c r="Q476" s="11"/>
      <c r="R476" s="36"/>
      <c r="S476" s="36"/>
      <c r="T476" s="38"/>
      <c r="U476" s="38"/>
      <c r="V476" s="38"/>
      <c r="W476" s="38"/>
    </row>
    <row r="477" spans="12:23" s="12" customFormat="1" x14ac:dyDescent="0.35">
      <c r="L477" s="11"/>
      <c r="M477" s="11"/>
      <c r="N477" s="11"/>
      <c r="O477" s="11"/>
      <c r="P477" s="11"/>
      <c r="Q477" s="11"/>
      <c r="R477" s="36"/>
      <c r="S477" s="36"/>
      <c r="T477" s="38"/>
      <c r="U477" s="38"/>
      <c r="V477" s="38"/>
      <c r="W477" s="38"/>
    </row>
    <row r="478" spans="12:23" s="12" customFormat="1" x14ac:dyDescent="0.35">
      <c r="L478" s="11"/>
      <c r="M478" s="11"/>
      <c r="N478" s="11"/>
      <c r="O478" s="11"/>
      <c r="P478" s="11"/>
      <c r="Q478" s="11"/>
      <c r="R478" s="36"/>
      <c r="S478" s="36"/>
      <c r="T478" s="38"/>
      <c r="U478" s="38"/>
      <c r="V478" s="38"/>
      <c r="W478" s="38"/>
    </row>
    <row r="479" spans="12:23" s="12" customFormat="1" x14ac:dyDescent="0.35">
      <c r="L479" s="11"/>
      <c r="M479" s="11"/>
      <c r="N479" s="11"/>
      <c r="O479" s="11"/>
      <c r="P479" s="11"/>
      <c r="Q479" s="11"/>
      <c r="R479" s="36"/>
      <c r="S479" s="36"/>
      <c r="T479" s="38"/>
      <c r="U479" s="38"/>
      <c r="V479" s="38"/>
      <c r="W479" s="38"/>
    </row>
    <row r="480" spans="12:23" s="12" customFormat="1" x14ac:dyDescent="0.35">
      <c r="L480" s="11"/>
      <c r="M480" s="11"/>
      <c r="N480" s="11"/>
      <c r="O480" s="11"/>
      <c r="P480" s="11"/>
      <c r="Q480" s="11"/>
      <c r="R480" s="36"/>
      <c r="S480" s="36"/>
      <c r="T480" s="38"/>
      <c r="U480" s="38"/>
      <c r="V480" s="38"/>
      <c r="W480" s="38"/>
    </row>
    <row r="481" spans="12:23" s="12" customFormat="1" x14ac:dyDescent="0.35">
      <c r="L481" s="11"/>
      <c r="M481" s="11"/>
      <c r="N481" s="11"/>
      <c r="O481" s="11"/>
      <c r="P481" s="11"/>
      <c r="Q481" s="11"/>
      <c r="R481" s="36"/>
      <c r="S481" s="36"/>
      <c r="T481" s="38"/>
      <c r="U481" s="38"/>
      <c r="V481" s="38"/>
      <c r="W481" s="38"/>
    </row>
    <row r="482" spans="12:23" s="12" customFormat="1" x14ac:dyDescent="0.35">
      <c r="L482" s="11"/>
      <c r="M482" s="11"/>
      <c r="N482" s="11"/>
      <c r="O482" s="11"/>
      <c r="P482" s="11"/>
      <c r="Q482" s="11"/>
      <c r="R482" s="36"/>
      <c r="S482" s="36"/>
      <c r="T482" s="38"/>
      <c r="U482" s="38"/>
      <c r="V482" s="38"/>
      <c r="W482" s="38"/>
    </row>
    <row r="483" spans="12:23" s="12" customFormat="1" x14ac:dyDescent="0.35">
      <c r="L483" s="11"/>
      <c r="M483" s="11"/>
      <c r="N483" s="11"/>
      <c r="O483" s="11"/>
      <c r="P483" s="11"/>
      <c r="Q483" s="11"/>
      <c r="R483" s="36"/>
      <c r="S483" s="36"/>
      <c r="T483" s="38"/>
      <c r="U483" s="38"/>
      <c r="V483" s="38"/>
      <c r="W483" s="38"/>
    </row>
    <row r="484" spans="12:23" s="12" customFormat="1" x14ac:dyDescent="0.35">
      <c r="L484" s="11"/>
      <c r="M484" s="11"/>
      <c r="N484" s="11"/>
      <c r="O484" s="11"/>
      <c r="P484" s="11"/>
      <c r="Q484" s="11"/>
      <c r="R484" s="36"/>
      <c r="S484" s="36"/>
      <c r="T484" s="38"/>
      <c r="U484" s="38"/>
      <c r="V484" s="38"/>
      <c r="W484" s="38"/>
    </row>
    <row r="485" spans="12:23" s="12" customFormat="1" x14ac:dyDescent="0.35">
      <c r="L485" s="11"/>
      <c r="M485" s="11"/>
      <c r="N485" s="11"/>
      <c r="O485" s="11"/>
      <c r="P485" s="11"/>
      <c r="Q485" s="11"/>
      <c r="R485" s="36"/>
      <c r="S485" s="36"/>
      <c r="T485" s="38"/>
      <c r="U485" s="38"/>
      <c r="V485" s="38"/>
      <c r="W485" s="38"/>
    </row>
    <row r="486" spans="12:23" s="12" customFormat="1" x14ac:dyDescent="0.35">
      <c r="L486" s="11"/>
      <c r="M486" s="11"/>
      <c r="N486" s="11"/>
      <c r="O486" s="11"/>
      <c r="P486" s="11"/>
      <c r="Q486" s="11"/>
      <c r="R486" s="36"/>
      <c r="S486" s="36"/>
      <c r="T486" s="38"/>
      <c r="U486" s="38"/>
      <c r="V486" s="38"/>
      <c r="W486" s="38"/>
    </row>
    <row r="487" spans="12:23" s="12" customFormat="1" x14ac:dyDescent="0.35">
      <c r="L487" s="11"/>
      <c r="M487" s="11"/>
      <c r="N487" s="11"/>
      <c r="O487" s="11"/>
      <c r="P487" s="11"/>
      <c r="Q487" s="11"/>
      <c r="R487" s="36"/>
      <c r="S487" s="36"/>
      <c r="T487" s="38"/>
      <c r="U487" s="38"/>
      <c r="V487" s="38"/>
      <c r="W487" s="38"/>
    </row>
    <row r="488" spans="12:23" s="12" customFormat="1" x14ac:dyDescent="0.35">
      <c r="L488" s="11"/>
      <c r="M488" s="11"/>
      <c r="N488" s="11"/>
      <c r="O488" s="11"/>
      <c r="P488" s="11"/>
      <c r="Q488" s="11"/>
      <c r="R488" s="36"/>
      <c r="S488" s="36"/>
      <c r="T488" s="38"/>
      <c r="U488" s="38"/>
      <c r="V488" s="38"/>
      <c r="W488" s="38"/>
    </row>
    <row r="489" spans="12:23" s="12" customFormat="1" x14ac:dyDescent="0.35">
      <c r="L489" s="11"/>
      <c r="M489" s="11"/>
      <c r="N489" s="11"/>
      <c r="O489" s="11"/>
      <c r="P489" s="11"/>
      <c r="Q489" s="11"/>
      <c r="R489" s="36"/>
      <c r="S489" s="36"/>
      <c r="T489" s="38"/>
      <c r="U489" s="38"/>
      <c r="V489" s="38"/>
      <c r="W489" s="38"/>
    </row>
    <row r="490" spans="12:23" s="12" customFormat="1" x14ac:dyDescent="0.35">
      <c r="L490" s="11"/>
      <c r="M490" s="11"/>
      <c r="N490" s="11"/>
      <c r="O490" s="11"/>
      <c r="P490" s="11"/>
      <c r="Q490" s="11"/>
      <c r="R490" s="36"/>
      <c r="S490" s="36"/>
      <c r="T490" s="38"/>
      <c r="U490" s="38"/>
      <c r="V490" s="38"/>
      <c r="W490" s="38"/>
    </row>
    <row r="491" spans="12:23" s="12" customFormat="1" x14ac:dyDescent="0.35">
      <c r="L491" s="11"/>
      <c r="M491" s="11"/>
      <c r="N491" s="11"/>
      <c r="O491" s="11"/>
      <c r="P491" s="11"/>
      <c r="Q491" s="11"/>
      <c r="R491" s="36"/>
      <c r="S491" s="36"/>
      <c r="T491" s="38"/>
      <c r="U491" s="38"/>
      <c r="V491" s="38"/>
      <c r="W491" s="38"/>
    </row>
    <row r="492" spans="12:23" s="12" customFormat="1" x14ac:dyDescent="0.35">
      <c r="L492" s="11"/>
      <c r="M492" s="11"/>
      <c r="N492" s="11"/>
      <c r="O492" s="11"/>
      <c r="P492" s="11"/>
      <c r="Q492" s="11"/>
      <c r="R492" s="36"/>
      <c r="S492" s="36"/>
      <c r="T492" s="38"/>
      <c r="U492" s="38"/>
      <c r="V492" s="38"/>
      <c r="W492" s="38"/>
    </row>
    <row r="493" spans="12:23" s="12" customFormat="1" x14ac:dyDescent="0.35">
      <c r="L493" s="11"/>
      <c r="M493" s="11"/>
      <c r="N493" s="11"/>
      <c r="O493" s="11"/>
      <c r="P493" s="11"/>
      <c r="Q493" s="11"/>
      <c r="R493" s="36"/>
      <c r="S493" s="36"/>
      <c r="T493" s="38"/>
      <c r="U493" s="38"/>
      <c r="V493" s="38"/>
      <c r="W493" s="38"/>
    </row>
    <row r="494" spans="12:23" s="12" customFormat="1" x14ac:dyDescent="0.35">
      <c r="L494" s="11"/>
      <c r="M494" s="11"/>
      <c r="N494" s="11"/>
      <c r="O494" s="11"/>
      <c r="P494" s="11"/>
      <c r="Q494" s="11"/>
      <c r="R494" s="36"/>
      <c r="S494" s="36"/>
      <c r="T494" s="38"/>
      <c r="U494" s="38"/>
      <c r="V494" s="38"/>
      <c r="W494" s="38"/>
    </row>
    <row r="495" spans="12:23" s="12" customFormat="1" x14ac:dyDescent="0.35">
      <c r="L495" s="11"/>
      <c r="M495" s="11"/>
      <c r="N495" s="11"/>
      <c r="O495" s="11"/>
      <c r="P495" s="11"/>
      <c r="Q495" s="11"/>
      <c r="R495" s="36"/>
      <c r="S495" s="36"/>
      <c r="T495" s="38"/>
      <c r="U495" s="38"/>
      <c r="V495" s="38"/>
      <c r="W495" s="38"/>
    </row>
    <row r="496" spans="12:23" s="12" customFormat="1" x14ac:dyDescent="0.35">
      <c r="L496" s="11"/>
      <c r="M496" s="11"/>
      <c r="N496" s="11"/>
      <c r="O496" s="11"/>
      <c r="P496" s="11"/>
      <c r="Q496" s="11"/>
      <c r="R496" s="36"/>
      <c r="S496" s="36"/>
      <c r="T496" s="38"/>
      <c r="U496" s="38"/>
      <c r="V496" s="38"/>
      <c r="W496" s="38"/>
    </row>
    <row r="497" spans="12:23" s="12" customFormat="1" x14ac:dyDescent="0.35">
      <c r="L497" s="11"/>
      <c r="M497" s="11"/>
      <c r="N497" s="11"/>
      <c r="O497" s="11"/>
      <c r="P497" s="11"/>
      <c r="Q497" s="11"/>
      <c r="R497" s="36"/>
      <c r="S497" s="36"/>
      <c r="T497" s="38"/>
      <c r="U497" s="38"/>
      <c r="V497" s="38"/>
      <c r="W497" s="38"/>
    </row>
    <row r="498" spans="12:23" s="12" customFormat="1" x14ac:dyDescent="0.35">
      <c r="L498" s="11"/>
      <c r="M498" s="11"/>
      <c r="N498" s="11"/>
      <c r="O498" s="11"/>
      <c r="P498" s="11"/>
      <c r="Q498" s="11"/>
      <c r="R498" s="36"/>
      <c r="S498" s="36"/>
      <c r="T498" s="38"/>
      <c r="U498" s="38"/>
      <c r="V498" s="38"/>
      <c r="W498" s="38"/>
    </row>
    <row r="499" spans="12:23" s="12" customFormat="1" x14ac:dyDescent="0.35">
      <c r="L499" s="11"/>
      <c r="M499" s="11"/>
      <c r="N499" s="11"/>
      <c r="O499" s="11"/>
      <c r="P499" s="11"/>
      <c r="Q499" s="11"/>
      <c r="R499" s="36"/>
      <c r="S499" s="36"/>
      <c r="T499" s="38"/>
      <c r="U499" s="38"/>
      <c r="V499" s="38"/>
      <c r="W499" s="38"/>
    </row>
    <row r="500" spans="12:23" s="12" customFormat="1" x14ac:dyDescent="0.35">
      <c r="L500" s="11"/>
      <c r="M500" s="11"/>
      <c r="N500" s="11"/>
      <c r="O500" s="11"/>
      <c r="P500" s="11"/>
      <c r="Q500" s="11"/>
      <c r="R500" s="36"/>
      <c r="S500" s="36"/>
      <c r="T500" s="38"/>
      <c r="U500" s="38"/>
      <c r="V500" s="38"/>
      <c r="W500" s="38"/>
    </row>
    <row r="501" spans="12:23" s="12" customFormat="1" x14ac:dyDescent="0.35">
      <c r="L501" s="11"/>
      <c r="M501" s="11"/>
      <c r="N501" s="11"/>
      <c r="O501" s="11"/>
      <c r="P501" s="11"/>
      <c r="Q501" s="11"/>
      <c r="R501" s="36"/>
      <c r="S501" s="36"/>
      <c r="T501" s="38"/>
      <c r="U501" s="38"/>
      <c r="V501" s="38"/>
      <c r="W501" s="38"/>
    </row>
    <row r="502" spans="12:23" s="12" customFormat="1" x14ac:dyDescent="0.35">
      <c r="L502" s="11"/>
      <c r="M502" s="11"/>
      <c r="N502" s="11"/>
      <c r="O502" s="11"/>
      <c r="P502" s="11"/>
      <c r="Q502" s="11"/>
      <c r="R502" s="36"/>
      <c r="S502" s="36"/>
      <c r="T502" s="38"/>
      <c r="U502" s="38"/>
      <c r="V502" s="38"/>
      <c r="W502" s="38"/>
    </row>
    <row r="503" spans="12:23" s="12" customFormat="1" x14ac:dyDescent="0.35">
      <c r="L503" s="11"/>
      <c r="M503" s="11"/>
      <c r="N503" s="11"/>
      <c r="O503" s="11"/>
      <c r="P503" s="11"/>
      <c r="Q503" s="11"/>
      <c r="R503" s="36"/>
      <c r="S503" s="36"/>
      <c r="T503" s="38"/>
      <c r="U503" s="38"/>
      <c r="V503" s="38"/>
      <c r="W503" s="38"/>
    </row>
    <row r="504" spans="12:23" s="12" customFormat="1" x14ac:dyDescent="0.35">
      <c r="L504" s="11"/>
      <c r="M504" s="11"/>
      <c r="N504" s="11"/>
      <c r="O504" s="11"/>
      <c r="P504" s="11"/>
      <c r="Q504" s="11"/>
      <c r="R504" s="36"/>
      <c r="S504" s="36"/>
      <c r="T504" s="38"/>
      <c r="U504" s="38"/>
      <c r="V504" s="38"/>
      <c r="W504" s="38"/>
    </row>
    <row r="505" spans="12:23" s="12" customFormat="1" x14ac:dyDescent="0.35">
      <c r="L505" s="11"/>
      <c r="M505" s="11"/>
      <c r="N505" s="11"/>
      <c r="O505" s="11"/>
      <c r="P505" s="11"/>
      <c r="Q505" s="11"/>
      <c r="R505" s="36"/>
      <c r="S505" s="36"/>
      <c r="T505" s="38"/>
      <c r="U505" s="38"/>
      <c r="V505" s="38"/>
      <c r="W505" s="38"/>
    </row>
    <row r="506" spans="12:23" s="12" customFormat="1" x14ac:dyDescent="0.35">
      <c r="L506" s="11"/>
      <c r="M506" s="11"/>
      <c r="N506" s="11"/>
      <c r="O506" s="11"/>
      <c r="P506" s="11"/>
      <c r="Q506" s="11"/>
      <c r="R506" s="36"/>
      <c r="S506" s="36"/>
      <c r="T506" s="38"/>
      <c r="U506" s="38"/>
      <c r="V506" s="38"/>
      <c r="W506" s="38"/>
    </row>
    <row r="507" spans="12:23" s="12" customFormat="1" x14ac:dyDescent="0.35">
      <c r="L507" s="11"/>
      <c r="M507" s="11"/>
      <c r="N507" s="11"/>
      <c r="O507" s="11"/>
      <c r="P507" s="11"/>
      <c r="Q507" s="11"/>
      <c r="R507" s="36"/>
      <c r="S507" s="36"/>
      <c r="T507" s="38"/>
      <c r="U507" s="38"/>
      <c r="V507" s="38"/>
      <c r="W507" s="38"/>
    </row>
    <row r="508" spans="12:23" s="12" customFormat="1" x14ac:dyDescent="0.35">
      <c r="L508" s="11"/>
      <c r="M508" s="11"/>
      <c r="N508" s="11"/>
      <c r="O508" s="11"/>
      <c r="P508" s="11"/>
      <c r="Q508" s="11"/>
      <c r="R508" s="36"/>
      <c r="S508" s="36"/>
      <c r="T508" s="38"/>
      <c r="U508" s="38"/>
      <c r="V508" s="38"/>
      <c r="W508" s="38"/>
    </row>
    <row r="509" spans="12:23" s="12" customFormat="1" x14ac:dyDescent="0.35">
      <c r="L509" s="11"/>
      <c r="M509" s="11"/>
      <c r="N509" s="11"/>
      <c r="O509" s="11"/>
      <c r="P509" s="11"/>
      <c r="Q509" s="11"/>
      <c r="R509" s="36"/>
      <c r="S509" s="36"/>
      <c r="T509" s="38"/>
      <c r="U509" s="38"/>
      <c r="V509" s="38"/>
      <c r="W509" s="38"/>
    </row>
    <row r="510" spans="12:23" s="12" customFormat="1" x14ac:dyDescent="0.35">
      <c r="L510" s="11"/>
      <c r="M510" s="11"/>
      <c r="N510" s="11"/>
      <c r="O510" s="11"/>
      <c r="P510" s="11"/>
      <c r="Q510" s="11"/>
      <c r="R510" s="36"/>
      <c r="S510" s="36"/>
      <c r="T510" s="38"/>
      <c r="U510" s="38"/>
      <c r="V510" s="38"/>
      <c r="W510" s="38"/>
    </row>
    <row r="511" spans="12:23" s="12" customFormat="1" x14ac:dyDescent="0.35">
      <c r="L511" s="11"/>
      <c r="M511" s="11"/>
      <c r="N511" s="11"/>
      <c r="O511" s="11"/>
      <c r="P511" s="11"/>
      <c r="Q511" s="11"/>
      <c r="R511" s="36"/>
      <c r="S511" s="36"/>
      <c r="T511" s="38"/>
      <c r="U511" s="38"/>
      <c r="V511" s="38"/>
      <c r="W511" s="38"/>
    </row>
    <row r="512" spans="12:23" s="12" customFormat="1" x14ac:dyDescent="0.35">
      <c r="L512" s="11"/>
      <c r="M512" s="11"/>
      <c r="N512" s="11"/>
      <c r="O512" s="11"/>
      <c r="P512" s="11"/>
      <c r="Q512" s="11"/>
      <c r="R512" s="36"/>
      <c r="S512" s="36"/>
      <c r="T512" s="38"/>
      <c r="U512" s="38"/>
      <c r="V512" s="38"/>
      <c r="W512" s="38"/>
    </row>
    <row r="513" spans="12:23" s="12" customFormat="1" x14ac:dyDescent="0.35">
      <c r="L513" s="11"/>
      <c r="M513" s="11"/>
      <c r="N513" s="11"/>
      <c r="O513" s="11"/>
      <c r="P513" s="11"/>
      <c r="Q513" s="11"/>
      <c r="R513" s="36"/>
      <c r="S513" s="36"/>
      <c r="T513" s="38"/>
      <c r="U513" s="38"/>
      <c r="V513" s="38"/>
      <c r="W513" s="38"/>
    </row>
    <row r="514" spans="12:23" s="12" customFormat="1" x14ac:dyDescent="0.35">
      <c r="L514" s="11"/>
      <c r="M514" s="11"/>
      <c r="N514" s="11"/>
      <c r="O514" s="11"/>
      <c r="P514" s="11"/>
      <c r="Q514" s="11"/>
      <c r="R514" s="36"/>
      <c r="S514" s="36"/>
      <c r="T514" s="38"/>
      <c r="U514" s="38"/>
      <c r="V514" s="38"/>
      <c r="W514" s="38"/>
    </row>
    <row r="515" spans="12:23" s="12" customFormat="1" x14ac:dyDescent="0.35">
      <c r="L515" s="11"/>
      <c r="M515" s="11"/>
      <c r="N515" s="11"/>
      <c r="O515" s="11"/>
      <c r="P515" s="11"/>
      <c r="Q515" s="11"/>
      <c r="R515" s="36"/>
      <c r="S515" s="36"/>
      <c r="T515" s="38"/>
      <c r="U515" s="38"/>
      <c r="V515" s="38"/>
      <c r="W515" s="38"/>
    </row>
    <row r="516" spans="12:23" s="12" customFormat="1" x14ac:dyDescent="0.35">
      <c r="L516" s="11"/>
      <c r="M516" s="11"/>
      <c r="N516" s="11"/>
      <c r="O516" s="11"/>
      <c r="P516" s="11"/>
      <c r="Q516" s="11"/>
      <c r="R516" s="36"/>
      <c r="S516" s="36"/>
      <c r="T516" s="38"/>
      <c r="U516" s="38"/>
      <c r="V516" s="38"/>
      <c r="W516" s="38"/>
    </row>
    <row r="517" spans="12:23" s="12" customFormat="1" x14ac:dyDescent="0.35">
      <c r="L517" s="11"/>
      <c r="M517" s="11"/>
      <c r="N517" s="11"/>
      <c r="O517" s="11"/>
      <c r="P517" s="11"/>
      <c r="Q517" s="11"/>
      <c r="R517" s="36"/>
      <c r="S517" s="36"/>
      <c r="T517" s="38"/>
      <c r="U517" s="38"/>
      <c r="V517" s="38"/>
      <c r="W517" s="38"/>
    </row>
    <row r="518" spans="12:23" s="12" customFormat="1" x14ac:dyDescent="0.35">
      <c r="L518" s="11"/>
      <c r="M518" s="11"/>
      <c r="N518" s="11"/>
      <c r="O518" s="11"/>
      <c r="P518" s="11"/>
      <c r="Q518" s="11"/>
      <c r="R518" s="36"/>
      <c r="S518" s="36"/>
      <c r="T518" s="38"/>
      <c r="U518" s="38"/>
      <c r="V518" s="38"/>
      <c r="W518" s="38"/>
    </row>
    <row r="519" spans="12:23" s="12" customFormat="1" x14ac:dyDescent="0.35">
      <c r="L519" s="11"/>
      <c r="M519" s="11"/>
      <c r="N519" s="11"/>
      <c r="O519" s="11"/>
      <c r="P519" s="11"/>
      <c r="Q519" s="11"/>
      <c r="R519" s="36"/>
      <c r="S519" s="36"/>
      <c r="T519" s="38"/>
      <c r="U519" s="38"/>
      <c r="V519" s="38"/>
      <c r="W519" s="38"/>
    </row>
    <row r="520" spans="12:23" s="12" customFormat="1" x14ac:dyDescent="0.35">
      <c r="L520" s="11"/>
      <c r="M520" s="11"/>
      <c r="N520" s="11"/>
      <c r="O520" s="11"/>
      <c r="P520" s="11"/>
      <c r="Q520" s="11"/>
      <c r="R520" s="36"/>
      <c r="S520" s="36"/>
      <c r="T520" s="38"/>
      <c r="U520" s="38"/>
      <c r="V520" s="38"/>
      <c r="W520" s="38"/>
    </row>
    <row r="521" spans="12:23" s="12" customFormat="1" x14ac:dyDescent="0.35">
      <c r="L521" s="11"/>
      <c r="M521" s="11"/>
      <c r="N521" s="11"/>
      <c r="O521" s="11"/>
      <c r="P521" s="11"/>
      <c r="Q521" s="11"/>
      <c r="R521" s="36"/>
      <c r="S521" s="36"/>
      <c r="T521" s="38"/>
      <c r="U521" s="38"/>
      <c r="V521" s="38"/>
      <c r="W521" s="38"/>
    </row>
    <row r="522" spans="12:23" s="12" customFormat="1" x14ac:dyDescent="0.35">
      <c r="L522" s="11"/>
      <c r="M522" s="11"/>
      <c r="N522" s="11"/>
      <c r="O522" s="11"/>
      <c r="P522" s="11"/>
      <c r="Q522" s="11"/>
      <c r="R522" s="36"/>
      <c r="S522" s="36"/>
      <c r="T522" s="38"/>
      <c r="U522" s="38"/>
      <c r="V522" s="38"/>
      <c r="W522" s="38"/>
    </row>
    <row r="523" spans="12:23" s="12" customFormat="1" x14ac:dyDescent="0.35">
      <c r="L523" s="11"/>
      <c r="M523" s="11"/>
      <c r="N523" s="11"/>
      <c r="O523" s="11"/>
      <c r="P523" s="11"/>
      <c r="Q523" s="11"/>
      <c r="R523" s="36"/>
      <c r="S523" s="36"/>
      <c r="T523" s="38"/>
      <c r="U523" s="38"/>
      <c r="V523" s="38"/>
      <c r="W523" s="38"/>
    </row>
    <row r="524" spans="12:23" s="12" customFormat="1" x14ac:dyDescent="0.35">
      <c r="L524" s="11"/>
      <c r="M524" s="11"/>
      <c r="N524" s="11"/>
      <c r="O524" s="11"/>
      <c r="P524" s="11"/>
      <c r="Q524" s="11"/>
      <c r="R524" s="36"/>
      <c r="S524" s="36"/>
      <c r="T524" s="38"/>
      <c r="U524" s="38"/>
      <c r="V524" s="38"/>
      <c r="W524" s="38"/>
    </row>
    <row r="525" spans="12:23" s="12" customFormat="1" x14ac:dyDescent="0.35">
      <c r="L525" s="11"/>
      <c r="M525" s="11"/>
      <c r="N525" s="11"/>
      <c r="O525" s="11"/>
      <c r="P525" s="11"/>
      <c r="Q525" s="11"/>
      <c r="R525" s="36"/>
      <c r="S525" s="36"/>
      <c r="T525" s="38"/>
      <c r="U525" s="38"/>
      <c r="V525" s="38"/>
      <c r="W525" s="38"/>
    </row>
    <row r="526" spans="12:23" s="12" customFormat="1" x14ac:dyDescent="0.35">
      <c r="L526" s="11"/>
      <c r="M526" s="11"/>
      <c r="N526" s="11"/>
      <c r="O526" s="11"/>
      <c r="P526" s="11"/>
      <c r="Q526" s="11"/>
      <c r="R526" s="36"/>
      <c r="S526" s="36"/>
      <c r="T526" s="38"/>
      <c r="U526" s="38"/>
      <c r="V526" s="38"/>
      <c r="W526" s="38"/>
    </row>
    <row r="527" spans="12:23" s="12" customFormat="1" x14ac:dyDescent="0.35">
      <c r="L527" s="11"/>
      <c r="M527" s="11"/>
      <c r="N527" s="11"/>
      <c r="O527" s="11"/>
      <c r="P527" s="11"/>
      <c r="Q527" s="11"/>
      <c r="R527" s="36"/>
      <c r="S527" s="36"/>
      <c r="T527" s="38"/>
      <c r="U527" s="38"/>
      <c r="V527" s="38"/>
      <c r="W527" s="38"/>
    </row>
    <row r="528" spans="12:23" s="12" customFormat="1" x14ac:dyDescent="0.35">
      <c r="L528" s="11"/>
      <c r="M528" s="11"/>
      <c r="N528" s="11"/>
      <c r="O528" s="11"/>
      <c r="P528" s="11"/>
      <c r="Q528" s="11"/>
      <c r="R528" s="36"/>
      <c r="S528" s="36"/>
      <c r="T528" s="38"/>
      <c r="U528" s="38"/>
      <c r="V528" s="38"/>
      <c r="W528" s="38"/>
    </row>
    <row r="529" spans="12:23" s="12" customFormat="1" x14ac:dyDescent="0.35">
      <c r="L529" s="11"/>
      <c r="M529" s="11"/>
      <c r="N529" s="11"/>
      <c r="O529" s="11"/>
      <c r="P529" s="11"/>
      <c r="Q529" s="11"/>
      <c r="R529" s="36"/>
      <c r="S529" s="36"/>
      <c r="T529" s="38"/>
      <c r="U529" s="38"/>
      <c r="V529" s="38"/>
      <c r="W529" s="38"/>
    </row>
    <row r="530" spans="12:23" s="12" customFormat="1" x14ac:dyDescent="0.35">
      <c r="L530" s="11"/>
      <c r="M530" s="11"/>
      <c r="N530" s="11"/>
      <c r="O530" s="11"/>
      <c r="P530" s="11"/>
      <c r="Q530" s="11"/>
      <c r="R530" s="36"/>
      <c r="S530" s="36"/>
      <c r="T530" s="38"/>
      <c r="U530" s="38"/>
      <c r="V530" s="38"/>
      <c r="W530" s="38"/>
    </row>
    <row r="531" spans="12:23" s="12" customFormat="1" x14ac:dyDescent="0.35">
      <c r="L531" s="11"/>
      <c r="M531" s="11"/>
      <c r="N531" s="11"/>
      <c r="O531" s="11"/>
      <c r="P531" s="11"/>
      <c r="Q531" s="11"/>
      <c r="R531" s="36"/>
      <c r="S531" s="36"/>
      <c r="T531" s="38"/>
      <c r="U531" s="38"/>
      <c r="V531" s="38"/>
      <c r="W531" s="38"/>
    </row>
    <row r="532" spans="12:23" s="12" customFormat="1" x14ac:dyDescent="0.35">
      <c r="L532" s="11"/>
      <c r="M532" s="11"/>
      <c r="N532" s="11"/>
      <c r="O532" s="11"/>
      <c r="P532" s="11"/>
      <c r="Q532" s="11"/>
      <c r="R532" s="36"/>
      <c r="S532" s="36"/>
      <c r="T532" s="38"/>
      <c r="U532" s="38"/>
      <c r="V532" s="38"/>
      <c r="W532" s="38"/>
    </row>
    <row r="533" spans="12:23" s="12" customFormat="1" x14ac:dyDescent="0.35">
      <c r="L533" s="11"/>
      <c r="M533" s="11"/>
      <c r="N533" s="11"/>
      <c r="O533" s="11"/>
      <c r="P533" s="11"/>
      <c r="Q533" s="11"/>
      <c r="R533" s="36"/>
      <c r="S533" s="36"/>
      <c r="T533" s="38"/>
      <c r="U533" s="38"/>
      <c r="V533" s="38"/>
      <c r="W533" s="38"/>
    </row>
    <row r="534" spans="12:23" s="12" customFormat="1" x14ac:dyDescent="0.35">
      <c r="L534" s="11"/>
      <c r="M534" s="11"/>
      <c r="N534" s="11"/>
      <c r="O534" s="11"/>
      <c r="P534" s="11"/>
      <c r="Q534" s="11"/>
      <c r="R534" s="36"/>
      <c r="S534" s="36"/>
      <c r="T534" s="38"/>
      <c r="U534" s="38"/>
      <c r="V534" s="38"/>
      <c r="W534" s="38"/>
    </row>
    <row r="535" spans="12:23" s="12" customFormat="1" x14ac:dyDescent="0.35">
      <c r="L535" s="11"/>
      <c r="M535" s="11"/>
      <c r="N535" s="11"/>
      <c r="O535" s="11"/>
      <c r="P535" s="11"/>
      <c r="Q535" s="11"/>
      <c r="R535" s="36"/>
      <c r="S535" s="36"/>
      <c r="T535" s="38"/>
      <c r="U535" s="38"/>
      <c r="V535" s="38"/>
      <c r="W535" s="38"/>
    </row>
    <row r="536" spans="12:23" s="12" customFormat="1" x14ac:dyDescent="0.35">
      <c r="L536" s="11"/>
      <c r="M536" s="11"/>
      <c r="N536" s="11"/>
      <c r="O536" s="11"/>
      <c r="P536" s="11"/>
      <c r="Q536" s="11"/>
      <c r="R536" s="36"/>
      <c r="S536" s="36"/>
      <c r="T536" s="38"/>
      <c r="U536" s="38"/>
      <c r="V536" s="38"/>
      <c r="W536" s="38"/>
    </row>
    <row r="537" spans="12:23" s="12" customFormat="1" x14ac:dyDescent="0.35">
      <c r="L537" s="11"/>
      <c r="M537" s="11"/>
      <c r="N537" s="11"/>
      <c r="O537" s="11"/>
      <c r="P537" s="11"/>
      <c r="Q537" s="11"/>
      <c r="R537" s="36"/>
      <c r="S537" s="36"/>
      <c r="T537" s="38"/>
      <c r="U537" s="38"/>
      <c r="V537" s="38"/>
      <c r="W537" s="38"/>
    </row>
    <row r="538" spans="12:23" s="12" customFormat="1" x14ac:dyDescent="0.35">
      <c r="L538" s="11"/>
      <c r="M538" s="11"/>
      <c r="N538" s="11"/>
      <c r="O538" s="11"/>
      <c r="P538" s="11"/>
      <c r="Q538" s="11"/>
      <c r="R538" s="36"/>
      <c r="S538" s="36"/>
      <c r="T538" s="38"/>
      <c r="U538" s="38"/>
      <c r="V538" s="38"/>
      <c r="W538" s="38"/>
    </row>
    <row r="539" spans="12:23" s="12" customFormat="1" x14ac:dyDescent="0.35">
      <c r="L539" s="11"/>
      <c r="M539" s="11"/>
      <c r="N539" s="11"/>
      <c r="O539" s="11"/>
      <c r="P539" s="11"/>
      <c r="Q539" s="11"/>
      <c r="R539" s="36"/>
      <c r="S539" s="36"/>
      <c r="T539" s="38"/>
      <c r="U539" s="38"/>
      <c r="V539" s="38"/>
      <c r="W539" s="38"/>
    </row>
    <row r="540" spans="12:23" s="12" customFormat="1" x14ac:dyDescent="0.35">
      <c r="L540" s="11"/>
      <c r="M540" s="11"/>
      <c r="N540" s="11"/>
      <c r="O540" s="11"/>
      <c r="P540" s="11"/>
      <c r="Q540" s="11"/>
      <c r="R540" s="36"/>
      <c r="S540" s="36"/>
      <c r="T540" s="38"/>
      <c r="U540" s="38"/>
      <c r="V540" s="38"/>
      <c r="W540" s="38"/>
    </row>
    <row r="541" spans="12:23" s="12" customFormat="1" x14ac:dyDescent="0.35">
      <c r="L541" s="11"/>
      <c r="M541" s="11"/>
      <c r="N541" s="11"/>
      <c r="O541" s="11"/>
      <c r="P541" s="11"/>
      <c r="Q541" s="11"/>
      <c r="R541" s="36"/>
      <c r="S541" s="36"/>
      <c r="T541" s="38"/>
      <c r="U541" s="38"/>
      <c r="V541" s="38"/>
      <c r="W541" s="38"/>
    </row>
    <row r="542" spans="12:23" s="12" customFormat="1" x14ac:dyDescent="0.35">
      <c r="L542" s="11"/>
      <c r="M542" s="11"/>
      <c r="N542" s="11"/>
      <c r="O542" s="11"/>
      <c r="P542" s="11"/>
      <c r="Q542" s="11"/>
      <c r="R542" s="36"/>
      <c r="S542" s="36"/>
      <c r="T542" s="38"/>
      <c r="U542" s="38"/>
      <c r="V542" s="38"/>
      <c r="W542" s="38"/>
    </row>
    <row r="543" spans="12:23" s="12" customFormat="1" x14ac:dyDescent="0.35">
      <c r="L543" s="11"/>
      <c r="M543" s="11"/>
      <c r="N543" s="11"/>
      <c r="O543" s="11"/>
      <c r="P543" s="11"/>
      <c r="Q543" s="11"/>
      <c r="R543" s="36"/>
      <c r="S543" s="36"/>
      <c r="T543" s="38"/>
      <c r="U543" s="38"/>
      <c r="V543" s="38"/>
      <c r="W543" s="38"/>
    </row>
    <row r="544" spans="12:23" s="12" customFormat="1" x14ac:dyDescent="0.35">
      <c r="L544" s="11"/>
      <c r="M544" s="11"/>
      <c r="N544" s="11"/>
      <c r="O544" s="11"/>
      <c r="P544" s="11"/>
      <c r="Q544" s="11"/>
      <c r="R544" s="36"/>
      <c r="S544" s="36"/>
      <c r="T544" s="38"/>
      <c r="U544" s="38"/>
      <c r="V544" s="38"/>
      <c r="W544" s="38"/>
    </row>
    <row r="545" spans="12:23" s="12" customFormat="1" x14ac:dyDescent="0.35">
      <c r="L545" s="11"/>
      <c r="M545" s="11"/>
      <c r="N545" s="11"/>
      <c r="O545" s="11"/>
      <c r="P545" s="11"/>
      <c r="Q545" s="11"/>
      <c r="R545" s="36"/>
      <c r="S545" s="36"/>
      <c r="T545" s="38"/>
      <c r="U545" s="38"/>
      <c r="V545" s="38"/>
      <c r="W545" s="38"/>
    </row>
    <row r="546" spans="12:23" s="12" customFormat="1" x14ac:dyDescent="0.35">
      <c r="L546" s="11"/>
      <c r="M546" s="11"/>
      <c r="N546" s="11"/>
      <c r="O546" s="11"/>
      <c r="P546" s="11"/>
      <c r="Q546" s="11"/>
      <c r="R546" s="36"/>
      <c r="S546" s="36"/>
      <c r="T546" s="38"/>
      <c r="U546" s="38"/>
      <c r="V546" s="38"/>
      <c r="W546" s="38"/>
    </row>
    <row r="547" spans="12:23" s="12" customFormat="1" x14ac:dyDescent="0.35">
      <c r="L547" s="11"/>
      <c r="M547" s="11"/>
      <c r="N547" s="11"/>
      <c r="O547" s="11"/>
      <c r="P547" s="11"/>
      <c r="Q547" s="11"/>
      <c r="R547" s="36"/>
      <c r="S547" s="36"/>
      <c r="T547" s="38"/>
      <c r="U547" s="38"/>
      <c r="V547" s="38"/>
      <c r="W547" s="38"/>
    </row>
    <row r="548" spans="12:23" s="12" customFormat="1" x14ac:dyDescent="0.35">
      <c r="L548" s="11"/>
      <c r="M548" s="11"/>
      <c r="N548" s="11"/>
      <c r="O548" s="11"/>
      <c r="P548" s="11"/>
      <c r="Q548" s="11"/>
      <c r="R548" s="36"/>
      <c r="S548" s="36"/>
      <c r="T548" s="38"/>
      <c r="U548" s="38"/>
      <c r="V548" s="38"/>
      <c r="W548" s="38"/>
    </row>
    <row r="549" spans="12:23" s="12" customFormat="1" x14ac:dyDescent="0.35">
      <c r="L549" s="11"/>
      <c r="M549" s="11"/>
      <c r="N549" s="11"/>
      <c r="O549" s="11"/>
      <c r="P549" s="11"/>
      <c r="Q549" s="11"/>
      <c r="R549" s="36"/>
      <c r="S549" s="36"/>
      <c r="T549" s="38"/>
      <c r="U549" s="38"/>
      <c r="V549" s="38"/>
      <c r="W549" s="38"/>
    </row>
    <row r="550" spans="12:23" s="12" customFormat="1" x14ac:dyDescent="0.35">
      <c r="L550" s="11"/>
      <c r="M550" s="11"/>
      <c r="N550" s="11"/>
      <c r="O550" s="11"/>
      <c r="P550" s="11"/>
      <c r="Q550" s="11"/>
      <c r="R550" s="36"/>
      <c r="S550" s="36"/>
      <c r="T550" s="38"/>
      <c r="U550" s="38"/>
      <c r="V550" s="38"/>
      <c r="W550" s="38"/>
    </row>
    <row r="551" spans="12:23" s="12" customFormat="1" x14ac:dyDescent="0.35">
      <c r="L551" s="11"/>
      <c r="M551" s="11"/>
      <c r="N551" s="11"/>
      <c r="O551" s="11"/>
      <c r="P551" s="11"/>
      <c r="Q551" s="11"/>
      <c r="R551" s="36"/>
      <c r="S551" s="36"/>
      <c r="T551" s="38"/>
      <c r="U551" s="38"/>
      <c r="V551" s="38"/>
      <c r="W551" s="38"/>
    </row>
    <row r="552" spans="12:23" s="12" customFormat="1" x14ac:dyDescent="0.35">
      <c r="L552" s="11"/>
      <c r="M552" s="11"/>
      <c r="N552" s="11"/>
      <c r="O552" s="11"/>
      <c r="P552" s="11"/>
      <c r="Q552" s="11"/>
      <c r="R552" s="36"/>
      <c r="S552" s="36"/>
      <c r="T552" s="38"/>
      <c r="U552" s="38"/>
      <c r="V552" s="38"/>
      <c r="W552" s="38"/>
    </row>
    <row r="553" spans="12:23" s="12" customFormat="1" x14ac:dyDescent="0.35">
      <c r="L553" s="11"/>
      <c r="M553" s="11"/>
      <c r="N553" s="11"/>
      <c r="O553" s="11"/>
      <c r="P553" s="11"/>
      <c r="Q553" s="11"/>
      <c r="R553" s="36"/>
      <c r="S553" s="36"/>
      <c r="T553" s="38"/>
      <c r="U553" s="38"/>
      <c r="V553" s="38"/>
      <c r="W553" s="38"/>
    </row>
    <row r="554" spans="12:23" s="12" customFormat="1" x14ac:dyDescent="0.35">
      <c r="L554" s="11"/>
      <c r="M554" s="11"/>
      <c r="N554" s="11"/>
      <c r="O554" s="11"/>
      <c r="P554" s="11"/>
      <c r="Q554" s="11"/>
      <c r="R554" s="36"/>
      <c r="S554" s="36"/>
      <c r="T554" s="38"/>
      <c r="U554" s="38"/>
      <c r="V554" s="38"/>
      <c r="W554" s="38"/>
    </row>
    <row r="555" spans="12:23" s="12" customFormat="1" x14ac:dyDescent="0.35">
      <c r="L555" s="11"/>
      <c r="M555" s="11"/>
      <c r="N555" s="11"/>
      <c r="O555" s="11"/>
      <c r="P555" s="11"/>
      <c r="Q555" s="11"/>
      <c r="R555" s="36"/>
      <c r="S555" s="36"/>
      <c r="T555" s="38"/>
      <c r="U555" s="38"/>
      <c r="V555" s="38"/>
      <c r="W555" s="38"/>
    </row>
    <row r="556" spans="12:23" s="12" customFormat="1" x14ac:dyDescent="0.35">
      <c r="L556" s="11"/>
      <c r="M556" s="11"/>
      <c r="N556" s="11"/>
      <c r="O556" s="11"/>
      <c r="P556" s="11"/>
      <c r="Q556" s="11"/>
      <c r="R556" s="36"/>
      <c r="S556" s="36"/>
      <c r="T556" s="38"/>
      <c r="U556" s="38"/>
      <c r="V556" s="38"/>
      <c r="W556" s="38"/>
    </row>
    <row r="557" spans="12:23" s="12" customFormat="1" x14ac:dyDescent="0.35">
      <c r="L557" s="11"/>
      <c r="M557" s="11"/>
      <c r="N557" s="11"/>
      <c r="O557" s="11"/>
      <c r="P557" s="11"/>
      <c r="Q557" s="11"/>
      <c r="R557" s="36"/>
      <c r="S557" s="36"/>
      <c r="T557" s="38"/>
      <c r="U557" s="38"/>
      <c r="V557" s="38"/>
      <c r="W557" s="38"/>
    </row>
    <row r="558" spans="12:23" s="12" customFormat="1" x14ac:dyDescent="0.35">
      <c r="L558" s="11"/>
      <c r="M558" s="11"/>
      <c r="N558" s="11"/>
      <c r="O558" s="11"/>
      <c r="P558" s="11"/>
      <c r="Q558" s="11"/>
      <c r="R558" s="36"/>
      <c r="S558" s="36"/>
      <c r="T558" s="38"/>
      <c r="U558" s="38"/>
      <c r="V558" s="38"/>
      <c r="W558" s="38"/>
    </row>
    <row r="559" spans="12:23" s="12" customFormat="1" x14ac:dyDescent="0.35">
      <c r="L559" s="11"/>
      <c r="M559" s="11"/>
      <c r="N559" s="11"/>
      <c r="O559" s="11"/>
      <c r="P559" s="11"/>
      <c r="Q559" s="11"/>
      <c r="R559" s="36"/>
      <c r="S559" s="36"/>
      <c r="T559" s="38"/>
      <c r="U559" s="38"/>
      <c r="V559" s="38"/>
      <c r="W559" s="38"/>
    </row>
    <row r="560" spans="12:23" s="12" customFormat="1" x14ac:dyDescent="0.35">
      <c r="L560" s="11"/>
      <c r="M560" s="11"/>
      <c r="N560" s="11"/>
      <c r="O560" s="11"/>
      <c r="P560" s="11"/>
      <c r="Q560" s="11"/>
      <c r="R560" s="36"/>
      <c r="S560" s="36"/>
      <c r="T560" s="38"/>
      <c r="U560" s="38"/>
      <c r="V560" s="38"/>
      <c r="W560" s="38"/>
    </row>
    <row r="561" spans="12:23" s="12" customFormat="1" x14ac:dyDescent="0.35">
      <c r="L561" s="11"/>
      <c r="M561" s="11"/>
      <c r="N561" s="11"/>
      <c r="O561" s="11"/>
      <c r="P561" s="11"/>
      <c r="Q561" s="11"/>
      <c r="R561" s="36"/>
      <c r="S561" s="36"/>
      <c r="T561" s="38"/>
      <c r="U561" s="38"/>
      <c r="V561" s="38"/>
      <c r="W561" s="38"/>
    </row>
    <row r="562" spans="12:23" s="12" customFormat="1" x14ac:dyDescent="0.35">
      <c r="L562" s="11"/>
      <c r="M562" s="11"/>
      <c r="N562" s="11"/>
      <c r="O562" s="11"/>
      <c r="P562" s="11"/>
      <c r="Q562" s="11"/>
      <c r="R562" s="36"/>
      <c r="S562" s="36"/>
      <c r="T562" s="38"/>
      <c r="U562" s="38"/>
      <c r="V562" s="38"/>
      <c r="W562" s="38"/>
    </row>
    <row r="563" spans="12:23" s="12" customFormat="1" x14ac:dyDescent="0.35">
      <c r="L563" s="11"/>
      <c r="M563" s="11"/>
      <c r="N563" s="11"/>
      <c r="O563" s="11"/>
      <c r="P563" s="11"/>
      <c r="Q563" s="11"/>
      <c r="R563" s="36"/>
      <c r="S563" s="36"/>
      <c r="T563" s="38"/>
      <c r="U563" s="38"/>
      <c r="V563" s="38"/>
      <c r="W563" s="38"/>
    </row>
    <row r="564" spans="12:23" s="12" customFormat="1" x14ac:dyDescent="0.35">
      <c r="L564" s="11"/>
      <c r="M564" s="11"/>
      <c r="N564" s="11"/>
      <c r="O564" s="11"/>
      <c r="P564" s="11"/>
      <c r="Q564" s="11"/>
      <c r="R564" s="36"/>
      <c r="S564" s="36"/>
      <c r="T564" s="38"/>
      <c r="U564" s="38"/>
      <c r="V564" s="38"/>
      <c r="W564" s="38"/>
    </row>
    <row r="565" spans="12:23" s="12" customFormat="1" x14ac:dyDescent="0.35">
      <c r="L565" s="11"/>
      <c r="M565" s="11"/>
      <c r="N565" s="11"/>
      <c r="O565" s="11"/>
      <c r="P565" s="11"/>
      <c r="Q565" s="11"/>
      <c r="R565" s="36"/>
      <c r="S565" s="36"/>
      <c r="T565" s="38"/>
      <c r="U565" s="38"/>
      <c r="V565" s="38"/>
      <c r="W565" s="38"/>
    </row>
    <row r="566" spans="12:23" s="12" customFormat="1" x14ac:dyDescent="0.35">
      <c r="L566" s="11"/>
      <c r="M566" s="11"/>
      <c r="N566" s="11"/>
      <c r="O566" s="11"/>
      <c r="P566" s="11"/>
      <c r="Q566" s="11"/>
      <c r="R566" s="36"/>
      <c r="S566" s="36"/>
      <c r="T566" s="38"/>
      <c r="U566" s="38"/>
      <c r="V566" s="38"/>
      <c r="W566" s="38"/>
    </row>
    <row r="567" spans="12:23" s="12" customFormat="1" x14ac:dyDescent="0.35">
      <c r="L567" s="11"/>
      <c r="M567" s="11"/>
      <c r="N567" s="11"/>
      <c r="O567" s="11"/>
      <c r="P567" s="11"/>
      <c r="Q567" s="11"/>
      <c r="R567" s="36"/>
      <c r="S567" s="36"/>
      <c r="T567" s="38"/>
      <c r="U567" s="38"/>
      <c r="V567" s="38"/>
      <c r="W567" s="38"/>
    </row>
    <row r="568" spans="12:23" s="12" customFormat="1" x14ac:dyDescent="0.35">
      <c r="L568" s="11"/>
      <c r="M568" s="11"/>
      <c r="N568" s="11"/>
      <c r="O568" s="11"/>
      <c r="P568" s="11"/>
      <c r="Q568" s="11"/>
      <c r="R568" s="36"/>
      <c r="S568" s="36"/>
      <c r="T568" s="38"/>
      <c r="U568" s="38"/>
      <c r="V568" s="38"/>
      <c r="W568" s="38"/>
    </row>
    <row r="569" spans="12:23" s="12" customFormat="1" x14ac:dyDescent="0.35">
      <c r="L569" s="11"/>
      <c r="M569" s="11"/>
      <c r="N569" s="11"/>
      <c r="O569" s="11"/>
      <c r="P569" s="11"/>
      <c r="Q569" s="11"/>
      <c r="R569" s="36"/>
      <c r="S569" s="36"/>
      <c r="T569" s="38"/>
      <c r="U569" s="38"/>
      <c r="V569" s="38"/>
      <c r="W569" s="38"/>
    </row>
    <row r="570" spans="12:23" s="12" customFormat="1" x14ac:dyDescent="0.35">
      <c r="L570" s="11"/>
      <c r="M570" s="11"/>
      <c r="N570" s="11"/>
      <c r="O570" s="11"/>
      <c r="P570" s="11"/>
      <c r="Q570" s="11"/>
      <c r="R570" s="36"/>
      <c r="S570" s="36"/>
      <c r="T570" s="38"/>
      <c r="U570" s="38"/>
      <c r="V570" s="38"/>
      <c r="W570" s="38"/>
    </row>
    <row r="571" spans="12:23" s="12" customFormat="1" x14ac:dyDescent="0.35">
      <c r="L571" s="11"/>
      <c r="M571" s="11"/>
      <c r="N571" s="11"/>
      <c r="O571" s="11"/>
      <c r="P571" s="11"/>
      <c r="Q571" s="11"/>
      <c r="R571" s="36"/>
      <c r="S571" s="36"/>
      <c r="T571" s="38"/>
      <c r="U571" s="38"/>
      <c r="V571" s="38"/>
      <c r="W571" s="38"/>
    </row>
    <row r="572" spans="12:23" s="12" customFormat="1" x14ac:dyDescent="0.35">
      <c r="L572" s="11"/>
      <c r="M572" s="11"/>
      <c r="N572" s="11"/>
      <c r="O572" s="11"/>
      <c r="P572" s="11"/>
      <c r="Q572" s="11"/>
      <c r="R572" s="36"/>
      <c r="S572" s="36"/>
      <c r="T572" s="38"/>
      <c r="U572" s="38"/>
      <c r="V572" s="38"/>
      <c r="W572" s="38"/>
    </row>
    <row r="573" spans="12:23" s="12" customFormat="1" x14ac:dyDescent="0.35">
      <c r="L573" s="11"/>
      <c r="M573" s="11"/>
      <c r="N573" s="11"/>
      <c r="O573" s="11"/>
      <c r="P573" s="11"/>
      <c r="Q573" s="11"/>
      <c r="R573" s="36"/>
      <c r="S573" s="36"/>
      <c r="T573" s="38"/>
      <c r="U573" s="38"/>
      <c r="V573" s="38"/>
      <c r="W573" s="38"/>
    </row>
    <row r="574" spans="12:23" s="12" customFormat="1" x14ac:dyDescent="0.35">
      <c r="L574" s="11"/>
      <c r="M574" s="11"/>
      <c r="N574" s="11"/>
      <c r="O574" s="11"/>
      <c r="P574" s="11"/>
      <c r="Q574" s="11"/>
      <c r="R574" s="36"/>
      <c r="S574" s="36"/>
      <c r="T574" s="38"/>
      <c r="U574" s="38"/>
      <c r="V574" s="38"/>
      <c r="W574" s="38"/>
    </row>
    <row r="575" spans="12:23" s="12" customFormat="1" x14ac:dyDescent="0.35">
      <c r="L575" s="11"/>
      <c r="M575" s="11"/>
      <c r="N575" s="11"/>
      <c r="O575" s="11"/>
      <c r="P575" s="11"/>
      <c r="Q575" s="11"/>
      <c r="R575" s="36"/>
      <c r="S575" s="36"/>
      <c r="T575" s="38"/>
      <c r="U575" s="38"/>
      <c r="V575" s="38"/>
      <c r="W575" s="38"/>
    </row>
    <row r="576" spans="12:23" s="12" customFormat="1" x14ac:dyDescent="0.35">
      <c r="L576" s="11"/>
      <c r="M576" s="11"/>
      <c r="N576" s="11"/>
      <c r="O576" s="11"/>
      <c r="P576" s="11"/>
      <c r="Q576" s="11"/>
      <c r="R576" s="36"/>
      <c r="S576" s="36"/>
      <c r="T576" s="38"/>
      <c r="U576" s="38"/>
      <c r="V576" s="38"/>
      <c r="W576" s="38"/>
    </row>
    <row r="577" spans="12:23" s="12" customFormat="1" x14ac:dyDescent="0.35">
      <c r="L577" s="11"/>
      <c r="M577" s="11"/>
      <c r="N577" s="11"/>
      <c r="O577" s="11"/>
      <c r="P577" s="11"/>
      <c r="Q577" s="11"/>
      <c r="R577" s="36"/>
      <c r="S577" s="36"/>
      <c r="T577" s="38"/>
      <c r="U577" s="38"/>
      <c r="V577" s="38"/>
      <c r="W577" s="38"/>
    </row>
    <row r="578" spans="12:23" s="12" customFormat="1" x14ac:dyDescent="0.35">
      <c r="L578" s="11"/>
      <c r="M578" s="11"/>
      <c r="N578" s="11"/>
      <c r="O578" s="11"/>
      <c r="P578" s="11"/>
      <c r="Q578" s="11"/>
      <c r="R578" s="36"/>
      <c r="S578" s="36"/>
      <c r="T578" s="38"/>
      <c r="U578" s="38"/>
      <c r="V578" s="38"/>
      <c r="W578" s="38"/>
    </row>
    <row r="579" spans="12:23" s="12" customFormat="1" x14ac:dyDescent="0.35">
      <c r="L579" s="11"/>
      <c r="M579" s="11"/>
      <c r="N579" s="11"/>
      <c r="O579" s="11"/>
      <c r="P579" s="11"/>
      <c r="Q579" s="11"/>
      <c r="R579" s="36"/>
      <c r="S579" s="36"/>
      <c r="T579" s="38"/>
      <c r="U579" s="38"/>
      <c r="V579" s="38"/>
      <c r="W579" s="38"/>
    </row>
    <row r="580" spans="12:23" s="12" customFormat="1" x14ac:dyDescent="0.35">
      <c r="L580" s="11"/>
      <c r="M580" s="11"/>
      <c r="N580" s="11"/>
      <c r="O580" s="11"/>
      <c r="P580" s="11"/>
      <c r="Q580" s="11"/>
      <c r="R580" s="36"/>
      <c r="S580" s="36"/>
      <c r="T580" s="38"/>
      <c r="U580" s="38"/>
      <c r="V580" s="38"/>
      <c r="W580" s="38"/>
    </row>
    <row r="581" spans="12:23" s="12" customFormat="1" x14ac:dyDescent="0.35">
      <c r="L581" s="11"/>
      <c r="M581" s="11"/>
      <c r="N581" s="11"/>
      <c r="O581" s="11"/>
      <c r="P581" s="11"/>
      <c r="Q581" s="11"/>
      <c r="R581" s="36"/>
      <c r="S581" s="36"/>
      <c r="T581" s="38"/>
      <c r="U581" s="38"/>
      <c r="V581" s="38"/>
      <c r="W581" s="38"/>
    </row>
    <row r="582" spans="12:23" s="12" customFormat="1" x14ac:dyDescent="0.35">
      <c r="L582" s="11"/>
      <c r="M582" s="11"/>
      <c r="N582" s="11"/>
      <c r="O582" s="11"/>
      <c r="P582" s="11"/>
      <c r="Q582" s="11"/>
      <c r="R582" s="36"/>
      <c r="S582" s="36"/>
      <c r="T582" s="38"/>
      <c r="U582" s="38"/>
      <c r="V582" s="38"/>
      <c r="W582" s="38"/>
    </row>
    <row r="583" spans="12:23" s="12" customFormat="1" x14ac:dyDescent="0.35">
      <c r="L583" s="11"/>
      <c r="M583" s="11"/>
      <c r="N583" s="11"/>
      <c r="O583" s="11"/>
      <c r="P583" s="11"/>
      <c r="Q583" s="11"/>
      <c r="R583" s="36"/>
      <c r="S583" s="36"/>
      <c r="T583" s="38"/>
      <c r="U583" s="38"/>
      <c r="V583" s="38"/>
      <c r="W583" s="38"/>
    </row>
    <row r="584" spans="12:23" s="12" customFormat="1" x14ac:dyDescent="0.35">
      <c r="L584" s="11"/>
      <c r="M584" s="11"/>
      <c r="N584" s="11"/>
      <c r="O584" s="11"/>
      <c r="P584" s="11"/>
      <c r="Q584" s="11"/>
      <c r="R584" s="36"/>
      <c r="S584" s="36"/>
      <c r="T584" s="38"/>
      <c r="U584" s="38"/>
      <c r="V584" s="38"/>
      <c r="W584" s="38"/>
    </row>
    <row r="585" spans="12:23" s="12" customFormat="1" x14ac:dyDescent="0.35">
      <c r="L585" s="11"/>
      <c r="M585" s="11"/>
      <c r="N585" s="11"/>
      <c r="O585" s="11"/>
      <c r="P585" s="11"/>
      <c r="Q585" s="11"/>
      <c r="R585" s="36"/>
      <c r="S585" s="36"/>
      <c r="T585" s="38"/>
      <c r="U585" s="38"/>
      <c r="V585" s="38"/>
      <c r="W585" s="38"/>
    </row>
    <row r="586" spans="12:23" s="12" customFormat="1" x14ac:dyDescent="0.35">
      <c r="L586" s="11"/>
      <c r="M586" s="11"/>
      <c r="N586" s="11"/>
      <c r="O586" s="11"/>
      <c r="P586" s="11"/>
      <c r="Q586" s="11"/>
      <c r="R586" s="36"/>
      <c r="S586" s="36"/>
      <c r="T586" s="38"/>
      <c r="U586" s="38"/>
      <c r="V586" s="38"/>
      <c r="W586" s="38"/>
    </row>
    <row r="587" spans="12:23" s="12" customFormat="1" x14ac:dyDescent="0.35">
      <c r="L587" s="11"/>
      <c r="M587" s="11"/>
      <c r="N587" s="11"/>
      <c r="O587" s="11"/>
      <c r="P587" s="11"/>
      <c r="Q587" s="11"/>
      <c r="R587" s="36"/>
      <c r="S587" s="36"/>
      <c r="T587" s="38"/>
      <c r="U587" s="38"/>
      <c r="V587" s="38"/>
      <c r="W587" s="38"/>
    </row>
    <row r="588" spans="12:23" s="12" customFormat="1" x14ac:dyDescent="0.35">
      <c r="L588" s="11"/>
      <c r="M588" s="11"/>
      <c r="N588" s="11"/>
      <c r="O588" s="11"/>
      <c r="P588" s="11"/>
      <c r="Q588" s="11"/>
      <c r="R588" s="36"/>
      <c r="S588" s="36"/>
      <c r="T588" s="38"/>
      <c r="U588" s="38"/>
      <c r="V588" s="38"/>
      <c r="W588" s="38"/>
    </row>
    <row r="589" spans="12:23" s="12" customFormat="1" x14ac:dyDescent="0.35">
      <c r="L589" s="11"/>
      <c r="M589" s="11"/>
      <c r="N589" s="11"/>
      <c r="O589" s="11"/>
      <c r="P589" s="11"/>
      <c r="Q589" s="11"/>
      <c r="R589" s="36"/>
      <c r="S589" s="36"/>
      <c r="T589" s="38"/>
      <c r="U589" s="38"/>
      <c r="V589" s="38"/>
      <c r="W589" s="38"/>
    </row>
    <row r="590" spans="12:23" s="12" customFormat="1" x14ac:dyDescent="0.35">
      <c r="L590" s="11"/>
      <c r="M590" s="11"/>
      <c r="N590" s="11"/>
      <c r="O590" s="11"/>
      <c r="P590" s="11"/>
      <c r="Q590" s="11"/>
      <c r="R590" s="36"/>
      <c r="S590" s="36"/>
      <c r="T590" s="38"/>
      <c r="U590" s="38"/>
      <c r="V590" s="38"/>
      <c r="W590" s="38"/>
    </row>
    <row r="591" spans="12:23" s="12" customFormat="1" x14ac:dyDescent="0.35">
      <c r="L591" s="11"/>
      <c r="M591" s="11"/>
      <c r="N591" s="11"/>
      <c r="O591" s="11"/>
      <c r="P591" s="11"/>
      <c r="Q591" s="11"/>
      <c r="R591" s="36"/>
      <c r="S591" s="36"/>
      <c r="T591" s="38"/>
      <c r="U591" s="38"/>
      <c r="V591" s="38"/>
      <c r="W591" s="38"/>
    </row>
    <row r="592" spans="12:23" s="12" customFormat="1" x14ac:dyDescent="0.35">
      <c r="L592" s="11"/>
      <c r="M592" s="11"/>
      <c r="N592" s="11"/>
      <c r="O592" s="11"/>
      <c r="P592" s="11"/>
      <c r="Q592" s="11"/>
      <c r="R592" s="36"/>
      <c r="S592" s="36"/>
      <c r="T592" s="38"/>
      <c r="U592" s="38"/>
      <c r="V592" s="38"/>
      <c r="W592" s="38"/>
    </row>
    <row r="593" spans="12:23" s="12" customFormat="1" x14ac:dyDescent="0.35">
      <c r="L593" s="11"/>
      <c r="M593" s="11"/>
      <c r="N593" s="11"/>
      <c r="O593" s="11"/>
      <c r="P593" s="11"/>
      <c r="Q593" s="11"/>
      <c r="R593" s="36"/>
      <c r="S593" s="36"/>
      <c r="T593" s="38"/>
      <c r="U593" s="38"/>
      <c r="V593" s="38"/>
      <c r="W593" s="38"/>
    </row>
    <row r="594" spans="12:23" s="12" customFormat="1" x14ac:dyDescent="0.35">
      <c r="L594" s="11"/>
      <c r="M594" s="11"/>
      <c r="N594" s="11"/>
      <c r="O594" s="11"/>
      <c r="P594" s="11"/>
      <c r="Q594" s="11"/>
      <c r="R594" s="36"/>
      <c r="S594" s="36"/>
      <c r="T594" s="38"/>
      <c r="U594" s="38"/>
      <c r="V594" s="38"/>
      <c r="W594" s="38"/>
    </row>
    <row r="595" spans="12:23" s="12" customFormat="1" x14ac:dyDescent="0.35">
      <c r="L595" s="11"/>
      <c r="M595" s="11"/>
      <c r="N595" s="11"/>
      <c r="O595" s="11"/>
      <c r="P595" s="11"/>
      <c r="Q595" s="11"/>
      <c r="R595" s="36"/>
      <c r="S595" s="36"/>
      <c r="T595" s="38"/>
      <c r="U595" s="38"/>
      <c r="V595" s="38"/>
      <c r="W595" s="38"/>
    </row>
    <row r="596" spans="12:23" s="12" customFormat="1" x14ac:dyDescent="0.35">
      <c r="L596" s="11"/>
      <c r="M596" s="11"/>
      <c r="N596" s="11"/>
      <c r="O596" s="11"/>
      <c r="P596" s="11"/>
      <c r="Q596" s="11"/>
      <c r="R596" s="36"/>
      <c r="S596" s="36"/>
      <c r="T596" s="38"/>
      <c r="U596" s="38"/>
      <c r="V596" s="38"/>
      <c r="W596" s="38"/>
    </row>
    <row r="597" spans="12:23" s="12" customFormat="1" x14ac:dyDescent="0.35">
      <c r="L597" s="11"/>
      <c r="M597" s="11"/>
      <c r="N597" s="11"/>
      <c r="O597" s="11"/>
      <c r="P597" s="11"/>
      <c r="Q597" s="11"/>
      <c r="R597" s="36"/>
      <c r="S597" s="36"/>
      <c r="T597" s="38"/>
      <c r="U597" s="38"/>
      <c r="V597" s="38"/>
      <c r="W597" s="38"/>
    </row>
    <row r="598" spans="12:23" s="12" customFormat="1" x14ac:dyDescent="0.35">
      <c r="L598" s="11"/>
      <c r="M598" s="11"/>
      <c r="N598" s="11"/>
      <c r="O598" s="11"/>
      <c r="P598" s="11"/>
      <c r="Q598" s="11"/>
      <c r="R598" s="36"/>
      <c r="S598" s="36"/>
      <c r="T598" s="38"/>
      <c r="U598" s="38"/>
      <c r="V598" s="38"/>
      <c r="W598" s="38"/>
    </row>
    <row r="599" spans="12:23" s="12" customFormat="1" x14ac:dyDescent="0.35">
      <c r="L599" s="11"/>
      <c r="M599" s="11"/>
      <c r="N599" s="11"/>
      <c r="O599" s="11"/>
      <c r="P599" s="11"/>
      <c r="Q599" s="11"/>
      <c r="R599" s="36"/>
      <c r="S599" s="36"/>
      <c r="T599" s="38"/>
      <c r="U599" s="38"/>
      <c r="V599" s="38"/>
      <c r="W599" s="38"/>
    </row>
    <row r="600" spans="12:23" s="12" customFormat="1" x14ac:dyDescent="0.35">
      <c r="L600" s="11"/>
      <c r="M600" s="11"/>
      <c r="N600" s="11"/>
      <c r="O600" s="11"/>
      <c r="P600" s="11"/>
      <c r="Q600" s="11"/>
      <c r="R600" s="36"/>
      <c r="S600" s="36"/>
      <c r="T600" s="38"/>
      <c r="U600" s="38"/>
      <c r="V600" s="38"/>
      <c r="W600" s="38"/>
    </row>
    <row r="601" spans="12:23" s="12" customFormat="1" x14ac:dyDescent="0.35">
      <c r="L601" s="11"/>
      <c r="M601" s="11"/>
      <c r="N601" s="11"/>
      <c r="O601" s="11"/>
      <c r="P601" s="11"/>
      <c r="Q601" s="11"/>
      <c r="R601" s="36"/>
      <c r="S601" s="36"/>
      <c r="T601" s="38"/>
      <c r="U601" s="38"/>
      <c r="V601" s="38"/>
      <c r="W601" s="38"/>
    </row>
    <row r="602" spans="12:23" s="12" customFormat="1" x14ac:dyDescent="0.35">
      <c r="L602" s="11"/>
      <c r="M602" s="11"/>
      <c r="N602" s="11"/>
      <c r="O602" s="11"/>
      <c r="P602" s="11"/>
      <c r="Q602" s="11"/>
      <c r="R602" s="36"/>
      <c r="S602" s="36"/>
      <c r="T602" s="38"/>
      <c r="U602" s="38"/>
      <c r="V602" s="38"/>
      <c r="W602" s="38"/>
    </row>
    <row r="603" spans="12:23" s="12" customFormat="1" x14ac:dyDescent="0.35">
      <c r="L603" s="11"/>
      <c r="M603" s="11"/>
      <c r="N603" s="11"/>
      <c r="O603" s="11"/>
      <c r="P603" s="11"/>
      <c r="Q603" s="11"/>
      <c r="R603" s="36"/>
      <c r="S603" s="36"/>
      <c r="T603" s="38"/>
      <c r="U603" s="38"/>
      <c r="V603" s="38"/>
      <c r="W603" s="38"/>
    </row>
    <row r="604" spans="12:23" s="12" customFormat="1" x14ac:dyDescent="0.35">
      <c r="L604" s="11"/>
      <c r="M604" s="11"/>
      <c r="N604" s="11"/>
      <c r="O604" s="11"/>
      <c r="P604" s="11"/>
      <c r="Q604" s="11"/>
      <c r="R604" s="36"/>
      <c r="S604" s="36"/>
      <c r="T604" s="38"/>
      <c r="U604" s="38"/>
      <c r="V604" s="38"/>
      <c r="W604" s="38"/>
    </row>
    <row r="605" spans="12:23" s="12" customFormat="1" x14ac:dyDescent="0.35">
      <c r="L605" s="11"/>
      <c r="M605" s="11"/>
      <c r="N605" s="11"/>
      <c r="O605" s="11"/>
      <c r="P605" s="11"/>
      <c r="Q605" s="11"/>
      <c r="R605" s="36"/>
      <c r="S605" s="36"/>
      <c r="T605" s="38"/>
      <c r="U605" s="38"/>
      <c r="V605" s="38"/>
      <c r="W605" s="38"/>
    </row>
    <row r="606" spans="12:23" s="12" customFormat="1" x14ac:dyDescent="0.35">
      <c r="L606" s="11"/>
      <c r="M606" s="11"/>
      <c r="N606" s="11"/>
      <c r="O606" s="11"/>
      <c r="P606" s="11"/>
      <c r="Q606" s="11"/>
      <c r="R606" s="36"/>
      <c r="S606" s="36"/>
      <c r="T606" s="38"/>
      <c r="U606" s="38"/>
      <c r="V606" s="38"/>
      <c r="W606" s="38"/>
    </row>
    <row r="607" spans="12:23" s="12" customFormat="1" x14ac:dyDescent="0.35">
      <c r="L607" s="11"/>
      <c r="M607" s="11"/>
      <c r="N607" s="11"/>
      <c r="O607" s="11"/>
      <c r="P607" s="11"/>
      <c r="Q607" s="11"/>
      <c r="R607" s="36"/>
      <c r="S607" s="36"/>
      <c r="T607" s="38"/>
      <c r="U607" s="38"/>
      <c r="V607" s="38"/>
      <c r="W607" s="38"/>
    </row>
    <row r="608" spans="12:23" s="12" customFormat="1" x14ac:dyDescent="0.35">
      <c r="L608" s="11"/>
      <c r="M608" s="11"/>
      <c r="N608" s="11"/>
      <c r="O608" s="11"/>
      <c r="P608" s="11"/>
      <c r="Q608" s="11"/>
      <c r="R608" s="36"/>
      <c r="S608" s="36"/>
      <c r="T608" s="38"/>
      <c r="U608" s="38"/>
      <c r="V608" s="38"/>
      <c r="W608" s="38"/>
    </row>
    <row r="609" spans="12:23" s="12" customFormat="1" x14ac:dyDescent="0.35">
      <c r="L609" s="11"/>
      <c r="M609" s="11"/>
      <c r="N609" s="11"/>
      <c r="O609" s="11"/>
      <c r="P609" s="11"/>
      <c r="Q609" s="11"/>
      <c r="R609" s="36"/>
      <c r="S609" s="36"/>
      <c r="T609" s="38"/>
      <c r="U609" s="38"/>
      <c r="V609" s="38"/>
      <c r="W609" s="38"/>
    </row>
    <row r="610" spans="12:23" s="12" customFormat="1" x14ac:dyDescent="0.35">
      <c r="L610" s="11"/>
      <c r="M610" s="11"/>
      <c r="N610" s="11"/>
      <c r="O610" s="11"/>
      <c r="P610" s="11"/>
      <c r="Q610" s="11"/>
      <c r="R610" s="36"/>
      <c r="S610" s="36"/>
      <c r="T610" s="38"/>
      <c r="U610" s="38"/>
      <c r="V610" s="38"/>
      <c r="W610" s="38"/>
    </row>
    <row r="611" spans="12:23" s="12" customFormat="1" x14ac:dyDescent="0.35">
      <c r="L611" s="11"/>
      <c r="M611" s="11"/>
      <c r="N611" s="11"/>
      <c r="O611" s="11"/>
      <c r="P611" s="11"/>
      <c r="Q611" s="11"/>
      <c r="R611" s="36"/>
      <c r="S611" s="36"/>
      <c r="T611" s="38"/>
      <c r="U611" s="38"/>
      <c r="V611" s="38"/>
      <c r="W611" s="38"/>
    </row>
    <row r="612" spans="12:23" s="12" customFormat="1" x14ac:dyDescent="0.35">
      <c r="L612" s="11"/>
      <c r="M612" s="11"/>
      <c r="N612" s="11"/>
      <c r="O612" s="11"/>
      <c r="P612" s="11"/>
      <c r="Q612" s="11"/>
      <c r="R612" s="36"/>
      <c r="S612" s="36"/>
      <c r="T612" s="38"/>
      <c r="U612" s="38"/>
      <c r="V612" s="38"/>
      <c r="W612" s="38"/>
    </row>
    <row r="613" spans="12:23" s="12" customFormat="1" x14ac:dyDescent="0.35">
      <c r="L613" s="11"/>
      <c r="M613" s="11"/>
      <c r="N613" s="11"/>
      <c r="O613" s="11"/>
      <c r="P613" s="11"/>
      <c r="Q613" s="11"/>
      <c r="R613" s="36"/>
      <c r="S613" s="36"/>
      <c r="T613" s="38"/>
      <c r="U613" s="38"/>
      <c r="V613" s="38"/>
      <c r="W613" s="38"/>
    </row>
    <row r="614" spans="12:23" s="12" customFormat="1" x14ac:dyDescent="0.35">
      <c r="L614" s="11"/>
      <c r="M614" s="11"/>
      <c r="N614" s="11"/>
      <c r="O614" s="11"/>
      <c r="P614" s="11"/>
      <c r="Q614" s="11"/>
      <c r="R614" s="36"/>
      <c r="S614" s="36"/>
      <c r="T614" s="38"/>
      <c r="U614" s="38"/>
      <c r="V614" s="38"/>
      <c r="W614" s="38"/>
    </row>
    <row r="615" spans="12:23" s="12" customFormat="1" x14ac:dyDescent="0.35">
      <c r="L615" s="11"/>
      <c r="M615" s="11"/>
      <c r="N615" s="11"/>
      <c r="O615" s="11"/>
      <c r="P615" s="11"/>
      <c r="Q615" s="11"/>
      <c r="R615" s="36"/>
      <c r="S615" s="36"/>
      <c r="T615" s="38"/>
      <c r="U615" s="38"/>
      <c r="V615" s="38"/>
      <c r="W615" s="38"/>
    </row>
    <row r="616" spans="12:23" s="12" customFormat="1" x14ac:dyDescent="0.35">
      <c r="L616" s="11"/>
      <c r="M616" s="11"/>
      <c r="N616" s="11"/>
      <c r="O616" s="11"/>
      <c r="P616" s="11"/>
      <c r="Q616" s="11"/>
      <c r="R616" s="36"/>
      <c r="S616" s="36"/>
      <c r="T616" s="38"/>
      <c r="U616" s="38"/>
      <c r="V616" s="38"/>
      <c r="W616" s="38"/>
    </row>
    <row r="617" spans="12:23" s="12" customFormat="1" x14ac:dyDescent="0.35">
      <c r="L617" s="11"/>
      <c r="M617" s="11"/>
      <c r="N617" s="11"/>
      <c r="O617" s="11"/>
      <c r="P617" s="11"/>
      <c r="Q617" s="11"/>
      <c r="R617" s="36"/>
      <c r="S617" s="36"/>
      <c r="T617" s="38"/>
      <c r="U617" s="38"/>
      <c r="V617" s="38"/>
      <c r="W617" s="38"/>
    </row>
    <row r="618" spans="12:23" s="12" customFormat="1" x14ac:dyDescent="0.35">
      <c r="L618" s="11"/>
      <c r="M618" s="11"/>
      <c r="N618" s="11"/>
      <c r="O618" s="11"/>
      <c r="P618" s="11"/>
      <c r="Q618" s="11"/>
      <c r="R618" s="36"/>
      <c r="S618" s="36"/>
      <c r="T618" s="38"/>
      <c r="U618" s="38"/>
      <c r="V618" s="38"/>
      <c r="W618" s="38"/>
    </row>
    <row r="619" spans="12:23" s="12" customFormat="1" x14ac:dyDescent="0.35">
      <c r="L619" s="11"/>
      <c r="M619" s="11"/>
      <c r="N619" s="11"/>
      <c r="O619" s="11"/>
      <c r="P619" s="11"/>
      <c r="Q619" s="11"/>
      <c r="R619" s="36"/>
      <c r="S619" s="36"/>
      <c r="T619" s="38"/>
      <c r="U619" s="38"/>
      <c r="V619" s="38"/>
      <c r="W619" s="38"/>
    </row>
    <row r="620" spans="12:23" s="12" customFormat="1" x14ac:dyDescent="0.35">
      <c r="L620" s="11"/>
      <c r="M620" s="11"/>
      <c r="N620" s="11"/>
      <c r="O620" s="11"/>
      <c r="P620" s="11"/>
      <c r="Q620" s="11"/>
      <c r="R620" s="36"/>
      <c r="S620" s="36"/>
      <c r="T620" s="38"/>
      <c r="U620" s="38"/>
      <c r="V620" s="38"/>
      <c r="W620" s="38"/>
    </row>
    <row r="621" spans="12:23" s="12" customFormat="1" x14ac:dyDescent="0.35">
      <c r="L621" s="11"/>
      <c r="M621" s="11"/>
      <c r="N621" s="11"/>
      <c r="O621" s="11"/>
      <c r="P621" s="11"/>
      <c r="Q621" s="11"/>
      <c r="R621" s="36"/>
      <c r="S621" s="36"/>
      <c r="T621" s="38"/>
      <c r="U621" s="38"/>
      <c r="V621" s="38"/>
      <c r="W621" s="38"/>
    </row>
    <row r="622" spans="12:23" s="12" customFormat="1" x14ac:dyDescent="0.35">
      <c r="L622" s="11"/>
      <c r="M622" s="11"/>
      <c r="N622" s="11"/>
      <c r="O622" s="11"/>
      <c r="P622" s="11"/>
      <c r="Q622" s="11"/>
      <c r="R622" s="36"/>
      <c r="S622" s="36"/>
      <c r="T622" s="38"/>
      <c r="U622" s="38"/>
      <c r="V622" s="38"/>
      <c r="W622" s="38"/>
    </row>
    <row r="623" spans="12:23" s="12" customFormat="1" x14ac:dyDescent="0.35">
      <c r="L623" s="11"/>
      <c r="M623" s="11"/>
      <c r="N623" s="11"/>
      <c r="O623" s="11"/>
      <c r="P623" s="11"/>
      <c r="Q623" s="11"/>
      <c r="R623" s="36"/>
      <c r="S623" s="36"/>
      <c r="T623" s="38"/>
      <c r="U623" s="38"/>
      <c r="V623" s="38"/>
      <c r="W623" s="38"/>
    </row>
    <row r="624" spans="12:23" s="12" customFormat="1" x14ac:dyDescent="0.35">
      <c r="L624" s="11"/>
      <c r="M624" s="11"/>
      <c r="N624" s="11"/>
      <c r="O624" s="11"/>
      <c r="P624" s="11"/>
      <c r="Q624" s="11"/>
      <c r="R624" s="36"/>
      <c r="S624" s="36"/>
      <c r="T624" s="38"/>
      <c r="U624" s="38"/>
      <c r="V624" s="38"/>
      <c r="W624" s="38"/>
    </row>
    <row r="625" spans="12:23" s="12" customFormat="1" x14ac:dyDescent="0.35">
      <c r="L625" s="11"/>
      <c r="M625" s="11"/>
      <c r="N625" s="11"/>
      <c r="O625" s="11"/>
      <c r="P625" s="11"/>
      <c r="Q625" s="11"/>
      <c r="R625" s="36"/>
      <c r="S625" s="36"/>
      <c r="T625" s="38"/>
      <c r="U625" s="38"/>
      <c r="V625" s="38"/>
      <c r="W625" s="38"/>
    </row>
    <row r="626" spans="12:23" s="12" customFormat="1" x14ac:dyDescent="0.35">
      <c r="L626" s="11"/>
      <c r="M626" s="11"/>
      <c r="N626" s="11"/>
      <c r="O626" s="11"/>
      <c r="P626" s="11"/>
      <c r="Q626" s="11"/>
      <c r="R626" s="36"/>
      <c r="S626" s="36"/>
      <c r="T626" s="38"/>
      <c r="U626" s="38"/>
      <c r="V626" s="38"/>
      <c r="W626" s="38"/>
    </row>
    <row r="627" spans="12:23" s="12" customFormat="1" x14ac:dyDescent="0.35">
      <c r="L627" s="11"/>
      <c r="M627" s="11"/>
      <c r="N627" s="11"/>
      <c r="O627" s="11"/>
      <c r="P627" s="11"/>
      <c r="Q627" s="11"/>
      <c r="R627" s="36"/>
      <c r="S627" s="36"/>
      <c r="T627" s="38"/>
      <c r="U627" s="38"/>
      <c r="V627" s="38"/>
      <c r="W627" s="38"/>
    </row>
    <row r="628" spans="12:23" s="12" customFormat="1" x14ac:dyDescent="0.35">
      <c r="L628" s="11"/>
      <c r="M628" s="11"/>
      <c r="N628" s="11"/>
      <c r="O628" s="11"/>
      <c r="P628" s="11"/>
      <c r="Q628" s="11"/>
      <c r="R628" s="36"/>
      <c r="S628" s="36"/>
      <c r="T628" s="38"/>
      <c r="U628" s="38"/>
      <c r="V628" s="38"/>
      <c r="W628" s="38"/>
    </row>
    <row r="629" spans="12:23" s="12" customFormat="1" x14ac:dyDescent="0.35">
      <c r="L629" s="11"/>
      <c r="M629" s="11"/>
      <c r="N629" s="11"/>
      <c r="O629" s="11"/>
      <c r="P629" s="11"/>
      <c r="Q629" s="11"/>
      <c r="R629" s="36"/>
      <c r="S629" s="36"/>
      <c r="T629" s="38"/>
      <c r="U629" s="38"/>
      <c r="V629" s="38"/>
      <c r="W629" s="38"/>
    </row>
    <row r="630" spans="12:23" s="12" customFormat="1" x14ac:dyDescent="0.35">
      <c r="L630" s="11"/>
      <c r="M630" s="11"/>
      <c r="N630" s="11"/>
      <c r="O630" s="11"/>
      <c r="P630" s="11"/>
      <c r="Q630" s="11"/>
      <c r="R630" s="36"/>
      <c r="S630" s="36"/>
      <c r="T630" s="38"/>
      <c r="U630" s="38"/>
      <c r="V630" s="38"/>
      <c r="W630" s="38"/>
    </row>
    <row r="631" spans="12:23" s="12" customFormat="1" x14ac:dyDescent="0.35">
      <c r="L631" s="11"/>
      <c r="M631" s="11"/>
      <c r="N631" s="11"/>
      <c r="O631" s="11"/>
      <c r="P631" s="11"/>
      <c r="Q631" s="11"/>
      <c r="R631" s="36"/>
      <c r="S631" s="36"/>
      <c r="T631" s="38"/>
      <c r="U631" s="38"/>
      <c r="V631" s="38"/>
      <c r="W631" s="38"/>
    </row>
    <row r="632" spans="12:23" s="12" customFormat="1" x14ac:dyDescent="0.35">
      <c r="L632" s="11"/>
      <c r="M632" s="11"/>
      <c r="N632" s="11"/>
      <c r="O632" s="11"/>
      <c r="P632" s="11"/>
      <c r="Q632" s="11"/>
      <c r="R632" s="36"/>
      <c r="S632" s="36"/>
      <c r="T632" s="38"/>
      <c r="U632" s="38"/>
      <c r="V632" s="38"/>
      <c r="W632" s="38"/>
    </row>
    <row r="633" spans="12:23" s="12" customFormat="1" x14ac:dyDescent="0.35">
      <c r="L633" s="11"/>
      <c r="M633" s="11"/>
      <c r="N633" s="11"/>
      <c r="O633" s="11"/>
      <c r="P633" s="11"/>
      <c r="Q633" s="11"/>
      <c r="R633" s="36"/>
      <c r="S633" s="36"/>
      <c r="T633" s="38"/>
      <c r="U633" s="38"/>
      <c r="V633" s="38"/>
      <c r="W633" s="38"/>
    </row>
    <row r="634" spans="12:23" s="12" customFormat="1" x14ac:dyDescent="0.35">
      <c r="L634" s="11"/>
      <c r="M634" s="11"/>
      <c r="N634" s="11"/>
      <c r="O634" s="11"/>
      <c r="P634" s="11"/>
      <c r="Q634" s="11"/>
      <c r="R634" s="36"/>
      <c r="S634" s="36"/>
      <c r="T634" s="38"/>
      <c r="U634" s="38"/>
      <c r="V634" s="38"/>
      <c r="W634" s="38"/>
    </row>
    <row r="635" spans="12:23" s="12" customFormat="1" x14ac:dyDescent="0.35">
      <c r="L635" s="11"/>
      <c r="M635" s="11"/>
      <c r="N635" s="11"/>
      <c r="O635" s="11"/>
      <c r="P635" s="11"/>
      <c r="Q635" s="11"/>
      <c r="R635" s="36"/>
      <c r="S635" s="36"/>
      <c r="T635" s="38"/>
      <c r="U635" s="38"/>
      <c r="V635" s="38"/>
      <c r="W635" s="38"/>
    </row>
    <row r="636" spans="12:23" s="12" customFormat="1" x14ac:dyDescent="0.35">
      <c r="L636" s="11"/>
      <c r="M636" s="11"/>
      <c r="N636" s="11"/>
      <c r="O636" s="11"/>
      <c r="P636" s="11"/>
      <c r="Q636" s="11"/>
      <c r="R636" s="36"/>
      <c r="S636" s="36"/>
      <c r="T636" s="38"/>
      <c r="U636" s="38"/>
      <c r="V636" s="38"/>
      <c r="W636" s="38"/>
    </row>
    <row r="637" spans="12:23" s="12" customFormat="1" x14ac:dyDescent="0.35">
      <c r="L637" s="11"/>
      <c r="M637" s="11"/>
      <c r="N637" s="11"/>
      <c r="O637" s="11"/>
      <c r="P637" s="11"/>
      <c r="Q637" s="11"/>
      <c r="R637" s="36"/>
      <c r="S637" s="36"/>
      <c r="T637" s="38"/>
      <c r="U637" s="38"/>
      <c r="V637" s="38"/>
      <c r="W637" s="38"/>
    </row>
    <row r="638" spans="12:23" s="12" customFormat="1" x14ac:dyDescent="0.35">
      <c r="L638" s="11"/>
      <c r="M638" s="11"/>
      <c r="N638" s="11"/>
      <c r="O638" s="11"/>
      <c r="P638" s="11"/>
      <c r="Q638" s="11"/>
      <c r="R638" s="36"/>
      <c r="S638" s="36"/>
      <c r="T638" s="38"/>
      <c r="U638" s="38"/>
      <c r="V638" s="38"/>
      <c r="W638" s="38"/>
    </row>
    <row r="639" spans="12:23" s="12" customFormat="1" x14ac:dyDescent="0.35">
      <c r="L639" s="11"/>
      <c r="M639" s="11"/>
      <c r="N639" s="11"/>
      <c r="O639" s="11"/>
      <c r="P639" s="11"/>
      <c r="Q639" s="11"/>
      <c r="R639" s="36"/>
      <c r="S639" s="36"/>
      <c r="T639" s="38"/>
      <c r="U639" s="38"/>
      <c r="V639" s="38"/>
      <c r="W639" s="38"/>
    </row>
    <row r="640" spans="12:23" s="12" customFormat="1" x14ac:dyDescent="0.35">
      <c r="L640" s="11"/>
      <c r="M640" s="11"/>
      <c r="N640" s="11"/>
      <c r="O640" s="11"/>
      <c r="P640" s="11"/>
      <c r="Q640" s="11"/>
      <c r="R640" s="36"/>
      <c r="S640" s="36"/>
      <c r="T640" s="38"/>
      <c r="U640" s="38"/>
      <c r="V640" s="38"/>
      <c r="W640" s="38"/>
    </row>
    <row r="641" spans="12:23" s="12" customFormat="1" x14ac:dyDescent="0.35">
      <c r="L641" s="11"/>
      <c r="M641" s="11"/>
      <c r="N641" s="11"/>
      <c r="O641" s="11"/>
      <c r="P641" s="11"/>
      <c r="Q641" s="11"/>
      <c r="R641" s="36"/>
      <c r="S641" s="36"/>
      <c r="T641" s="38"/>
      <c r="U641" s="38"/>
      <c r="V641" s="38"/>
      <c r="W641" s="38"/>
    </row>
    <row r="642" spans="12:23" s="12" customFormat="1" x14ac:dyDescent="0.35">
      <c r="L642" s="11"/>
      <c r="M642" s="11"/>
      <c r="N642" s="11"/>
      <c r="O642" s="11"/>
      <c r="P642" s="11"/>
      <c r="Q642" s="11"/>
      <c r="R642" s="36"/>
      <c r="S642" s="36"/>
      <c r="T642" s="38"/>
      <c r="U642" s="38"/>
      <c r="V642" s="38"/>
      <c r="W642" s="38"/>
    </row>
    <row r="643" spans="12:23" s="12" customFormat="1" x14ac:dyDescent="0.35">
      <c r="L643" s="11"/>
      <c r="M643" s="11"/>
      <c r="N643" s="11"/>
      <c r="O643" s="11"/>
      <c r="P643" s="11"/>
      <c r="Q643" s="11"/>
      <c r="R643" s="36"/>
      <c r="S643" s="36"/>
      <c r="T643" s="38"/>
      <c r="U643" s="38"/>
      <c r="V643" s="38"/>
      <c r="W643" s="38"/>
    </row>
    <row r="644" spans="12:23" s="12" customFormat="1" x14ac:dyDescent="0.35">
      <c r="L644" s="11"/>
      <c r="M644" s="11"/>
      <c r="N644" s="11"/>
      <c r="O644" s="11"/>
      <c r="P644" s="11"/>
      <c r="Q644" s="11"/>
      <c r="R644" s="36"/>
      <c r="S644" s="36"/>
      <c r="T644" s="38"/>
      <c r="U644" s="38"/>
      <c r="V644" s="38"/>
      <c r="W644" s="38"/>
    </row>
    <row r="645" spans="12:23" s="12" customFormat="1" x14ac:dyDescent="0.35">
      <c r="L645" s="11"/>
      <c r="M645" s="11"/>
      <c r="N645" s="11"/>
      <c r="O645" s="11"/>
      <c r="P645" s="11"/>
      <c r="Q645" s="11"/>
      <c r="R645" s="36"/>
      <c r="S645" s="36"/>
      <c r="T645" s="38"/>
      <c r="U645" s="38"/>
      <c r="V645" s="38"/>
      <c r="W645" s="38"/>
    </row>
    <row r="646" spans="12:23" s="12" customFormat="1" x14ac:dyDescent="0.35">
      <c r="L646" s="11"/>
      <c r="M646" s="11"/>
      <c r="N646" s="11"/>
      <c r="O646" s="11"/>
      <c r="P646" s="11"/>
      <c r="Q646" s="11"/>
      <c r="R646" s="36"/>
      <c r="S646" s="36"/>
      <c r="T646" s="38"/>
      <c r="U646" s="38"/>
      <c r="V646" s="38"/>
      <c r="W646" s="38"/>
    </row>
    <row r="647" spans="12:23" s="12" customFormat="1" x14ac:dyDescent="0.35">
      <c r="L647" s="11"/>
      <c r="M647" s="11"/>
      <c r="N647" s="11"/>
      <c r="O647" s="11"/>
      <c r="P647" s="11"/>
      <c r="Q647" s="11"/>
      <c r="R647" s="36"/>
      <c r="S647" s="36"/>
      <c r="T647" s="38"/>
      <c r="U647" s="38"/>
      <c r="V647" s="38"/>
      <c r="W647" s="38"/>
    </row>
    <row r="648" spans="12:23" s="12" customFormat="1" x14ac:dyDescent="0.35">
      <c r="L648" s="11"/>
      <c r="M648" s="11"/>
      <c r="N648" s="11"/>
      <c r="O648" s="11"/>
      <c r="P648" s="11"/>
      <c r="Q648" s="11"/>
      <c r="R648" s="36"/>
      <c r="S648" s="36"/>
      <c r="T648" s="38"/>
      <c r="U648" s="38"/>
      <c r="V648" s="38"/>
      <c r="W648" s="38"/>
    </row>
    <row r="649" spans="12:23" s="12" customFormat="1" x14ac:dyDescent="0.35">
      <c r="L649" s="11"/>
      <c r="M649" s="11"/>
      <c r="N649" s="11"/>
      <c r="O649" s="11"/>
      <c r="P649" s="11"/>
      <c r="Q649" s="11"/>
      <c r="R649" s="36"/>
      <c r="S649" s="36"/>
      <c r="T649" s="38"/>
      <c r="U649" s="38"/>
      <c r="V649" s="38"/>
      <c r="W649" s="38"/>
    </row>
    <row r="650" spans="12:23" s="12" customFormat="1" x14ac:dyDescent="0.35">
      <c r="L650" s="11"/>
      <c r="M650" s="11"/>
      <c r="N650" s="11"/>
      <c r="O650" s="11"/>
      <c r="P650" s="11"/>
      <c r="Q650" s="11"/>
      <c r="R650" s="36"/>
      <c r="S650" s="36"/>
      <c r="T650" s="38"/>
      <c r="U650" s="38"/>
      <c r="V650" s="38"/>
      <c r="W650" s="38"/>
    </row>
    <row r="651" spans="12:23" s="12" customFormat="1" x14ac:dyDescent="0.35">
      <c r="L651" s="11"/>
      <c r="M651" s="11"/>
      <c r="N651" s="11"/>
      <c r="O651" s="11"/>
      <c r="P651" s="11"/>
      <c r="Q651" s="11"/>
      <c r="R651" s="36"/>
      <c r="S651" s="36"/>
      <c r="T651" s="38"/>
      <c r="U651" s="38"/>
      <c r="V651" s="38"/>
      <c r="W651" s="38"/>
    </row>
    <row r="652" spans="12:23" s="12" customFormat="1" x14ac:dyDescent="0.35">
      <c r="L652" s="11"/>
      <c r="M652" s="11"/>
      <c r="N652" s="11"/>
      <c r="O652" s="11"/>
      <c r="P652" s="11"/>
      <c r="Q652" s="11"/>
      <c r="R652" s="36"/>
      <c r="S652" s="36"/>
      <c r="T652" s="38"/>
      <c r="U652" s="38"/>
      <c r="V652" s="38"/>
      <c r="W652" s="38"/>
    </row>
    <row r="653" spans="12:23" s="12" customFormat="1" x14ac:dyDescent="0.35">
      <c r="L653" s="11"/>
      <c r="M653" s="11"/>
      <c r="N653" s="11"/>
      <c r="O653" s="11"/>
      <c r="P653" s="11"/>
      <c r="Q653" s="11"/>
      <c r="R653" s="36"/>
      <c r="S653" s="36"/>
      <c r="T653" s="38"/>
      <c r="U653" s="38"/>
      <c r="V653" s="38"/>
      <c r="W653" s="38"/>
    </row>
    <row r="654" spans="12:23" s="12" customFormat="1" x14ac:dyDescent="0.35">
      <c r="L654" s="11"/>
      <c r="M654" s="11"/>
      <c r="N654" s="11"/>
      <c r="O654" s="11"/>
      <c r="P654" s="11"/>
      <c r="Q654" s="11"/>
      <c r="R654" s="36"/>
      <c r="S654" s="36"/>
      <c r="T654" s="38"/>
      <c r="U654" s="38"/>
      <c r="V654" s="38"/>
      <c r="W654" s="38"/>
    </row>
    <row r="655" spans="12:23" s="12" customFormat="1" x14ac:dyDescent="0.35">
      <c r="L655" s="11"/>
      <c r="M655" s="11"/>
      <c r="N655" s="11"/>
      <c r="O655" s="11"/>
      <c r="P655" s="11"/>
      <c r="Q655" s="11"/>
      <c r="R655" s="36"/>
      <c r="S655" s="36"/>
      <c r="T655" s="38"/>
      <c r="U655" s="38"/>
      <c r="V655" s="38"/>
      <c r="W655" s="38"/>
    </row>
    <row r="656" spans="12:23" s="12" customFormat="1" x14ac:dyDescent="0.35">
      <c r="L656" s="11"/>
      <c r="M656" s="11"/>
      <c r="N656" s="11"/>
      <c r="O656" s="11"/>
      <c r="P656" s="11"/>
      <c r="Q656" s="11"/>
      <c r="R656" s="36"/>
      <c r="S656" s="36"/>
      <c r="T656" s="38"/>
      <c r="U656" s="38"/>
      <c r="V656" s="38"/>
      <c r="W656" s="38"/>
    </row>
    <row r="657" spans="12:23" s="12" customFormat="1" x14ac:dyDescent="0.35">
      <c r="L657" s="11"/>
      <c r="M657" s="11"/>
      <c r="N657" s="11"/>
      <c r="O657" s="11"/>
      <c r="P657" s="11"/>
      <c r="Q657" s="11"/>
      <c r="R657" s="36"/>
      <c r="S657" s="36"/>
      <c r="T657" s="38"/>
      <c r="U657" s="38"/>
      <c r="V657" s="38"/>
      <c r="W657" s="38"/>
    </row>
    <row r="658" spans="12:23" s="12" customFormat="1" x14ac:dyDescent="0.35">
      <c r="L658" s="11"/>
      <c r="M658" s="11"/>
      <c r="N658" s="11"/>
      <c r="O658" s="11"/>
      <c r="P658" s="11"/>
      <c r="Q658" s="11"/>
      <c r="R658" s="36"/>
      <c r="S658" s="36"/>
      <c r="T658" s="38"/>
      <c r="U658" s="38"/>
      <c r="V658" s="38"/>
      <c r="W658" s="38"/>
    </row>
    <row r="659" spans="12:23" s="12" customFormat="1" x14ac:dyDescent="0.35">
      <c r="L659" s="11"/>
      <c r="M659" s="11"/>
      <c r="N659" s="11"/>
      <c r="O659" s="11"/>
      <c r="P659" s="11"/>
      <c r="Q659" s="11"/>
      <c r="R659" s="36"/>
      <c r="S659" s="36"/>
      <c r="T659" s="38"/>
      <c r="U659" s="38"/>
      <c r="V659" s="38"/>
      <c r="W659" s="38"/>
    </row>
    <row r="660" spans="12:23" s="12" customFormat="1" x14ac:dyDescent="0.35">
      <c r="L660" s="11"/>
      <c r="M660" s="11"/>
      <c r="N660" s="11"/>
      <c r="O660" s="11"/>
      <c r="P660" s="11"/>
      <c r="Q660" s="11"/>
      <c r="R660" s="36"/>
      <c r="S660" s="36"/>
      <c r="T660" s="38"/>
      <c r="U660" s="38"/>
      <c r="V660" s="38"/>
      <c r="W660" s="38"/>
    </row>
    <row r="661" spans="12:23" s="12" customFormat="1" x14ac:dyDescent="0.35">
      <c r="L661" s="11"/>
      <c r="M661" s="11"/>
      <c r="N661" s="11"/>
      <c r="O661" s="11"/>
      <c r="P661" s="11"/>
      <c r="Q661" s="11"/>
      <c r="R661" s="36"/>
      <c r="S661" s="36"/>
      <c r="T661" s="38"/>
      <c r="U661" s="38"/>
      <c r="V661" s="38"/>
      <c r="W661" s="38"/>
    </row>
    <row r="662" spans="12:23" s="12" customFormat="1" x14ac:dyDescent="0.35">
      <c r="L662" s="11"/>
      <c r="M662" s="11"/>
      <c r="N662" s="11"/>
      <c r="O662" s="11"/>
      <c r="P662" s="11"/>
      <c r="Q662" s="11"/>
      <c r="R662" s="36"/>
      <c r="S662" s="36"/>
      <c r="T662" s="38"/>
      <c r="U662" s="38"/>
      <c r="V662" s="38"/>
      <c r="W662" s="38"/>
    </row>
    <row r="663" spans="12:23" s="12" customFormat="1" x14ac:dyDescent="0.35">
      <c r="L663" s="11"/>
      <c r="M663" s="11"/>
      <c r="N663" s="11"/>
      <c r="O663" s="11"/>
      <c r="P663" s="11"/>
      <c r="Q663" s="11"/>
      <c r="R663" s="36"/>
      <c r="S663" s="36"/>
      <c r="T663" s="38"/>
      <c r="U663" s="38"/>
      <c r="V663" s="38"/>
      <c r="W663" s="38"/>
    </row>
    <row r="664" spans="12:23" s="12" customFormat="1" x14ac:dyDescent="0.35">
      <c r="L664" s="11"/>
      <c r="M664" s="11"/>
      <c r="N664" s="11"/>
      <c r="O664" s="11"/>
      <c r="P664" s="11"/>
      <c r="Q664" s="11"/>
      <c r="R664" s="36"/>
      <c r="S664" s="36"/>
      <c r="T664" s="38"/>
      <c r="U664" s="38"/>
      <c r="V664" s="38"/>
      <c r="W664" s="38"/>
    </row>
    <row r="665" spans="12:23" s="12" customFormat="1" x14ac:dyDescent="0.35">
      <c r="L665" s="11"/>
      <c r="M665" s="11"/>
      <c r="N665" s="11"/>
      <c r="O665" s="11"/>
      <c r="P665" s="11"/>
      <c r="Q665" s="11"/>
      <c r="R665" s="36"/>
      <c r="S665" s="36"/>
      <c r="T665" s="38"/>
      <c r="U665" s="38"/>
      <c r="V665" s="38"/>
      <c r="W665" s="38"/>
    </row>
    <row r="666" spans="12:23" s="12" customFormat="1" x14ac:dyDescent="0.35">
      <c r="L666" s="11"/>
      <c r="M666" s="11"/>
      <c r="N666" s="11"/>
      <c r="O666" s="11"/>
      <c r="P666" s="11"/>
      <c r="Q666" s="11"/>
      <c r="R666" s="36"/>
      <c r="S666" s="36"/>
      <c r="T666" s="38"/>
      <c r="U666" s="38"/>
      <c r="V666" s="38"/>
      <c r="W666" s="38"/>
    </row>
    <row r="667" spans="12:23" s="12" customFormat="1" x14ac:dyDescent="0.35">
      <c r="L667" s="11"/>
      <c r="M667" s="11"/>
      <c r="N667" s="11"/>
      <c r="O667" s="11"/>
      <c r="P667" s="11"/>
      <c r="Q667" s="11"/>
      <c r="R667" s="36"/>
      <c r="S667" s="36"/>
      <c r="T667" s="38"/>
      <c r="U667" s="38"/>
      <c r="V667" s="38"/>
      <c r="W667" s="38"/>
    </row>
    <row r="668" spans="12:23" s="12" customFormat="1" x14ac:dyDescent="0.35">
      <c r="L668" s="11"/>
      <c r="M668" s="11"/>
      <c r="N668" s="11"/>
      <c r="O668" s="11"/>
      <c r="P668" s="11"/>
      <c r="Q668" s="11"/>
      <c r="R668" s="36"/>
      <c r="S668" s="36"/>
      <c r="T668" s="38"/>
      <c r="U668" s="38"/>
      <c r="V668" s="38"/>
      <c r="W668" s="38"/>
    </row>
    <row r="669" spans="12:23" s="12" customFormat="1" x14ac:dyDescent="0.35">
      <c r="L669" s="11"/>
      <c r="M669" s="11"/>
      <c r="N669" s="11"/>
      <c r="O669" s="11"/>
      <c r="P669" s="11"/>
      <c r="Q669" s="11"/>
      <c r="R669" s="36"/>
      <c r="S669" s="36"/>
      <c r="T669" s="38"/>
      <c r="U669" s="38"/>
      <c r="V669" s="38"/>
      <c r="W669" s="38"/>
    </row>
    <row r="670" spans="12:23" s="12" customFormat="1" x14ac:dyDescent="0.35">
      <c r="L670" s="11"/>
      <c r="M670" s="11"/>
      <c r="N670" s="11"/>
      <c r="O670" s="11"/>
      <c r="P670" s="11"/>
      <c r="Q670" s="11"/>
      <c r="R670" s="36"/>
      <c r="S670" s="36"/>
      <c r="T670" s="38"/>
      <c r="U670" s="38"/>
      <c r="V670" s="38"/>
      <c r="W670" s="38"/>
    </row>
    <row r="671" spans="12:23" s="12" customFormat="1" x14ac:dyDescent="0.35">
      <c r="L671" s="11"/>
      <c r="M671" s="11"/>
      <c r="N671" s="11"/>
      <c r="O671" s="11"/>
      <c r="P671" s="11"/>
      <c r="Q671" s="11"/>
      <c r="R671" s="36"/>
      <c r="S671" s="36"/>
      <c r="T671" s="38"/>
      <c r="U671" s="38"/>
      <c r="V671" s="38"/>
      <c r="W671" s="38"/>
    </row>
    <row r="672" spans="12:23" s="12" customFormat="1" x14ac:dyDescent="0.35">
      <c r="L672" s="11"/>
      <c r="M672" s="11"/>
      <c r="N672" s="11"/>
      <c r="O672" s="11"/>
      <c r="P672" s="11"/>
      <c r="Q672" s="11"/>
      <c r="R672" s="36"/>
      <c r="S672" s="36"/>
      <c r="T672" s="38"/>
      <c r="U672" s="38"/>
      <c r="V672" s="38"/>
      <c r="W672" s="38"/>
    </row>
    <row r="673" spans="12:23" s="12" customFormat="1" x14ac:dyDescent="0.35">
      <c r="L673" s="11"/>
      <c r="M673" s="11"/>
      <c r="N673" s="11"/>
      <c r="O673" s="11"/>
      <c r="P673" s="11"/>
      <c r="Q673" s="11"/>
      <c r="R673" s="36"/>
      <c r="S673" s="36"/>
      <c r="T673" s="38"/>
      <c r="U673" s="38"/>
      <c r="V673" s="38"/>
      <c r="W673" s="38"/>
    </row>
    <row r="674" spans="12:23" s="12" customFormat="1" x14ac:dyDescent="0.35">
      <c r="L674" s="11"/>
      <c r="M674" s="11"/>
      <c r="N674" s="11"/>
      <c r="O674" s="11"/>
      <c r="P674" s="11"/>
      <c r="Q674" s="11"/>
      <c r="R674" s="36"/>
      <c r="S674" s="36"/>
      <c r="T674" s="38"/>
      <c r="U674" s="38"/>
      <c r="V674" s="38"/>
      <c r="W674" s="38"/>
    </row>
    <row r="675" spans="12:23" s="12" customFormat="1" x14ac:dyDescent="0.35">
      <c r="L675" s="11"/>
      <c r="M675" s="11"/>
      <c r="N675" s="11"/>
      <c r="O675" s="11"/>
      <c r="P675" s="11"/>
      <c r="Q675" s="11"/>
      <c r="R675" s="36"/>
      <c r="S675" s="36"/>
      <c r="T675" s="38"/>
      <c r="U675" s="38"/>
      <c r="V675" s="38"/>
      <c r="W675" s="38"/>
    </row>
    <row r="676" spans="12:23" s="12" customFormat="1" x14ac:dyDescent="0.35">
      <c r="L676" s="11"/>
      <c r="M676" s="11"/>
      <c r="N676" s="11"/>
      <c r="O676" s="11"/>
      <c r="P676" s="11"/>
      <c r="Q676" s="11"/>
      <c r="R676" s="36"/>
      <c r="S676" s="36"/>
      <c r="T676" s="38"/>
      <c r="U676" s="38"/>
      <c r="V676" s="38"/>
      <c r="W676" s="38"/>
    </row>
    <row r="677" spans="12:23" s="12" customFormat="1" x14ac:dyDescent="0.35">
      <c r="L677" s="11"/>
      <c r="M677" s="11"/>
      <c r="N677" s="11"/>
      <c r="O677" s="11"/>
      <c r="P677" s="11"/>
      <c r="Q677" s="11"/>
      <c r="R677" s="36"/>
      <c r="S677" s="36"/>
      <c r="T677" s="38"/>
      <c r="U677" s="38"/>
      <c r="V677" s="38"/>
      <c r="W677" s="38"/>
    </row>
    <row r="678" spans="12:23" s="12" customFormat="1" x14ac:dyDescent="0.35">
      <c r="L678" s="11"/>
      <c r="M678" s="11"/>
      <c r="N678" s="11"/>
      <c r="O678" s="11"/>
      <c r="P678" s="11"/>
      <c r="Q678" s="11"/>
      <c r="R678" s="36"/>
      <c r="S678" s="36"/>
      <c r="T678" s="38"/>
      <c r="U678" s="38"/>
      <c r="V678" s="38"/>
      <c r="W678" s="38"/>
    </row>
    <row r="679" spans="12:23" s="12" customFormat="1" x14ac:dyDescent="0.35">
      <c r="L679" s="11"/>
      <c r="M679" s="11"/>
      <c r="N679" s="11"/>
      <c r="O679" s="11"/>
      <c r="P679" s="11"/>
      <c r="Q679" s="11"/>
      <c r="R679" s="36"/>
      <c r="S679" s="36"/>
      <c r="T679" s="38"/>
      <c r="U679" s="38"/>
      <c r="V679" s="38"/>
      <c r="W679" s="38"/>
    </row>
    <row r="680" spans="12:23" s="12" customFormat="1" x14ac:dyDescent="0.35">
      <c r="L680" s="11"/>
      <c r="M680" s="11"/>
      <c r="N680" s="11"/>
      <c r="O680" s="11"/>
      <c r="P680" s="11"/>
      <c r="Q680" s="11"/>
      <c r="R680" s="36"/>
      <c r="S680" s="36"/>
      <c r="T680" s="38"/>
      <c r="U680" s="38"/>
      <c r="V680" s="38"/>
      <c r="W680" s="38"/>
    </row>
    <row r="681" spans="12:23" s="12" customFormat="1" x14ac:dyDescent="0.35">
      <c r="L681" s="11"/>
      <c r="M681" s="11"/>
      <c r="N681" s="11"/>
      <c r="O681" s="11"/>
      <c r="P681" s="11"/>
      <c r="Q681" s="11"/>
      <c r="R681" s="36"/>
      <c r="S681" s="36"/>
      <c r="T681" s="38"/>
      <c r="U681" s="38"/>
      <c r="V681" s="38"/>
      <c r="W681" s="38"/>
    </row>
    <row r="682" spans="12:23" s="12" customFormat="1" x14ac:dyDescent="0.35">
      <c r="L682" s="11"/>
      <c r="M682" s="11"/>
      <c r="N682" s="11"/>
      <c r="O682" s="11"/>
      <c r="P682" s="11"/>
      <c r="Q682" s="11"/>
      <c r="R682" s="36"/>
      <c r="S682" s="36"/>
      <c r="T682" s="38"/>
      <c r="U682" s="38"/>
      <c r="V682" s="38"/>
      <c r="W682" s="38"/>
    </row>
    <row r="683" spans="12:23" s="12" customFormat="1" x14ac:dyDescent="0.35">
      <c r="L683" s="11"/>
      <c r="M683" s="11"/>
      <c r="N683" s="11"/>
      <c r="O683" s="11"/>
      <c r="P683" s="11"/>
      <c r="Q683" s="11"/>
      <c r="R683" s="36"/>
      <c r="S683" s="36"/>
      <c r="T683" s="38"/>
      <c r="U683" s="38"/>
      <c r="V683" s="38"/>
      <c r="W683" s="38"/>
    </row>
    <row r="684" spans="12:23" s="12" customFormat="1" x14ac:dyDescent="0.35">
      <c r="L684" s="11"/>
      <c r="M684" s="11"/>
      <c r="N684" s="11"/>
      <c r="O684" s="11"/>
      <c r="P684" s="11"/>
      <c r="Q684" s="11"/>
      <c r="R684" s="36"/>
      <c r="S684" s="36"/>
      <c r="T684" s="38"/>
      <c r="U684" s="38"/>
      <c r="V684" s="38"/>
      <c r="W684" s="38"/>
    </row>
    <row r="685" spans="12:23" s="12" customFormat="1" x14ac:dyDescent="0.35">
      <c r="L685" s="11"/>
      <c r="M685" s="11"/>
      <c r="N685" s="11"/>
      <c r="O685" s="11"/>
      <c r="P685" s="11"/>
      <c r="Q685" s="11"/>
      <c r="R685" s="36"/>
      <c r="S685" s="36"/>
      <c r="T685" s="38"/>
      <c r="U685" s="38"/>
      <c r="V685" s="38"/>
      <c r="W685" s="38"/>
    </row>
    <row r="686" spans="12:23" s="12" customFormat="1" x14ac:dyDescent="0.35">
      <c r="L686" s="11"/>
      <c r="M686" s="11"/>
      <c r="N686" s="11"/>
      <c r="O686" s="11"/>
      <c r="P686" s="11"/>
      <c r="Q686" s="11"/>
      <c r="R686" s="36"/>
      <c r="S686" s="36"/>
      <c r="T686" s="38"/>
      <c r="U686" s="38"/>
      <c r="V686" s="38"/>
      <c r="W686" s="38"/>
    </row>
    <row r="687" spans="12:23" s="12" customFormat="1" x14ac:dyDescent="0.35">
      <c r="L687" s="11"/>
      <c r="M687" s="11"/>
      <c r="N687" s="11"/>
      <c r="O687" s="11"/>
      <c r="P687" s="11"/>
      <c r="Q687" s="11"/>
      <c r="R687" s="36"/>
      <c r="S687" s="36"/>
      <c r="T687" s="38"/>
      <c r="U687" s="38"/>
      <c r="V687" s="38"/>
      <c r="W687" s="38"/>
    </row>
    <row r="688" spans="12:23" s="12" customFormat="1" x14ac:dyDescent="0.35">
      <c r="L688" s="11"/>
      <c r="M688" s="11"/>
      <c r="N688" s="11"/>
      <c r="O688" s="11"/>
      <c r="P688" s="11"/>
      <c r="Q688" s="11"/>
      <c r="R688" s="36"/>
      <c r="S688" s="36"/>
      <c r="T688" s="38"/>
      <c r="U688" s="38"/>
      <c r="V688" s="38"/>
      <c r="W688" s="38"/>
    </row>
    <row r="689" spans="12:23" s="12" customFormat="1" x14ac:dyDescent="0.35">
      <c r="L689" s="11"/>
      <c r="M689" s="11"/>
      <c r="N689" s="11"/>
      <c r="O689" s="11"/>
      <c r="P689" s="11"/>
      <c r="Q689" s="11"/>
      <c r="R689" s="36"/>
      <c r="S689" s="36"/>
      <c r="T689" s="38"/>
      <c r="U689" s="38"/>
      <c r="V689" s="38"/>
      <c r="W689" s="38"/>
    </row>
    <row r="690" spans="12:23" s="12" customFormat="1" x14ac:dyDescent="0.35">
      <c r="L690" s="11"/>
      <c r="M690" s="11"/>
      <c r="N690" s="11"/>
      <c r="O690" s="11"/>
      <c r="P690" s="11"/>
      <c r="Q690" s="11"/>
      <c r="R690" s="36"/>
      <c r="S690" s="36"/>
      <c r="T690" s="38"/>
      <c r="U690" s="38"/>
      <c r="V690" s="38"/>
      <c r="W690" s="38"/>
    </row>
    <row r="691" spans="12:23" s="12" customFormat="1" x14ac:dyDescent="0.35">
      <c r="L691" s="11"/>
      <c r="M691" s="11"/>
      <c r="N691" s="11"/>
      <c r="O691" s="11"/>
      <c r="P691" s="11"/>
      <c r="Q691" s="11"/>
      <c r="R691" s="36"/>
      <c r="S691" s="36"/>
      <c r="T691" s="38"/>
      <c r="U691" s="38"/>
      <c r="V691" s="38"/>
      <c r="W691" s="38"/>
    </row>
    <row r="692" spans="12:23" s="12" customFormat="1" x14ac:dyDescent="0.35">
      <c r="L692" s="11"/>
      <c r="M692" s="11"/>
      <c r="N692" s="11"/>
      <c r="O692" s="11"/>
      <c r="P692" s="11"/>
      <c r="Q692" s="11"/>
      <c r="R692" s="36"/>
      <c r="S692" s="36"/>
      <c r="T692" s="38"/>
      <c r="U692" s="38"/>
      <c r="V692" s="38"/>
      <c r="W692" s="38"/>
    </row>
    <row r="693" spans="12:23" s="12" customFormat="1" x14ac:dyDescent="0.35">
      <c r="L693" s="11"/>
      <c r="M693" s="11"/>
      <c r="N693" s="11"/>
      <c r="O693" s="11"/>
      <c r="P693" s="11"/>
      <c r="Q693" s="11"/>
      <c r="R693" s="36"/>
      <c r="S693" s="36"/>
      <c r="T693" s="38"/>
      <c r="U693" s="38"/>
      <c r="V693" s="38"/>
      <c r="W693" s="38"/>
    </row>
    <row r="694" spans="12:23" s="12" customFormat="1" x14ac:dyDescent="0.35">
      <c r="L694" s="11"/>
      <c r="M694" s="11"/>
      <c r="N694" s="11"/>
      <c r="O694" s="11"/>
      <c r="P694" s="11"/>
      <c r="Q694" s="11"/>
      <c r="R694" s="36"/>
      <c r="S694" s="36"/>
      <c r="T694" s="38"/>
      <c r="U694" s="38"/>
      <c r="V694" s="38"/>
      <c r="W694" s="38"/>
    </row>
    <row r="695" spans="12:23" s="12" customFormat="1" x14ac:dyDescent="0.35">
      <c r="L695" s="11"/>
      <c r="M695" s="11"/>
      <c r="N695" s="11"/>
      <c r="O695" s="11"/>
      <c r="P695" s="11"/>
      <c r="Q695" s="11"/>
      <c r="R695" s="36"/>
      <c r="S695" s="36"/>
      <c r="T695" s="38"/>
      <c r="U695" s="38"/>
      <c r="V695" s="38"/>
      <c r="W695" s="38"/>
    </row>
    <row r="696" spans="12:23" s="12" customFormat="1" x14ac:dyDescent="0.35">
      <c r="L696" s="11"/>
      <c r="M696" s="11"/>
      <c r="N696" s="11"/>
      <c r="O696" s="11"/>
      <c r="P696" s="11"/>
      <c r="Q696" s="11"/>
      <c r="R696" s="36"/>
      <c r="S696" s="36"/>
      <c r="T696" s="38"/>
      <c r="U696" s="38"/>
      <c r="V696" s="38"/>
      <c r="W696" s="38"/>
    </row>
    <row r="697" spans="12:23" s="12" customFormat="1" x14ac:dyDescent="0.35">
      <c r="L697" s="11"/>
      <c r="M697" s="11"/>
      <c r="N697" s="11"/>
      <c r="O697" s="11"/>
      <c r="P697" s="11"/>
      <c r="Q697" s="11"/>
      <c r="R697" s="36"/>
      <c r="S697" s="36"/>
      <c r="T697" s="38"/>
      <c r="U697" s="38"/>
      <c r="V697" s="38"/>
      <c r="W697" s="38"/>
    </row>
    <row r="698" spans="12:23" s="12" customFormat="1" x14ac:dyDescent="0.35">
      <c r="L698" s="11"/>
      <c r="M698" s="11"/>
      <c r="N698" s="11"/>
      <c r="O698" s="11"/>
      <c r="P698" s="11"/>
      <c r="Q698" s="11"/>
      <c r="R698" s="36"/>
      <c r="S698" s="36"/>
      <c r="T698" s="38"/>
      <c r="U698" s="38"/>
      <c r="V698" s="38"/>
      <c r="W698" s="38"/>
    </row>
    <row r="699" spans="12:23" s="12" customFormat="1" x14ac:dyDescent="0.35">
      <c r="L699" s="11"/>
      <c r="M699" s="11"/>
      <c r="N699" s="11"/>
      <c r="O699" s="11"/>
      <c r="P699" s="11"/>
      <c r="Q699" s="11"/>
      <c r="R699" s="36"/>
      <c r="S699" s="36"/>
      <c r="T699" s="38"/>
      <c r="U699" s="38"/>
      <c r="V699" s="38"/>
      <c r="W699" s="38"/>
    </row>
    <row r="700" spans="12:23" s="12" customFormat="1" x14ac:dyDescent="0.35">
      <c r="L700" s="11"/>
      <c r="M700" s="11"/>
      <c r="N700" s="11"/>
      <c r="O700" s="11"/>
      <c r="P700" s="11"/>
      <c r="Q700" s="11"/>
      <c r="R700" s="36"/>
      <c r="S700" s="36"/>
      <c r="T700" s="38"/>
      <c r="U700" s="38"/>
      <c r="V700" s="38"/>
      <c r="W700" s="38"/>
    </row>
    <row r="701" spans="12:23" s="12" customFormat="1" x14ac:dyDescent="0.35">
      <c r="L701" s="11"/>
      <c r="M701" s="11"/>
      <c r="N701" s="11"/>
      <c r="O701" s="11"/>
      <c r="P701" s="11"/>
      <c r="Q701" s="11"/>
      <c r="R701" s="36"/>
      <c r="S701" s="36"/>
      <c r="T701" s="38"/>
      <c r="U701" s="38"/>
      <c r="V701" s="38"/>
      <c r="W701" s="38"/>
    </row>
    <row r="702" spans="12:23" s="12" customFormat="1" x14ac:dyDescent="0.35">
      <c r="L702" s="11"/>
      <c r="M702" s="11"/>
      <c r="N702" s="11"/>
      <c r="O702" s="11"/>
      <c r="P702" s="11"/>
      <c r="Q702" s="11"/>
      <c r="R702" s="36"/>
      <c r="S702" s="36"/>
      <c r="T702" s="38"/>
      <c r="U702" s="38"/>
      <c r="V702" s="38"/>
      <c r="W702" s="38"/>
    </row>
    <row r="703" spans="12:23" s="12" customFormat="1" x14ac:dyDescent="0.35">
      <c r="L703" s="11"/>
      <c r="M703" s="11"/>
      <c r="N703" s="11"/>
      <c r="O703" s="11"/>
      <c r="P703" s="11"/>
      <c r="Q703" s="11"/>
      <c r="R703" s="36"/>
      <c r="S703" s="36"/>
      <c r="T703" s="38"/>
      <c r="U703" s="38"/>
      <c r="V703" s="38"/>
      <c r="W703" s="38"/>
    </row>
    <row r="704" spans="12:23" s="12" customFormat="1" x14ac:dyDescent="0.35">
      <c r="L704" s="11"/>
      <c r="M704" s="11"/>
      <c r="N704" s="11"/>
      <c r="O704" s="11"/>
      <c r="P704" s="11"/>
      <c r="Q704" s="11"/>
      <c r="R704" s="36"/>
      <c r="S704" s="36"/>
      <c r="T704" s="38"/>
      <c r="U704" s="38"/>
      <c r="V704" s="38"/>
      <c r="W704" s="38"/>
    </row>
    <row r="705" spans="12:23" s="12" customFormat="1" x14ac:dyDescent="0.35">
      <c r="L705" s="11"/>
      <c r="M705" s="11"/>
      <c r="N705" s="11"/>
      <c r="O705" s="11"/>
      <c r="P705" s="11"/>
      <c r="Q705" s="11"/>
      <c r="R705" s="36"/>
      <c r="S705" s="36"/>
      <c r="T705" s="38"/>
      <c r="U705" s="38"/>
      <c r="V705" s="38"/>
      <c r="W705" s="38"/>
    </row>
    <row r="706" spans="12:23" s="12" customFormat="1" x14ac:dyDescent="0.35">
      <c r="L706" s="11"/>
      <c r="M706" s="11"/>
      <c r="N706" s="11"/>
      <c r="O706" s="11"/>
      <c r="P706" s="11"/>
      <c r="Q706" s="11"/>
      <c r="R706" s="36"/>
      <c r="S706" s="36"/>
      <c r="T706" s="38"/>
      <c r="U706" s="38"/>
      <c r="V706" s="38"/>
      <c r="W706" s="38"/>
    </row>
    <row r="707" spans="12:23" s="12" customFormat="1" x14ac:dyDescent="0.35">
      <c r="L707" s="11"/>
      <c r="M707" s="11"/>
      <c r="N707" s="11"/>
      <c r="O707" s="11"/>
      <c r="P707" s="11"/>
      <c r="Q707" s="11"/>
      <c r="R707" s="36"/>
      <c r="S707" s="36"/>
      <c r="T707" s="38"/>
      <c r="U707" s="38"/>
      <c r="V707" s="38"/>
      <c r="W707" s="38"/>
    </row>
    <row r="708" spans="12:23" s="12" customFormat="1" x14ac:dyDescent="0.35">
      <c r="L708" s="11"/>
      <c r="M708" s="11"/>
      <c r="N708" s="11"/>
      <c r="O708" s="11"/>
      <c r="P708" s="11"/>
      <c r="Q708" s="11"/>
      <c r="R708" s="36"/>
      <c r="S708" s="36"/>
      <c r="T708" s="38"/>
      <c r="U708" s="38"/>
      <c r="V708" s="38"/>
      <c r="W708" s="38"/>
    </row>
    <row r="709" spans="12:23" s="12" customFormat="1" x14ac:dyDescent="0.35">
      <c r="L709" s="11"/>
      <c r="M709" s="11"/>
      <c r="N709" s="11"/>
      <c r="O709" s="11"/>
      <c r="P709" s="11"/>
      <c r="Q709" s="11"/>
      <c r="R709" s="36"/>
      <c r="S709" s="36"/>
      <c r="T709" s="38"/>
      <c r="U709" s="38"/>
      <c r="V709" s="38"/>
      <c r="W709" s="38"/>
    </row>
    <row r="710" spans="12:23" s="12" customFormat="1" x14ac:dyDescent="0.35">
      <c r="L710" s="11"/>
      <c r="M710" s="11"/>
      <c r="N710" s="11"/>
      <c r="O710" s="11"/>
      <c r="P710" s="11"/>
      <c r="Q710" s="11"/>
      <c r="R710" s="36"/>
      <c r="S710" s="36"/>
      <c r="T710" s="38"/>
      <c r="U710" s="38"/>
      <c r="V710" s="38"/>
      <c r="W710" s="38"/>
    </row>
    <row r="711" spans="12:23" s="12" customFormat="1" x14ac:dyDescent="0.35">
      <c r="L711" s="11"/>
      <c r="M711" s="11"/>
      <c r="N711" s="11"/>
      <c r="O711" s="11"/>
      <c r="P711" s="11"/>
      <c r="Q711" s="11"/>
      <c r="R711" s="36"/>
      <c r="S711" s="36"/>
      <c r="T711" s="38"/>
      <c r="U711" s="38"/>
      <c r="V711" s="38"/>
      <c r="W711" s="38"/>
    </row>
    <row r="712" spans="12:23" s="12" customFormat="1" x14ac:dyDescent="0.35">
      <c r="L712" s="11"/>
      <c r="M712" s="11"/>
      <c r="N712" s="11"/>
      <c r="O712" s="11"/>
      <c r="P712" s="11"/>
      <c r="Q712" s="11"/>
      <c r="R712" s="36"/>
      <c r="S712" s="36"/>
      <c r="T712" s="38"/>
      <c r="U712" s="38"/>
      <c r="V712" s="38"/>
      <c r="W712" s="38"/>
    </row>
    <row r="713" spans="12:23" s="12" customFormat="1" x14ac:dyDescent="0.35">
      <c r="L713" s="11"/>
      <c r="M713" s="11"/>
      <c r="N713" s="11"/>
      <c r="O713" s="11"/>
      <c r="P713" s="11"/>
      <c r="Q713" s="11"/>
      <c r="R713" s="36"/>
      <c r="S713" s="36"/>
      <c r="T713" s="38"/>
      <c r="U713" s="38"/>
      <c r="V713" s="38"/>
      <c r="W713" s="38"/>
    </row>
    <row r="714" spans="12:23" s="12" customFormat="1" x14ac:dyDescent="0.35">
      <c r="L714" s="11"/>
      <c r="M714" s="11"/>
      <c r="N714" s="11"/>
      <c r="O714" s="11"/>
      <c r="P714" s="11"/>
      <c r="Q714" s="11"/>
      <c r="R714" s="36"/>
      <c r="S714" s="36"/>
      <c r="T714" s="38"/>
      <c r="U714" s="38"/>
      <c r="V714" s="38"/>
      <c r="W714" s="38"/>
    </row>
    <row r="715" spans="12:23" s="12" customFormat="1" x14ac:dyDescent="0.35">
      <c r="L715" s="11"/>
      <c r="M715" s="11"/>
      <c r="N715" s="11"/>
      <c r="O715" s="11"/>
      <c r="P715" s="11"/>
      <c r="Q715" s="11"/>
      <c r="R715" s="36"/>
      <c r="S715" s="36"/>
      <c r="T715" s="38"/>
      <c r="U715" s="38"/>
      <c r="V715" s="38"/>
      <c r="W715" s="38"/>
    </row>
    <row r="716" spans="12:23" s="12" customFormat="1" x14ac:dyDescent="0.35">
      <c r="L716" s="11"/>
      <c r="M716" s="11"/>
      <c r="N716" s="11"/>
      <c r="O716" s="11"/>
      <c r="P716" s="11"/>
      <c r="Q716" s="11"/>
      <c r="R716" s="36"/>
      <c r="S716" s="36"/>
      <c r="T716" s="38"/>
      <c r="U716" s="38"/>
      <c r="V716" s="38"/>
      <c r="W716" s="38"/>
    </row>
    <row r="717" spans="12:23" s="12" customFormat="1" x14ac:dyDescent="0.35">
      <c r="L717" s="11"/>
      <c r="M717" s="11"/>
      <c r="N717" s="11"/>
      <c r="O717" s="11"/>
      <c r="P717" s="11"/>
      <c r="Q717" s="11"/>
      <c r="R717" s="36"/>
      <c r="S717" s="36"/>
      <c r="T717" s="38"/>
      <c r="U717" s="38"/>
      <c r="V717" s="38"/>
      <c r="W717" s="38"/>
    </row>
    <row r="718" spans="12:23" s="12" customFormat="1" x14ac:dyDescent="0.35">
      <c r="L718" s="11"/>
      <c r="M718" s="11"/>
      <c r="N718" s="11"/>
      <c r="O718" s="11"/>
      <c r="P718" s="11"/>
      <c r="Q718" s="11"/>
      <c r="R718" s="36"/>
      <c r="S718" s="36"/>
      <c r="T718" s="38"/>
      <c r="U718" s="38"/>
      <c r="V718" s="38"/>
      <c r="W718" s="38"/>
    </row>
    <row r="719" spans="12:23" s="12" customFormat="1" x14ac:dyDescent="0.35">
      <c r="L719" s="11"/>
      <c r="M719" s="11"/>
      <c r="N719" s="11"/>
      <c r="O719" s="11"/>
      <c r="P719" s="11"/>
      <c r="Q719" s="11"/>
      <c r="R719" s="36"/>
      <c r="S719" s="36"/>
      <c r="T719" s="38"/>
      <c r="U719" s="38"/>
      <c r="V719" s="38"/>
      <c r="W719" s="38"/>
    </row>
    <row r="720" spans="12:23" s="12" customFormat="1" x14ac:dyDescent="0.35">
      <c r="L720" s="11"/>
      <c r="M720" s="11"/>
      <c r="N720" s="11"/>
      <c r="O720" s="11"/>
      <c r="P720" s="11"/>
      <c r="Q720" s="11"/>
      <c r="R720" s="36"/>
      <c r="S720" s="36"/>
      <c r="T720" s="38"/>
      <c r="U720" s="38"/>
      <c r="V720" s="38"/>
      <c r="W720" s="38"/>
    </row>
    <row r="721" spans="12:23" s="12" customFormat="1" x14ac:dyDescent="0.35">
      <c r="L721" s="11"/>
      <c r="M721" s="11"/>
      <c r="N721" s="11"/>
      <c r="O721" s="11"/>
      <c r="P721" s="11"/>
      <c r="Q721" s="11"/>
      <c r="R721" s="36"/>
      <c r="S721" s="36"/>
      <c r="T721" s="38"/>
      <c r="U721" s="38"/>
      <c r="V721" s="38"/>
      <c r="W721" s="38"/>
    </row>
    <row r="722" spans="12:23" s="12" customFormat="1" x14ac:dyDescent="0.35">
      <c r="L722" s="11"/>
      <c r="M722" s="11"/>
      <c r="N722" s="11"/>
      <c r="O722" s="11"/>
      <c r="P722" s="11"/>
      <c r="Q722" s="11"/>
      <c r="R722" s="36"/>
      <c r="S722" s="36"/>
      <c r="T722" s="38"/>
      <c r="U722" s="38"/>
      <c r="V722" s="38"/>
      <c r="W722" s="38"/>
    </row>
    <row r="723" spans="12:23" s="12" customFormat="1" x14ac:dyDescent="0.35">
      <c r="L723" s="11"/>
      <c r="M723" s="11"/>
      <c r="N723" s="11"/>
      <c r="O723" s="11"/>
      <c r="P723" s="11"/>
      <c r="Q723" s="11"/>
      <c r="R723" s="36"/>
      <c r="S723" s="36"/>
      <c r="T723" s="38"/>
      <c r="U723" s="38"/>
      <c r="V723" s="38"/>
      <c r="W723" s="38"/>
    </row>
    <row r="724" spans="12:23" s="12" customFormat="1" x14ac:dyDescent="0.35">
      <c r="L724" s="11"/>
      <c r="M724" s="11"/>
      <c r="N724" s="11"/>
      <c r="O724" s="11"/>
      <c r="P724" s="11"/>
      <c r="Q724" s="11"/>
      <c r="R724" s="36"/>
      <c r="S724" s="36"/>
      <c r="T724" s="38"/>
      <c r="U724" s="38"/>
      <c r="V724" s="38"/>
      <c r="W724" s="38"/>
    </row>
    <row r="725" spans="12:23" s="12" customFormat="1" x14ac:dyDescent="0.35">
      <c r="L725" s="11"/>
      <c r="M725" s="11"/>
      <c r="N725" s="11"/>
      <c r="O725" s="11"/>
      <c r="P725" s="11"/>
      <c r="Q725" s="11"/>
      <c r="R725" s="36"/>
      <c r="S725" s="36"/>
      <c r="T725" s="38"/>
      <c r="U725" s="38"/>
      <c r="V725" s="38"/>
      <c r="W725" s="38"/>
    </row>
    <row r="726" spans="12:23" s="12" customFormat="1" x14ac:dyDescent="0.35">
      <c r="L726" s="11"/>
      <c r="M726" s="11"/>
      <c r="N726" s="11"/>
      <c r="O726" s="11"/>
      <c r="P726" s="11"/>
      <c r="Q726" s="11"/>
      <c r="R726" s="36"/>
      <c r="S726" s="36"/>
      <c r="T726" s="38"/>
      <c r="U726" s="38"/>
      <c r="V726" s="38"/>
      <c r="W726" s="38"/>
    </row>
    <row r="727" spans="12:23" s="12" customFormat="1" x14ac:dyDescent="0.35">
      <c r="L727" s="11"/>
      <c r="M727" s="11"/>
      <c r="N727" s="11"/>
      <c r="O727" s="11"/>
      <c r="P727" s="11"/>
      <c r="Q727" s="11"/>
      <c r="R727" s="36"/>
      <c r="S727" s="36"/>
      <c r="T727" s="38"/>
      <c r="U727" s="38"/>
      <c r="V727" s="38"/>
      <c r="W727" s="38"/>
    </row>
    <row r="728" spans="12:23" s="12" customFormat="1" x14ac:dyDescent="0.35">
      <c r="L728" s="11"/>
      <c r="M728" s="11"/>
      <c r="N728" s="11"/>
      <c r="O728" s="11"/>
      <c r="P728" s="11"/>
      <c r="Q728" s="11"/>
      <c r="R728" s="36"/>
      <c r="S728" s="36"/>
      <c r="T728" s="38"/>
      <c r="U728" s="38"/>
      <c r="V728" s="38"/>
      <c r="W728" s="38"/>
    </row>
    <row r="729" spans="12:23" s="12" customFormat="1" x14ac:dyDescent="0.35">
      <c r="L729" s="11"/>
      <c r="M729" s="11"/>
      <c r="N729" s="11"/>
      <c r="O729" s="11"/>
      <c r="P729" s="11"/>
      <c r="Q729" s="11"/>
      <c r="R729" s="36"/>
      <c r="S729" s="36"/>
      <c r="T729" s="38"/>
      <c r="U729" s="38"/>
      <c r="V729" s="38"/>
      <c r="W729" s="38"/>
    </row>
    <row r="730" spans="12:23" s="12" customFormat="1" x14ac:dyDescent="0.35">
      <c r="L730" s="11"/>
      <c r="M730" s="11"/>
      <c r="N730" s="11"/>
      <c r="O730" s="11"/>
      <c r="P730" s="11"/>
      <c r="Q730" s="11"/>
      <c r="R730" s="36"/>
      <c r="S730" s="36"/>
      <c r="T730" s="38"/>
      <c r="U730" s="38"/>
      <c r="V730" s="38"/>
      <c r="W730" s="38"/>
    </row>
    <row r="731" spans="12:23" s="12" customFormat="1" x14ac:dyDescent="0.35">
      <c r="L731" s="11"/>
      <c r="M731" s="11"/>
      <c r="N731" s="11"/>
      <c r="O731" s="11"/>
      <c r="P731" s="11"/>
      <c r="Q731" s="11"/>
      <c r="R731" s="36"/>
      <c r="S731" s="36"/>
      <c r="T731" s="38"/>
      <c r="U731" s="38"/>
      <c r="V731" s="38"/>
      <c r="W731" s="38"/>
    </row>
    <row r="732" spans="12:23" s="12" customFormat="1" x14ac:dyDescent="0.35">
      <c r="L732" s="11"/>
      <c r="M732" s="11"/>
      <c r="N732" s="11"/>
      <c r="O732" s="11"/>
      <c r="P732" s="11"/>
      <c r="Q732" s="11"/>
      <c r="R732" s="36"/>
      <c r="S732" s="36"/>
      <c r="T732" s="38"/>
      <c r="U732" s="38"/>
      <c r="V732" s="38"/>
      <c r="W732" s="38"/>
    </row>
    <row r="733" spans="12:23" s="12" customFormat="1" x14ac:dyDescent="0.35">
      <c r="L733" s="11"/>
      <c r="M733" s="11"/>
      <c r="N733" s="11"/>
      <c r="O733" s="11"/>
      <c r="P733" s="11"/>
      <c r="Q733" s="11"/>
      <c r="R733" s="36"/>
      <c r="S733" s="36"/>
      <c r="T733" s="38"/>
      <c r="U733" s="38"/>
      <c r="V733" s="38"/>
      <c r="W733" s="38"/>
    </row>
    <row r="734" spans="12:23" s="12" customFormat="1" x14ac:dyDescent="0.35">
      <c r="L734" s="11"/>
      <c r="M734" s="11"/>
      <c r="N734" s="11"/>
      <c r="O734" s="11"/>
      <c r="P734" s="11"/>
      <c r="Q734" s="11"/>
      <c r="R734" s="36"/>
      <c r="S734" s="36"/>
      <c r="T734" s="38"/>
      <c r="U734" s="38"/>
      <c r="V734" s="38"/>
      <c r="W734" s="38"/>
    </row>
    <row r="735" spans="12:23" s="12" customFormat="1" x14ac:dyDescent="0.35">
      <c r="L735" s="11"/>
      <c r="M735" s="11"/>
      <c r="N735" s="11"/>
      <c r="O735" s="11"/>
      <c r="P735" s="11"/>
      <c r="Q735" s="11"/>
      <c r="R735" s="36"/>
      <c r="S735" s="36"/>
      <c r="T735" s="38"/>
      <c r="U735" s="38"/>
      <c r="V735" s="38"/>
      <c r="W735" s="38"/>
    </row>
    <row r="736" spans="12:23" s="12" customFormat="1" x14ac:dyDescent="0.35">
      <c r="L736" s="11"/>
      <c r="M736" s="11"/>
      <c r="N736" s="11"/>
      <c r="O736" s="11"/>
      <c r="P736" s="11"/>
      <c r="Q736" s="11"/>
      <c r="R736" s="36"/>
      <c r="S736" s="36"/>
      <c r="T736" s="38"/>
      <c r="U736" s="38"/>
      <c r="V736" s="38"/>
      <c r="W736" s="38"/>
    </row>
    <row r="737" spans="12:23" s="12" customFormat="1" x14ac:dyDescent="0.35">
      <c r="L737" s="11"/>
      <c r="M737" s="11"/>
      <c r="N737" s="11"/>
      <c r="O737" s="11"/>
      <c r="P737" s="11"/>
      <c r="Q737" s="11"/>
      <c r="R737" s="36"/>
      <c r="S737" s="36"/>
      <c r="T737" s="38"/>
      <c r="U737" s="38"/>
      <c r="V737" s="38"/>
      <c r="W737" s="38"/>
    </row>
    <row r="738" spans="12:23" s="12" customFormat="1" x14ac:dyDescent="0.35">
      <c r="L738" s="11"/>
      <c r="M738" s="11"/>
      <c r="N738" s="11"/>
      <c r="O738" s="11"/>
      <c r="P738" s="11"/>
      <c r="Q738" s="11"/>
      <c r="R738" s="36"/>
      <c r="S738" s="36"/>
      <c r="T738" s="38"/>
      <c r="U738" s="38"/>
      <c r="V738" s="38"/>
      <c r="W738" s="38"/>
    </row>
    <row r="739" spans="12:23" s="12" customFormat="1" x14ac:dyDescent="0.35">
      <c r="L739" s="11"/>
      <c r="M739" s="11"/>
      <c r="N739" s="11"/>
      <c r="O739" s="11"/>
      <c r="P739" s="11"/>
      <c r="Q739" s="11"/>
      <c r="R739" s="36"/>
      <c r="S739" s="36"/>
      <c r="T739" s="38"/>
      <c r="U739" s="38"/>
      <c r="V739" s="38"/>
      <c r="W739" s="38"/>
    </row>
    <row r="740" spans="12:23" s="12" customFormat="1" x14ac:dyDescent="0.35">
      <c r="L740" s="11"/>
      <c r="M740" s="11"/>
      <c r="N740" s="11"/>
      <c r="O740" s="11"/>
      <c r="P740" s="11"/>
      <c r="Q740" s="11"/>
      <c r="R740" s="36"/>
      <c r="S740" s="36"/>
      <c r="T740" s="38"/>
      <c r="U740" s="38"/>
      <c r="V740" s="38"/>
      <c r="W740" s="38"/>
    </row>
    <row r="741" spans="12:23" s="12" customFormat="1" x14ac:dyDescent="0.35">
      <c r="L741" s="11"/>
      <c r="M741" s="11"/>
      <c r="N741" s="11"/>
      <c r="O741" s="11"/>
      <c r="P741" s="11"/>
      <c r="Q741" s="11"/>
      <c r="R741" s="36"/>
      <c r="S741" s="36"/>
      <c r="T741" s="38"/>
      <c r="U741" s="38"/>
      <c r="V741" s="38"/>
      <c r="W741" s="38"/>
    </row>
    <row r="742" spans="12:23" s="12" customFormat="1" x14ac:dyDescent="0.35">
      <c r="L742" s="11"/>
      <c r="M742" s="11"/>
      <c r="N742" s="11"/>
      <c r="O742" s="11"/>
      <c r="P742" s="11"/>
      <c r="Q742" s="11"/>
      <c r="R742" s="36"/>
      <c r="S742" s="36"/>
      <c r="T742" s="38"/>
      <c r="U742" s="38"/>
      <c r="V742" s="38"/>
      <c r="W742" s="38"/>
    </row>
    <row r="743" spans="12:23" s="12" customFormat="1" x14ac:dyDescent="0.35">
      <c r="L743" s="11"/>
      <c r="M743" s="11"/>
      <c r="N743" s="11"/>
      <c r="O743" s="11"/>
      <c r="P743" s="11"/>
      <c r="Q743" s="11"/>
      <c r="R743" s="36"/>
      <c r="S743" s="36"/>
      <c r="T743" s="38"/>
      <c r="U743" s="38"/>
      <c r="V743" s="38"/>
      <c r="W743" s="38"/>
    </row>
    <row r="744" spans="12:23" s="12" customFormat="1" x14ac:dyDescent="0.35">
      <c r="L744" s="11"/>
      <c r="M744" s="11"/>
      <c r="N744" s="11"/>
      <c r="O744" s="11"/>
      <c r="P744" s="11"/>
      <c r="Q744" s="11"/>
      <c r="R744" s="36"/>
      <c r="S744" s="36"/>
      <c r="T744" s="38"/>
      <c r="U744" s="38"/>
      <c r="V744" s="38"/>
      <c r="W744" s="38"/>
    </row>
    <row r="745" spans="12:23" s="12" customFormat="1" x14ac:dyDescent="0.35">
      <c r="L745" s="11"/>
      <c r="M745" s="11"/>
      <c r="N745" s="11"/>
      <c r="O745" s="11"/>
      <c r="P745" s="11"/>
      <c r="Q745" s="11"/>
      <c r="R745" s="36"/>
      <c r="S745" s="36"/>
      <c r="T745" s="38"/>
      <c r="U745" s="38"/>
      <c r="V745" s="38"/>
      <c r="W745" s="38"/>
    </row>
    <row r="746" spans="12:23" s="12" customFormat="1" x14ac:dyDescent="0.35">
      <c r="L746" s="11"/>
      <c r="M746" s="11"/>
      <c r="N746" s="11"/>
      <c r="O746" s="11"/>
      <c r="P746" s="11"/>
      <c r="Q746" s="11"/>
      <c r="R746" s="36"/>
      <c r="S746" s="36"/>
      <c r="T746" s="38"/>
      <c r="U746" s="38"/>
      <c r="V746" s="38"/>
      <c r="W746" s="38"/>
    </row>
    <row r="747" spans="12:23" s="12" customFormat="1" x14ac:dyDescent="0.35">
      <c r="L747" s="11"/>
      <c r="M747" s="11"/>
      <c r="N747" s="11"/>
      <c r="O747" s="11"/>
      <c r="P747" s="11"/>
      <c r="Q747" s="11"/>
      <c r="R747" s="36"/>
      <c r="S747" s="36"/>
      <c r="T747" s="38"/>
      <c r="U747" s="38"/>
      <c r="V747" s="38"/>
      <c r="W747" s="38"/>
    </row>
    <row r="748" spans="12:23" s="12" customFormat="1" x14ac:dyDescent="0.35">
      <c r="L748" s="11"/>
      <c r="M748" s="11"/>
      <c r="N748" s="11"/>
      <c r="O748" s="11"/>
      <c r="P748" s="11"/>
      <c r="Q748" s="11"/>
      <c r="R748" s="36"/>
      <c r="S748" s="36"/>
      <c r="T748" s="38"/>
      <c r="U748" s="38"/>
      <c r="V748" s="38"/>
      <c r="W748" s="38"/>
    </row>
    <row r="749" spans="12:23" s="12" customFormat="1" x14ac:dyDescent="0.35">
      <c r="L749" s="11"/>
      <c r="M749" s="11"/>
      <c r="N749" s="11"/>
      <c r="O749" s="11"/>
      <c r="P749" s="11"/>
      <c r="Q749" s="11"/>
      <c r="R749" s="36"/>
      <c r="S749" s="36"/>
      <c r="T749" s="38"/>
      <c r="U749" s="38"/>
      <c r="V749" s="38"/>
      <c r="W749" s="38"/>
    </row>
    <row r="750" spans="12:23" s="12" customFormat="1" x14ac:dyDescent="0.35">
      <c r="L750" s="11"/>
      <c r="M750" s="11"/>
      <c r="N750" s="11"/>
      <c r="O750" s="11"/>
      <c r="P750" s="11"/>
      <c r="Q750" s="11"/>
      <c r="R750" s="36"/>
      <c r="S750" s="36"/>
      <c r="T750" s="38"/>
      <c r="U750" s="38"/>
      <c r="V750" s="38"/>
      <c r="W750" s="38"/>
    </row>
    <row r="751" spans="12:23" s="12" customFormat="1" x14ac:dyDescent="0.35">
      <c r="L751" s="11"/>
      <c r="M751" s="11"/>
      <c r="N751" s="11"/>
      <c r="O751" s="11"/>
      <c r="P751" s="11"/>
      <c r="Q751" s="11"/>
      <c r="R751" s="36"/>
      <c r="S751" s="36"/>
      <c r="T751" s="38"/>
      <c r="U751" s="38"/>
      <c r="V751" s="38"/>
      <c r="W751" s="38"/>
    </row>
    <row r="752" spans="12:23" s="12" customFormat="1" x14ac:dyDescent="0.35">
      <c r="L752" s="11"/>
      <c r="M752" s="11"/>
      <c r="N752" s="11"/>
      <c r="O752" s="11"/>
      <c r="P752" s="11"/>
      <c r="Q752" s="11"/>
      <c r="R752" s="36"/>
      <c r="S752" s="36"/>
      <c r="T752" s="38"/>
      <c r="U752" s="38"/>
      <c r="V752" s="38"/>
      <c r="W752" s="38"/>
    </row>
    <row r="753" spans="12:23" s="12" customFormat="1" x14ac:dyDescent="0.35">
      <c r="L753" s="11"/>
      <c r="M753" s="11"/>
      <c r="N753" s="11"/>
      <c r="O753" s="11"/>
      <c r="P753" s="11"/>
      <c r="Q753" s="11"/>
      <c r="R753" s="36"/>
      <c r="S753" s="36"/>
      <c r="T753" s="38"/>
      <c r="U753" s="38"/>
      <c r="V753" s="38"/>
      <c r="W753" s="38"/>
    </row>
    <row r="754" spans="12:23" s="12" customFormat="1" x14ac:dyDescent="0.35">
      <c r="L754" s="11"/>
      <c r="M754" s="11"/>
      <c r="N754" s="11"/>
      <c r="O754" s="11"/>
      <c r="P754" s="11"/>
      <c r="Q754" s="11"/>
      <c r="R754" s="36"/>
      <c r="S754" s="36"/>
      <c r="T754" s="38"/>
      <c r="U754" s="38"/>
      <c r="V754" s="38"/>
      <c r="W754" s="38"/>
    </row>
    <row r="755" spans="12:23" s="12" customFormat="1" x14ac:dyDescent="0.35">
      <c r="L755" s="11"/>
      <c r="M755" s="11"/>
      <c r="N755" s="11"/>
      <c r="O755" s="11"/>
      <c r="P755" s="11"/>
      <c r="Q755" s="11"/>
      <c r="R755" s="36"/>
      <c r="S755" s="36"/>
      <c r="T755" s="38"/>
      <c r="U755" s="38"/>
      <c r="V755" s="38"/>
      <c r="W755" s="38"/>
    </row>
    <row r="756" spans="12:23" s="12" customFormat="1" x14ac:dyDescent="0.35">
      <c r="L756" s="11"/>
      <c r="M756" s="11"/>
      <c r="N756" s="11"/>
      <c r="O756" s="11"/>
      <c r="P756" s="11"/>
      <c r="Q756" s="11"/>
      <c r="R756" s="36"/>
      <c r="S756" s="36"/>
      <c r="T756" s="38"/>
      <c r="U756" s="38"/>
      <c r="V756" s="38"/>
      <c r="W756" s="38"/>
    </row>
    <row r="757" spans="12:23" s="12" customFormat="1" x14ac:dyDescent="0.35">
      <c r="L757" s="11"/>
      <c r="M757" s="11"/>
      <c r="N757" s="11"/>
      <c r="O757" s="11"/>
      <c r="P757" s="11"/>
      <c r="Q757" s="11"/>
      <c r="R757" s="36"/>
      <c r="S757" s="36"/>
      <c r="T757" s="38"/>
      <c r="U757" s="38"/>
      <c r="V757" s="38"/>
      <c r="W757" s="38"/>
    </row>
    <row r="758" spans="12:23" s="12" customFormat="1" x14ac:dyDescent="0.35">
      <c r="L758" s="11"/>
      <c r="M758" s="11"/>
      <c r="N758" s="11"/>
      <c r="O758" s="11"/>
      <c r="P758" s="11"/>
      <c r="Q758" s="11"/>
      <c r="R758" s="36"/>
      <c r="S758" s="36"/>
      <c r="T758" s="38"/>
      <c r="U758" s="38"/>
      <c r="V758" s="38"/>
      <c r="W758" s="38"/>
    </row>
    <row r="759" spans="12:23" s="12" customFormat="1" x14ac:dyDescent="0.35">
      <c r="L759" s="11"/>
      <c r="M759" s="11"/>
      <c r="N759" s="11"/>
      <c r="O759" s="11"/>
      <c r="P759" s="11"/>
      <c r="Q759" s="11"/>
      <c r="R759" s="36"/>
      <c r="S759" s="36"/>
      <c r="T759" s="38"/>
      <c r="U759" s="38"/>
      <c r="V759" s="38"/>
      <c r="W759" s="38"/>
    </row>
    <row r="760" spans="12:23" s="12" customFormat="1" x14ac:dyDescent="0.35">
      <c r="L760" s="11"/>
      <c r="M760" s="11"/>
      <c r="N760" s="11"/>
      <c r="O760" s="11"/>
      <c r="P760" s="11"/>
      <c r="Q760" s="11"/>
      <c r="R760" s="36"/>
      <c r="S760" s="36"/>
      <c r="T760" s="38"/>
      <c r="U760" s="38"/>
      <c r="V760" s="38"/>
      <c r="W760" s="38"/>
    </row>
    <row r="761" spans="12:23" s="12" customFormat="1" x14ac:dyDescent="0.35">
      <c r="L761" s="11"/>
      <c r="M761" s="11"/>
      <c r="N761" s="11"/>
      <c r="O761" s="11"/>
      <c r="P761" s="11"/>
      <c r="Q761" s="11"/>
      <c r="R761" s="36"/>
      <c r="S761" s="36"/>
      <c r="T761" s="38"/>
      <c r="U761" s="38"/>
      <c r="V761" s="38"/>
      <c r="W761" s="38"/>
    </row>
    <row r="762" spans="12:23" s="12" customFormat="1" x14ac:dyDescent="0.35">
      <c r="L762" s="11"/>
      <c r="M762" s="11"/>
      <c r="N762" s="11"/>
      <c r="O762" s="11"/>
      <c r="P762" s="11"/>
      <c r="Q762" s="11"/>
      <c r="R762" s="36"/>
      <c r="S762" s="36"/>
      <c r="T762" s="38"/>
      <c r="U762" s="38"/>
      <c r="V762" s="38"/>
      <c r="W762" s="38"/>
    </row>
    <row r="763" spans="12:23" s="12" customFormat="1" x14ac:dyDescent="0.35">
      <c r="L763" s="11"/>
      <c r="M763" s="11"/>
      <c r="N763" s="11"/>
      <c r="O763" s="11"/>
      <c r="P763" s="11"/>
      <c r="Q763" s="11"/>
      <c r="R763" s="36"/>
      <c r="S763" s="36"/>
      <c r="T763" s="38"/>
      <c r="U763" s="38"/>
      <c r="V763" s="38"/>
      <c r="W763" s="38"/>
    </row>
    <row r="764" spans="12:23" s="12" customFormat="1" x14ac:dyDescent="0.35">
      <c r="L764" s="11"/>
      <c r="M764" s="11"/>
      <c r="N764" s="11"/>
      <c r="O764" s="11"/>
      <c r="P764" s="11"/>
      <c r="Q764" s="11"/>
      <c r="R764" s="36"/>
      <c r="S764" s="36"/>
      <c r="T764" s="38"/>
      <c r="U764" s="38"/>
      <c r="V764" s="38"/>
      <c r="W764" s="38"/>
    </row>
    <row r="765" spans="12:23" s="12" customFormat="1" x14ac:dyDescent="0.35">
      <c r="L765" s="11"/>
      <c r="M765" s="11"/>
      <c r="N765" s="11"/>
      <c r="O765" s="11"/>
      <c r="P765" s="11"/>
      <c r="Q765" s="11"/>
      <c r="R765" s="36"/>
      <c r="S765" s="36"/>
      <c r="T765" s="38"/>
      <c r="U765" s="38"/>
      <c r="V765" s="38"/>
      <c r="W765" s="38"/>
    </row>
    <row r="766" spans="12:23" s="12" customFormat="1" x14ac:dyDescent="0.35">
      <c r="L766" s="11"/>
      <c r="M766" s="11"/>
      <c r="N766" s="11"/>
      <c r="O766" s="11"/>
      <c r="P766" s="11"/>
      <c r="Q766" s="11"/>
      <c r="R766" s="36"/>
      <c r="S766" s="36"/>
      <c r="T766" s="38"/>
      <c r="U766" s="38"/>
      <c r="V766" s="38"/>
      <c r="W766" s="38"/>
    </row>
    <row r="767" spans="12:23" s="12" customFormat="1" x14ac:dyDescent="0.35">
      <c r="L767" s="11"/>
      <c r="M767" s="11"/>
      <c r="N767" s="11"/>
      <c r="O767" s="11"/>
      <c r="P767" s="11"/>
      <c r="Q767" s="11"/>
      <c r="R767" s="36"/>
      <c r="S767" s="36"/>
      <c r="T767" s="38"/>
      <c r="U767" s="38"/>
      <c r="V767" s="38"/>
      <c r="W767" s="38"/>
    </row>
    <row r="768" spans="12:23" s="12" customFormat="1" x14ac:dyDescent="0.35">
      <c r="L768" s="11"/>
      <c r="M768" s="11"/>
      <c r="N768" s="11"/>
      <c r="O768" s="11"/>
      <c r="P768" s="11"/>
      <c r="Q768" s="11"/>
      <c r="R768" s="36"/>
      <c r="S768" s="36"/>
      <c r="T768" s="38"/>
      <c r="U768" s="38"/>
      <c r="V768" s="38"/>
      <c r="W768" s="38"/>
    </row>
    <row r="769" spans="12:23" s="12" customFormat="1" x14ac:dyDescent="0.35">
      <c r="L769" s="11"/>
      <c r="M769" s="11"/>
      <c r="N769" s="11"/>
      <c r="O769" s="11"/>
      <c r="P769" s="11"/>
      <c r="Q769" s="11"/>
      <c r="R769" s="36"/>
      <c r="S769" s="36"/>
      <c r="T769" s="38"/>
      <c r="U769" s="38"/>
      <c r="V769" s="38"/>
      <c r="W769" s="38"/>
    </row>
    <row r="770" spans="12:23" s="12" customFormat="1" x14ac:dyDescent="0.35">
      <c r="L770" s="11"/>
      <c r="M770" s="11"/>
      <c r="N770" s="11"/>
      <c r="O770" s="11"/>
      <c r="P770" s="11"/>
      <c r="Q770" s="11"/>
      <c r="R770" s="36"/>
      <c r="S770" s="36"/>
      <c r="T770" s="38"/>
      <c r="U770" s="38"/>
      <c r="V770" s="38"/>
      <c r="W770" s="38"/>
    </row>
    <row r="771" spans="12:23" s="12" customFormat="1" x14ac:dyDescent="0.35">
      <c r="L771" s="11"/>
      <c r="M771" s="11"/>
      <c r="N771" s="11"/>
      <c r="O771" s="11"/>
      <c r="P771" s="11"/>
      <c r="Q771" s="11"/>
      <c r="R771" s="36"/>
      <c r="S771" s="36"/>
      <c r="T771" s="38"/>
      <c r="U771" s="38"/>
      <c r="V771" s="38"/>
      <c r="W771" s="38"/>
    </row>
    <row r="772" spans="12:23" s="12" customFormat="1" x14ac:dyDescent="0.35">
      <c r="L772" s="11"/>
      <c r="M772" s="11"/>
      <c r="N772" s="11"/>
      <c r="O772" s="11"/>
      <c r="P772" s="11"/>
      <c r="Q772" s="11"/>
      <c r="R772" s="36"/>
      <c r="S772" s="36"/>
      <c r="T772" s="38"/>
      <c r="U772" s="38"/>
      <c r="V772" s="38"/>
      <c r="W772" s="38"/>
    </row>
    <row r="773" spans="12:23" s="12" customFormat="1" x14ac:dyDescent="0.35">
      <c r="L773" s="11"/>
      <c r="M773" s="11"/>
      <c r="N773" s="11"/>
      <c r="O773" s="11"/>
      <c r="P773" s="11"/>
      <c r="Q773" s="11"/>
      <c r="R773" s="36"/>
      <c r="S773" s="36"/>
      <c r="T773" s="38"/>
      <c r="U773" s="38"/>
      <c r="V773" s="38"/>
      <c r="W773" s="38"/>
    </row>
    <row r="774" spans="12:23" s="12" customFormat="1" x14ac:dyDescent="0.35">
      <c r="L774" s="11"/>
      <c r="M774" s="11"/>
      <c r="N774" s="11"/>
      <c r="O774" s="11"/>
      <c r="P774" s="11"/>
      <c r="Q774" s="11"/>
      <c r="R774" s="36"/>
      <c r="S774" s="36"/>
      <c r="T774" s="38"/>
      <c r="U774" s="38"/>
      <c r="V774" s="38"/>
      <c r="W774" s="38"/>
    </row>
    <row r="775" spans="12:23" s="12" customFormat="1" x14ac:dyDescent="0.35">
      <c r="L775" s="11"/>
      <c r="M775" s="11"/>
      <c r="N775" s="11"/>
      <c r="O775" s="11"/>
      <c r="P775" s="11"/>
      <c r="Q775" s="11"/>
      <c r="R775" s="36"/>
      <c r="S775" s="36"/>
      <c r="T775" s="38"/>
      <c r="U775" s="38"/>
      <c r="V775" s="38"/>
      <c r="W775" s="38"/>
    </row>
    <row r="776" spans="12:23" s="12" customFormat="1" x14ac:dyDescent="0.35">
      <c r="L776" s="11"/>
      <c r="M776" s="11"/>
      <c r="N776" s="11"/>
      <c r="O776" s="11"/>
      <c r="P776" s="11"/>
      <c r="Q776" s="11"/>
      <c r="R776" s="36"/>
      <c r="S776" s="36"/>
      <c r="T776" s="38"/>
      <c r="U776" s="38"/>
      <c r="V776" s="38"/>
      <c r="W776" s="38"/>
    </row>
    <row r="777" spans="12:23" s="12" customFormat="1" x14ac:dyDescent="0.35">
      <c r="L777" s="11"/>
      <c r="M777" s="11"/>
      <c r="N777" s="11"/>
      <c r="O777" s="11"/>
      <c r="P777" s="11"/>
      <c r="Q777" s="11"/>
      <c r="R777" s="36"/>
      <c r="S777" s="36"/>
      <c r="T777" s="38"/>
      <c r="U777" s="38"/>
      <c r="V777" s="38"/>
      <c r="W777" s="38"/>
    </row>
    <row r="778" spans="12:23" s="12" customFormat="1" x14ac:dyDescent="0.35">
      <c r="L778" s="11"/>
      <c r="M778" s="11"/>
      <c r="N778" s="11"/>
      <c r="O778" s="11"/>
      <c r="P778" s="11"/>
      <c r="Q778" s="11"/>
      <c r="R778" s="36"/>
      <c r="S778" s="36"/>
      <c r="T778" s="38"/>
      <c r="U778" s="38"/>
      <c r="V778" s="38"/>
      <c r="W778" s="38"/>
    </row>
    <row r="779" spans="12:23" s="12" customFormat="1" x14ac:dyDescent="0.35">
      <c r="L779" s="11"/>
      <c r="M779" s="11"/>
      <c r="N779" s="11"/>
      <c r="O779" s="11"/>
      <c r="P779" s="11"/>
      <c r="Q779" s="11"/>
      <c r="R779" s="36"/>
      <c r="S779" s="36"/>
      <c r="T779" s="38"/>
      <c r="U779" s="38"/>
      <c r="V779" s="38"/>
      <c r="W779" s="38"/>
    </row>
    <row r="780" spans="12:23" s="12" customFormat="1" x14ac:dyDescent="0.35">
      <c r="L780" s="11"/>
      <c r="M780" s="11"/>
      <c r="N780" s="11"/>
      <c r="O780" s="11"/>
      <c r="P780" s="11"/>
      <c r="Q780" s="11"/>
      <c r="R780" s="36"/>
      <c r="S780" s="36"/>
      <c r="T780" s="38"/>
      <c r="U780" s="38"/>
      <c r="V780" s="38"/>
      <c r="W780" s="38"/>
    </row>
    <row r="781" spans="12:23" s="12" customFormat="1" x14ac:dyDescent="0.35">
      <c r="L781" s="11"/>
      <c r="M781" s="11"/>
      <c r="N781" s="11"/>
      <c r="O781" s="11"/>
      <c r="P781" s="11"/>
      <c r="Q781" s="11"/>
      <c r="R781" s="36"/>
      <c r="S781" s="36"/>
      <c r="T781" s="38"/>
      <c r="U781" s="38"/>
      <c r="V781" s="38"/>
      <c r="W781" s="38"/>
    </row>
    <row r="782" spans="12:23" s="12" customFormat="1" x14ac:dyDescent="0.35">
      <c r="L782" s="11"/>
      <c r="M782" s="11"/>
      <c r="N782" s="11"/>
      <c r="O782" s="11"/>
      <c r="P782" s="11"/>
      <c r="Q782" s="11"/>
      <c r="R782" s="36"/>
      <c r="S782" s="36"/>
      <c r="T782" s="38"/>
      <c r="U782" s="38"/>
      <c r="V782" s="38"/>
      <c r="W782" s="38"/>
    </row>
    <row r="783" spans="12:23" s="12" customFormat="1" x14ac:dyDescent="0.35">
      <c r="L783" s="11"/>
      <c r="M783" s="11"/>
      <c r="N783" s="11"/>
      <c r="O783" s="11"/>
      <c r="P783" s="11"/>
      <c r="Q783" s="11"/>
      <c r="R783" s="36"/>
      <c r="S783" s="36"/>
      <c r="T783" s="38"/>
      <c r="U783" s="38"/>
      <c r="V783" s="38"/>
      <c r="W783" s="38"/>
    </row>
    <row r="784" spans="12:23" s="12" customFormat="1" x14ac:dyDescent="0.35">
      <c r="L784" s="11"/>
      <c r="M784" s="11"/>
      <c r="N784" s="11"/>
      <c r="O784" s="11"/>
      <c r="P784" s="11"/>
      <c r="Q784" s="11"/>
      <c r="R784" s="36"/>
      <c r="S784" s="36"/>
      <c r="T784" s="38"/>
      <c r="U784" s="38"/>
      <c r="V784" s="38"/>
      <c r="W784" s="38"/>
    </row>
    <row r="785" spans="12:23" s="12" customFormat="1" x14ac:dyDescent="0.35">
      <c r="L785" s="11"/>
      <c r="M785" s="11"/>
      <c r="N785" s="11"/>
      <c r="O785" s="11"/>
      <c r="P785" s="11"/>
      <c r="Q785" s="11"/>
      <c r="R785" s="36"/>
      <c r="S785" s="36"/>
      <c r="T785" s="38"/>
      <c r="U785" s="38"/>
      <c r="V785" s="38"/>
      <c r="W785" s="38"/>
    </row>
    <row r="786" spans="12:23" s="12" customFormat="1" x14ac:dyDescent="0.35">
      <c r="L786" s="11"/>
      <c r="M786" s="11"/>
      <c r="N786" s="11"/>
      <c r="O786" s="11"/>
      <c r="P786" s="11"/>
      <c r="Q786" s="11"/>
      <c r="R786" s="36"/>
      <c r="S786" s="36"/>
      <c r="T786" s="38"/>
      <c r="U786" s="38"/>
      <c r="V786" s="38"/>
      <c r="W786" s="38"/>
    </row>
    <row r="787" spans="12:23" s="12" customFormat="1" x14ac:dyDescent="0.35">
      <c r="L787" s="11"/>
      <c r="M787" s="11"/>
      <c r="N787" s="11"/>
      <c r="O787" s="11"/>
      <c r="P787" s="11"/>
      <c r="Q787" s="11"/>
      <c r="R787" s="36"/>
      <c r="S787" s="36"/>
      <c r="T787" s="38"/>
      <c r="U787" s="38"/>
      <c r="V787" s="38"/>
      <c r="W787" s="38"/>
    </row>
    <row r="788" spans="12:23" s="12" customFormat="1" x14ac:dyDescent="0.35">
      <c r="L788" s="11"/>
      <c r="M788" s="11"/>
      <c r="N788" s="11"/>
      <c r="O788" s="11"/>
      <c r="P788" s="11"/>
      <c r="Q788" s="11"/>
      <c r="R788" s="36"/>
      <c r="S788" s="36"/>
      <c r="T788" s="38"/>
      <c r="U788" s="38"/>
      <c r="V788" s="38"/>
      <c r="W788" s="38"/>
    </row>
    <row r="789" spans="12:23" s="12" customFormat="1" x14ac:dyDescent="0.35">
      <c r="L789" s="11"/>
      <c r="M789" s="11"/>
      <c r="N789" s="11"/>
      <c r="O789" s="11"/>
      <c r="P789" s="11"/>
      <c r="Q789" s="11"/>
      <c r="R789" s="36"/>
      <c r="S789" s="36"/>
      <c r="T789" s="38"/>
      <c r="U789" s="38"/>
      <c r="V789" s="38"/>
      <c r="W789" s="38"/>
    </row>
    <row r="790" spans="12:23" s="12" customFormat="1" x14ac:dyDescent="0.35">
      <c r="L790" s="11"/>
      <c r="M790" s="11"/>
      <c r="N790" s="11"/>
      <c r="O790" s="11"/>
      <c r="P790" s="11"/>
      <c r="Q790" s="11"/>
      <c r="R790" s="36"/>
      <c r="S790" s="36"/>
      <c r="T790" s="38"/>
      <c r="U790" s="38"/>
      <c r="V790" s="38"/>
      <c r="W790" s="38"/>
    </row>
    <row r="791" spans="12:23" s="12" customFormat="1" x14ac:dyDescent="0.35">
      <c r="L791" s="11"/>
      <c r="M791" s="11"/>
      <c r="N791" s="11"/>
      <c r="O791" s="11"/>
      <c r="P791" s="11"/>
      <c r="Q791" s="11"/>
      <c r="R791" s="36"/>
      <c r="S791" s="36"/>
      <c r="T791" s="38"/>
      <c r="U791" s="38"/>
      <c r="V791" s="38"/>
      <c r="W791" s="38"/>
    </row>
    <row r="792" spans="12:23" s="12" customFormat="1" x14ac:dyDescent="0.35">
      <c r="L792" s="11"/>
      <c r="M792" s="11"/>
      <c r="N792" s="11"/>
      <c r="O792" s="11"/>
      <c r="P792" s="11"/>
      <c r="Q792" s="11"/>
      <c r="R792" s="36"/>
      <c r="S792" s="36"/>
      <c r="T792" s="38"/>
      <c r="U792" s="38"/>
      <c r="V792" s="38"/>
      <c r="W792" s="38"/>
    </row>
    <row r="793" spans="12:23" s="12" customFormat="1" x14ac:dyDescent="0.35">
      <c r="L793" s="11"/>
      <c r="M793" s="11"/>
      <c r="N793" s="11"/>
      <c r="O793" s="11"/>
      <c r="P793" s="11"/>
      <c r="Q793" s="11"/>
      <c r="R793" s="36"/>
      <c r="S793" s="36"/>
      <c r="T793" s="38"/>
      <c r="U793" s="38"/>
      <c r="V793" s="38"/>
      <c r="W793" s="38"/>
    </row>
    <row r="794" spans="12:23" s="12" customFormat="1" x14ac:dyDescent="0.35">
      <c r="L794" s="11"/>
      <c r="M794" s="11"/>
      <c r="N794" s="11"/>
      <c r="O794" s="11"/>
      <c r="P794" s="11"/>
      <c r="Q794" s="11"/>
      <c r="R794" s="36"/>
      <c r="S794" s="36"/>
      <c r="T794" s="38"/>
      <c r="U794" s="38"/>
      <c r="V794" s="38"/>
      <c r="W794" s="38"/>
    </row>
    <row r="795" spans="12:23" s="12" customFormat="1" x14ac:dyDescent="0.35">
      <c r="L795" s="11"/>
      <c r="M795" s="11"/>
      <c r="N795" s="11"/>
      <c r="O795" s="11"/>
      <c r="P795" s="11"/>
      <c r="Q795" s="11"/>
      <c r="R795" s="36"/>
      <c r="S795" s="36"/>
      <c r="T795" s="38"/>
      <c r="U795" s="38"/>
      <c r="V795" s="38"/>
      <c r="W795" s="38"/>
    </row>
    <row r="796" spans="12:23" s="12" customFormat="1" x14ac:dyDescent="0.35">
      <c r="L796" s="11"/>
      <c r="M796" s="11"/>
      <c r="N796" s="11"/>
      <c r="O796" s="11"/>
      <c r="P796" s="11"/>
      <c r="Q796" s="11"/>
      <c r="R796" s="36"/>
      <c r="S796" s="36"/>
      <c r="T796" s="38"/>
      <c r="U796" s="38"/>
      <c r="V796" s="38"/>
      <c r="W796" s="38"/>
    </row>
    <row r="797" spans="12:23" s="12" customFormat="1" x14ac:dyDescent="0.35">
      <c r="L797" s="11"/>
      <c r="M797" s="11"/>
      <c r="N797" s="11"/>
      <c r="O797" s="11"/>
      <c r="P797" s="11"/>
      <c r="Q797" s="11"/>
      <c r="R797" s="36"/>
      <c r="S797" s="36"/>
      <c r="T797" s="38"/>
      <c r="U797" s="38"/>
      <c r="V797" s="38"/>
      <c r="W797" s="38"/>
    </row>
    <row r="798" spans="12:23" s="12" customFormat="1" x14ac:dyDescent="0.35">
      <c r="L798" s="11"/>
      <c r="M798" s="11"/>
      <c r="N798" s="11"/>
      <c r="O798" s="11"/>
      <c r="P798" s="11"/>
      <c r="Q798" s="11"/>
      <c r="R798" s="36"/>
      <c r="S798" s="36"/>
      <c r="T798" s="38"/>
      <c r="U798" s="38"/>
      <c r="V798" s="38"/>
      <c r="W798" s="38"/>
    </row>
    <row r="799" spans="12:23" s="12" customFormat="1" x14ac:dyDescent="0.35">
      <c r="L799" s="11"/>
      <c r="M799" s="11"/>
      <c r="N799" s="11"/>
      <c r="O799" s="11"/>
      <c r="P799" s="11"/>
      <c r="Q799" s="11"/>
      <c r="R799" s="36"/>
      <c r="S799" s="36"/>
      <c r="T799" s="38"/>
      <c r="U799" s="38"/>
      <c r="V799" s="38"/>
      <c r="W799" s="38"/>
    </row>
    <row r="800" spans="12:23" s="12" customFormat="1" x14ac:dyDescent="0.35">
      <c r="L800" s="11"/>
      <c r="M800" s="11"/>
      <c r="N800" s="11"/>
      <c r="O800" s="11"/>
      <c r="P800" s="11"/>
      <c r="Q800" s="11"/>
      <c r="R800" s="36"/>
      <c r="S800" s="36"/>
      <c r="T800" s="38"/>
      <c r="U800" s="38"/>
      <c r="V800" s="38"/>
      <c r="W800" s="38"/>
    </row>
    <row r="801" spans="12:23" s="12" customFormat="1" x14ac:dyDescent="0.35">
      <c r="L801" s="11"/>
      <c r="M801" s="11"/>
      <c r="N801" s="11"/>
      <c r="O801" s="11"/>
      <c r="P801" s="11"/>
      <c r="Q801" s="11"/>
      <c r="R801" s="36"/>
      <c r="S801" s="36"/>
      <c r="T801" s="38"/>
      <c r="U801" s="38"/>
      <c r="V801" s="38"/>
      <c r="W801" s="38"/>
    </row>
    <row r="802" spans="12:23" s="12" customFormat="1" x14ac:dyDescent="0.35">
      <c r="L802" s="11"/>
      <c r="M802" s="11"/>
      <c r="N802" s="11"/>
      <c r="O802" s="11"/>
      <c r="P802" s="11"/>
      <c r="Q802" s="11"/>
      <c r="R802" s="36"/>
      <c r="S802" s="36"/>
      <c r="T802" s="38"/>
      <c r="U802" s="38"/>
      <c r="V802" s="38"/>
      <c r="W802" s="38"/>
    </row>
    <row r="803" spans="12:23" s="12" customFormat="1" x14ac:dyDescent="0.35">
      <c r="L803" s="11"/>
      <c r="M803" s="11"/>
      <c r="N803" s="11"/>
      <c r="O803" s="11"/>
      <c r="P803" s="11"/>
      <c r="Q803" s="11"/>
      <c r="R803" s="36"/>
      <c r="S803" s="36"/>
      <c r="T803" s="38"/>
      <c r="U803" s="38"/>
      <c r="V803" s="38"/>
      <c r="W803" s="38"/>
    </row>
    <row r="804" spans="12:23" s="12" customFormat="1" x14ac:dyDescent="0.35">
      <c r="L804" s="11"/>
      <c r="M804" s="11"/>
      <c r="N804" s="11"/>
      <c r="O804" s="11"/>
      <c r="P804" s="11"/>
      <c r="Q804" s="11"/>
      <c r="R804" s="36"/>
      <c r="S804" s="36"/>
      <c r="T804" s="38"/>
      <c r="U804" s="38"/>
      <c r="V804" s="38"/>
      <c r="W804" s="38"/>
    </row>
    <row r="805" spans="12:23" s="12" customFormat="1" x14ac:dyDescent="0.35">
      <c r="L805" s="11"/>
      <c r="M805" s="11"/>
      <c r="N805" s="11"/>
      <c r="O805" s="11"/>
      <c r="P805" s="11"/>
      <c r="Q805" s="11"/>
      <c r="R805" s="36"/>
      <c r="S805" s="36"/>
      <c r="T805" s="38"/>
      <c r="U805" s="38"/>
      <c r="V805" s="38"/>
      <c r="W805" s="38"/>
    </row>
    <row r="806" spans="12:23" s="12" customFormat="1" x14ac:dyDescent="0.35">
      <c r="L806" s="11"/>
      <c r="M806" s="11"/>
      <c r="N806" s="11"/>
      <c r="O806" s="11"/>
      <c r="P806" s="11"/>
      <c r="Q806" s="11"/>
      <c r="R806" s="36"/>
      <c r="S806" s="36"/>
      <c r="T806" s="38"/>
      <c r="U806" s="38"/>
      <c r="V806" s="38"/>
      <c r="W806" s="38"/>
    </row>
    <row r="807" spans="12:23" s="12" customFormat="1" x14ac:dyDescent="0.35">
      <c r="L807" s="11"/>
      <c r="M807" s="11"/>
      <c r="N807" s="11"/>
      <c r="O807" s="11"/>
      <c r="P807" s="11"/>
      <c r="Q807" s="11"/>
      <c r="R807" s="36"/>
      <c r="S807" s="36"/>
      <c r="T807" s="38"/>
      <c r="U807" s="38"/>
      <c r="V807" s="38"/>
      <c r="W807" s="38"/>
    </row>
    <row r="808" spans="12:23" s="12" customFormat="1" x14ac:dyDescent="0.35">
      <c r="L808" s="11"/>
      <c r="M808" s="11"/>
      <c r="N808" s="11"/>
      <c r="O808" s="11"/>
      <c r="P808" s="11"/>
      <c r="Q808" s="11"/>
      <c r="R808" s="36"/>
      <c r="S808" s="36"/>
      <c r="T808" s="38"/>
      <c r="U808" s="38"/>
      <c r="V808" s="38"/>
      <c r="W808" s="38"/>
    </row>
    <row r="809" spans="12:23" s="12" customFormat="1" x14ac:dyDescent="0.35">
      <c r="L809" s="11"/>
      <c r="M809" s="11"/>
      <c r="N809" s="11"/>
      <c r="O809" s="11"/>
      <c r="P809" s="11"/>
      <c r="Q809" s="11"/>
      <c r="R809" s="36"/>
      <c r="S809" s="36"/>
      <c r="T809" s="38"/>
      <c r="U809" s="38"/>
      <c r="V809" s="38"/>
      <c r="W809" s="38"/>
    </row>
    <row r="810" spans="12:23" s="12" customFormat="1" x14ac:dyDescent="0.35">
      <c r="L810" s="11"/>
      <c r="M810" s="11"/>
      <c r="N810" s="11"/>
      <c r="O810" s="11"/>
      <c r="P810" s="11"/>
      <c r="Q810" s="11"/>
      <c r="R810" s="36"/>
      <c r="S810" s="36"/>
      <c r="T810" s="38"/>
      <c r="U810" s="38"/>
      <c r="V810" s="38"/>
      <c r="W810" s="38"/>
    </row>
    <row r="811" spans="12:23" s="12" customFormat="1" x14ac:dyDescent="0.35">
      <c r="L811" s="11"/>
      <c r="M811" s="11"/>
      <c r="N811" s="11"/>
      <c r="O811" s="11"/>
      <c r="P811" s="11"/>
      <c r="Q811" s="11"/>
      <c r="R811" s="36"/>
      <c r="S811" s="36"/>
      <c r="T811" s="38"/>
      <c r="U811" s="38"/>
      <c r="V811" s="38"/>
      <c r="W811" s="38"/>
    </row>
    <row r="812" spans="12:23" s="12" customFormat="1" x14ac:dyDescent="0.35">
      <c r="L812" s="11"/>
      <c r="M812" s="11"/>
      <c r="N812" s="11"/>
      <c r="O812" s="11"/>
      <c r="P812" s="11"/>
      <c r="Q812" s="11"/>
      <c r="R812" s="36"/>
      <c r="S812" s="36"/>
      <c r="T812" s="38"/>
      <c r="U812" s="38"/>
      <c r="V812" s="38"/>
      <c r="W812" s="38"/>
    </row>
    <row r="813" spans="12:23" s="12" customFormat="1" x14ac:dyDescent="0.35">
      <c r="L813" s="11"/>
      <c r="M813" s="11"/>
      <c r="N813" s="11"/>
      <c r="O813" s="11"/>
      <c r="P813" s="11"/>
      <c r="Q813" s="11"/>
      <c r="R813" s="36"/>
      <c r="S813" s="36"/>
      <c r="T813" s="38"/>
      <c r="U813" s="38"/>
      <c r="V813" s="38"/>
      <c r="W813" s="38"/>
    </row>
    <row r="814" spans="12:23" s="12" customFormat="1" x14ac:dyDescent="0.35">
      <c r="L814" s="11"/>
      <c r="M814" s="11"/>
      <c r="N814" s="11"/>
      <c r="O814" s="11"/>
      <c r="P814" s="11"/>
      <c r="Q814" s="11"/>
      <c r="R814" s="36"/>
      <c r="S814" s="36"/>
      <c r="T814" s="38"/>
      <c r="U814" s="38"/>
      <c r="V814" s="38"/>
      <c r="W814" s="38"/>
    </row>
    <row r="815" spans="12:23" s="12" customFormat="1" x14ac:dyDescent="0.35">
      <c r="L815" s="11"/>
      <c r="M815" s="11"/>
      <c r="N815" s="11"/>
      <c r="O815" s="11"/>
      <c r="P815" s="11"/>
      <c r="Q815" s="11"/>
      <c r="R815" s="36"/>
      <c r="S815" s="36"/>
      <c r="T815" s="38"/>
      <c r="U815" s="38"/>
      <c r="V815" s="38"/>
      <c r="W815" s="38"/>
    </row>
    <row r="816" spans="12:23" s="12" customFormat="1" x14ac:dyDescent="0.35">
      <c r="L816" s="11"/>
      <c r="M816" s="11"/>
      <c r="N816" s="11"/>
      <c r="O816" s="11"/>
      <c r="P816" s="11"/>
      <c r="Q816" s="11"/>
      <c r="R816" s="36"/>
      <c r="S816" s="36"/>
      <c r="T816" s="38"/>
      <c r="U816" s="38"/>
      <c r="V816" s="38"/>
      <c r="W816" s="38"/>
    </row>
    <row r="817" spans="12:23" s="12" customFormat="1" x14ac:dyDescent="0.35">
      <c r="L817" s="11"/>
      <c r="M817" s="11"/>
      <c r="N817" s="11"/>
      <c r="O817" s="11"/>
      <c r="P817" s="11"/>
      <c r="Q817" s="11"/>
      <c r="R817" s="36"/>
      <c r="S817" s="36"/>
      <c r="T817" s="38"/>
      <c r="U817" s="38"/>
      <c r="V817" s="38"/>
      <c r="W817" s="38"/>
    </row>
    <row r="818" spans="12:23" s="12" customFormat="1" x14ac:dyDescent="0.35">
      <c r="L818" s="11"/>
      <c r="M818" s="11"/>
      <c r="N818" s="11"/>
      <c r="O818" s="11"/>
      <c r="P818" s="11"/>
      <c r="Q818" s="11"/>
      <c r="R818" s="36"/>
      <c r="S818" s="36"/>
      <c r="T818" s="38"/>
      <c r="U818" s="38"/>
      <c r="V818" s="38"/>
      <c r="W818" s="38"/>
    </row>
    <row r="819" spans="12:23" s="12" customFormat="1" x14ac:dyDescent="0.35">
      <c r="L819" s="11"/>
      <c r="M819" s="11"/>
      <c r="N819" s="11"/>
      <c r="O819" s="11"/>
      <c r="P819" s="11"/>
      <c r="Q819" s="11"/>
      <c r="R819" s="36"/>
      <c r="S819" s="36"/>
      <c r="T819" s="38"/>
      <c r="U819" s="38"/>
      <c r="V819" s="38"/>
      <c r="W819" s="38"/>
    </row>
    <row r="820" spans="12:23" s="12" customFormat="1" x14ac:dyDescent="0.35">
      <c r="L820" s="11"/>
      <c r="M820" s="11"/>
      <c r="N820" s="11"/>
      <c r="O820" s="11"/>
      <c r="P820" s="11"/>
      <c r="Q820" s="11"/>
      <c r="R820" s="36"/>
      <c r="S820" s="36"/>
      <c r="T820" s="38"/>
      <c r="U820" s="38"/>
      <c r="V820" s="38"/>
      <c r="W820" s="38"/>
    </row>
    <row r="821" spans="12:23" s="12" customFormat="1" x14ac:dyDescent="0.35">
      <c r="L821" s="11"/>
      <c r="M821" s="11"/>
      <c r="N821" s="11"/>
      <c r="O821" s="11"/>
      <c r="P821" s="11"/>
      <c r="Q821" s="11"/>
      <c r="R821" s="36"/>
      <c r="S821" s="36"/>
      <c r="T821" s="38"/>
      <c r="U821" s="38"/>
      <c r="V821" s="38"/>
      <c r="W821" s="38"/>
    </row>
    <row r="822" spans="12:23" s="12" customFormat="1" x14ac:dyDescent="0.35">
      <c r="L822" s="11"/>
      <c r="M822" s="11"/>
      <c r="N822" s="11"/>
      <c r="O822" s="11"/>
      <c r="P822" s="11"/>
      <c r="Q822" s="11"/>
      <c r="R822" s="36"/>
      <c r="S822" s="36"/>
      <c r="T822" s="38"/>
      <c r="U822" s="38"/>
      <c r="V822" s="38"/>
      <c r="W822" s="38"/>
    </row>
    <row r="823" spans="12:23" s="12" customFormat="1" x14ac:dyDescent="0.35">
      <c r="L823" s="11"/>
      <c r="M823" s="11"/>
      <c r="N823" s="11"/>
      <c r="O823" s="11"/>
      <c r="P823" s="11"/>
      <c r="Q823" s="11"/>
      <c r="R823" s="36"/>
      <c r="S823" s="36"/>
      <c r="T823" s="38"/>
      <c r="U823" s="38"/>
      <c r="V823" s="38"/>
      <c r="W823" s="38"/>
    </row>
    <row r="824" spans="12:23" s="12" customFormat="1" x14ac:dyDescent="0.35">
      <c r="L824" s="11"/>
      <c r="M824" s="11"/>
      <c r="N824" s="11"/>
      <c r="O824" s="11"/>
      <c r="P824" s="11"/>
      <c r="Q824" s="11"/>
      <c r="R824" s="36"/>
      <c r="S824" s="36"/>
      <c r="T824" s="38"/>
      <c r="U824" s="38"/>
      <c r="V824" s="38"/>
      <c r="W824" s="38"/>
    </row>
    <row r="825" spans="12:23" s="12" customFormat="1" x14ac:dyDescent="0.35">
      <c r="L825" s="11"/>
      <c r="M825" s="11"/>
      <c r="N825" s="11"/>
      <c r="O825" s="11"/>
      <c r="P825" s="11"/>
      <c r="Q825" s="11"/>
      <c r="R825" s="36"/>
      <c r="S825" s="36"/>
      <c r="T825" s="38"/>
      <c r="U825" s="38"/>
      <c r="V825" s="38"/>
      <c r="W825" s="38"/>
    </row>
    <row r="826" spans="12:23" s="12" customFormat="1" x14ac:dyDescent="0.35">
      <c r="L826" s="11"/>
      <c r="M826" s="11"/>
      <c r="N826" s="11"/>
      <c r="O826" s="11"/>
      <c r="P826" s="11"/>
      <c r="Q826" s="11"/>
      <c r="R826" s="36"/>
      <c r="S826" s="36"/>
      <c r="T826" s="38"/>
      <c r="U826" s="38"/>
      <c r="V826" s="38"/>
      <c r="W826" s="38"/>
    </row>
    <row r="827" spans="12:23" s="12" customFormat="1" x14ac:dyDescent="0.35">
      <c r="L827" s="11"/>
      <c r="M827" s="11"/>
      <c r="N827" s="11"/>
      <c r="O827" s="11"/>
      <c r="P827" s="11"/>
      <c r="Q827" s="11"/>
      <c r="R827" s="36"/>
      <c r="S827" s="36"/>
      <c r="T827" s="38"/>
      <c r="U827" s="38"/>
      <c r="V827" s="38"/>
      <c r="W827" s="38"/>
    </row>
    <row r="828" spans="12:23" s="12" customFormat="1" x14ac:dyDescent="0.35">
      <c r="L828" s="11"/>
      <c r="M828" s="11"/>
      <c r="N828" s="11"/>
      <c r="O828" s="11"/>
      <c r="P828" s="11"/>
      <c r="Q828" s="11"/>
      <c r="R828" s="36"/>
      <c r="S828" s="36"/>
      <c r="T828" s="38"/>
      <c r="U828" s="38"/>
      <c r="V828" s="38"/>
      <c r="W828" s="38"/>
    </row>
    <row r="829" spans="12:23" s="12" customFormat="1" x14ac:dyDescent="0.35">
      <c r="L829" s="11"/>
      <c r="M829" s="11"/>
      <c r="N829" s="11"/>
      <c r="O829" s="11"/>
      <c r="P829" s="11"/>
      <c r="Q829" s="11"/>
      <c r="R829" s="36"/>
      <c r="S829" s="36"/>
      <c r="T829" s="38"/>
      <c r="U829" s="38"/>
      <c r="V829" s="38"/>
      <c r="W829" s="38"/>
    </row>
    <row r="830" spans="12:23" s="12" customFormat="1" x14ac:dyDescent="0.35">
      <c r="L830" s="11"/>
      <c r="M830" s="11"/>
      <c r="N830" s="11"/>
      <c r="O830" s="11"/>
      <c r="P830" s="11"/>
      <c r="Q830" s="11"/>
      <c r="R830" s="36"/>
      <c r="S830" s="36"/>
      <c r="T830" s="38"/>
      <c r="U830" s="38"/>
      <c r="V830" s="38"/>
      <c r="W830" s="38"/>
    </row>
    <row r="831" spans="12:23" s="12" customFormat="1" x14ac:dyDescent="0.35">
      <c r="L831" s="11"/>
      <c r="M831" s="11"/>
      <c r="N831" s="11"/>
      <c r="O831" s="11"/>
      <c r="P831" s="11"/>
      <c r="Q831" s="11"/>
      <c r="R831" s="36"/>
      <c r="S831" s="36"/>
      <c r="T831" s="38"/>
      <c r="U831" s="38"/>
      <c r="V831" s="38"/>
      <c r="W831" s="38"/>
    </row>
    <row r="832" spans="12:23" s="12" customFormat="1" x14ac:dyDescent="0.35">
      <c r="L832" s="11"/>
      <c r="M832" s="11"/>
      <c r="N832" s="11"/>
      <c r="O832" s="11"/>
      <c r="P832" s="11"/>
      <c r="Q832" s="11"/>
      <c r="R832" s="36"/>
      <c r="S832" s="36"/>
      <c r="T832" s="38"/>
      <c r="U832" s="38"/>
      <c r="V832" s="38"/>
      <c r="W832" s="38"/>
    </row>
    <row r="833" spans="12:23" s="12" customFormat="1" x14ac:dyDescent="0.35">
      <c r="L833" s="11"/>
      <c r="M833" s="11"/>
      <c r="N833" s="11"/>
      <c r="O833" s="11"/>
      <c r="P833" s="11"/>
      <c r="Q833" s="11"/>
      <c r="R833" s="36"/>
      <c r="S833" s="36"/>
      <c r="T833" s="38"/>
      <c r="U833" s="38"/>
      <c r="V833" s="38"/>
      <c r="W833" s="38"/>
    </row>
    <row r="834" spans="12:23" s="12" customFormat="1" x14ac:dyDescent="0.35">
      <c r="L834" s="11"/>
      <c r="M834" s="11"/>
      <c r="N834" s="11"/>
      <c r="O834" s="11"/>
      <c r="P834" s="11"/>
      <c r="Q834" s="11"/>
      <c r="R834" s="36"/>
      <c r="S834" s="36"/>
      <c r="T834" s="38"/>
      <c r="U834" s="38"/>
      <c r="V834" s="38"/>
      <c r="W834" s="38"/>
    </row>
    <row r="835" spans="12:23" s="12" customFormat="1" x14ac:dyDescent="0.35">
      <c r="L835" s="11"/>
      <c r="M835" s="11"/>
      <c r="N835" s="11"/>
      <c r="O835" s="11"/>
      <c r="P835" s="11"/>
      <c r="Q835" s="11"/>
      <c r="R835" s="36"/>
      <c r="S835" s="36"/>
      <c r="T835" s="38"/>
      <c r="U835" s="38"/>
      <c r="V835" s="38"/>
      <c r="W835" s="38"/>
    </row>
    <row r="836" spans="12:23" s="12" customFormat="1" x14ac:dyDescent="0.35">
      <c r="L836" s="11"/>
      <c r="M836" s="11"/>
      <c r="N836" s="11"/>
      <c r="O836" s="11"/>
      <c r="P836" s="11"/>
      <c r="Q836" s="11"/>
      <c r="R836" s="36"/>
      <c r="S836" s="36"/>
      <c r="T836" s="38"/>
      <c r="U836" s="38"/>
      <c r="V836" s="38"/>
      <c r="W836" s="38"/>
    </row>
    <row r="837" spans="12:23" s="12" customFormat="1" x14ac:dyDescent="0.35">
      <c r="L837" s="11"/>
      <c r="M837" s="11"/>
      <c r="N837" s="11"/>
      <c r="O837" s="11"/>
      <c r="P837" s="11"/>
      <c r="Q837" s="11"/>
      <c r="R837" s="36"/>
      <c r="S837" s="36"/>
      <c r="T837" s="38"/>
      <c r="U837" s="38"/>
      <c r="V837" s="38"/>
      <c r="W837" s="38"/>
    </row>
    <row r="838" spans="12:23" s="12" customFormat="1" x14ac:dyDescent="0.35">
      <c r="L838" s="11"/>
      <c r="M838" s="11"/>
      <c r="N838" s="11"/>
      <c r="O838" s="11"/>
      <c r="P838" s="11"/>
      <c r="Q838" s="11"/>
      <c r="R838" s="36"/>
      <c r="S838" s="36"/>
      <c r="T838" s="38"/>
      <c r="U838" s="38"/>
      <c r="V838" s="38"/>
      <c r="W838" s="38"/>
    </row>
    <row r="839" spans="12:23" s="12" customFormat="1" x14ac:dyDescent="0.35">
      <c r="L839" s="11"/>
      <c r="M839" s="11"/>
      <c r="N839" s="11"/>
      <c r="O839" s="11"/>
      <c r="P839" s="11"/>
      <c r="Q839" s="11"/>
      <c r="R839" s="36"/>
      <c r="S839" s="36"/>
      <c r="T839" s="38"/>
      <c r="U839" s="38"/>
      <c r="V839" s="38"/>
      <c r="W839" s="38"/>
    </row>
    <row r="840" spans="12:23" s="12" customFormat="1" x14ac:dyDescent="0.35">
      <c r="L840" s="11"/>
      <c r="M840" s="11"/>
      <c r="N840" s="11"/>
      <c r="O840" s="11"/>
      <c r="P840" s="11"/>
      <c r="Q840" s="11"/>
      <c r="R840" s="36"/>
      <c r="S840" s="36"/>
      <c r="T840" s="38"/>
      <c r="U840" s="38"/>
      <c r="V840" s="38"/>
      <c r="W840" s="38"/>
    </row>
    <row r="841" spans="12:23" s="12" customFormat="1" x14ac:dyDescent="0.35">
      <c r="L841" s="11"/>
      <c r="M841" s="11"/>
      <c r="N841" s="11"/>
      <c r="O841" s="11"/>
      <c r="P841" s="11"/>
      <c r="Q841" s="11"/>
      <c r="R841" s="36"/>
      <c r="S841" s="36"/>
      <c r="T841" s="38"/>
      <c r="U841" s="38"/>
      <c r="V841" s="38"/>
      <c r="W841" s="38"/>
    </row>
    <row r="842" spans="12:23" s="12" customFormat="1" x14ac:dyDescent="0.35">
      <c r="L842" s="11"/>
      <c r="M842" s="11"/>
      <c r="N842" s="11"/>
      <c r="O842" s="11"/>
      <c r="P842" s="11"/>
      <c r="Q842" s="11"/>
      <c r="R842" s="36"/>
      <c r="S842" s="36"/>
      <c r="T842" s="38"/>
      <c r="U842" s="38"/>
      <c r="V842" s="38"/>
      <c r="W842" s="38"/>
    </row>
    <row r="843" spans="12:23" s="12" customFormat="1" x14ac:dyDescent="0.35">
      <c r="L843" s="11"/>
      <c r="M843" s="11"/>
      <c r="N843" s="11"/>
      <c r="O843" s="11"/>
      <c r="P843" s="11"/>
      <c r="Q843" s="11"/>
      <c r="R843" s="36"/>
      <c r="S843" s="36"/>
      <c r="T843" s="38"/>
      <c r="U843" s="38"/>
      <c r="V843" s="38"/>
      <c r="W843" s="38"/>
    </row>
    <row r="844" spans="12:23" s="12" customFormat="1" x14ac:dyDescent="0.35">
      <c r="L844" s="11"/>
      <c r="M844" s="11"/>
      <c r="N844" s="11"/>
      <c r="O844" s="11"/>
      <c r="P844" s="11"/>
      <c r="Q844" s="11"/>
      <c r="R844" s="36"/>
      <c r="S844" s="36"/>
      <c r="T844" s="38"/>
      <c r="U844" s="38"/>
      <c r="V844" s="38"/>
      <c r="W844" s="38"/>
    </row>
    <row r="845" spans="12:23" s="12" customFormat="1" x14ac:dyDescent="0.35">
      <c r="L845" s="11"/>
      <c r="M845" s="11"/>
      <c r="N845" s="11"/>
      <c r="O845" s="11"/>
      <c r="P845" s="11"/>
      <c r="Q845" s="11"/>
      <c r="R845" s="36"/>
      <c r="S845" s="36"/>
      <c r="T845" s="38"/>
      <c r="U845" s="38"/>
      <c r="V845" s="38"/>
      <c r="W845" s="38"/>
    </row>
    <row r="846" spans="12:23" s="12" customFormat="1" x14ac:dyDescent="0.35">
      <c r="L846" s="11"/>
      <c r="M846" s="11"/>
      <c r="N846" s="11"/>
      <c r="O846" s="11"/>
      <c r="P846" s="11"/>
      <c r="Q846" s="11"/>
      <c r="R846" s="36"/>
      <c r="S846" s="36"/>
      <c r="T846" s="38"/>
      <c r="U846" s="38"/>
      <c r="V846" s="38"/>
      <c r="W846" s="38"/>
    </row>
    <row r="847" spans="12:23" s="12" customFormat="1" x14ac:dyDescent="0.35">
      <c r="L847" s="11"/>
      <c r="M847" s="11"/>
      <c r="N847" s="11"/>
      <c r="O847" s="11"/>
      <c r="P847" s="11"/>
      <c r="Q847" s="11"/>
      <c r="R847" s="36"/>
      <c r="S847" s="36"/>
      <c r="T847" s="38"/>
      <c r="U847" s="38"/>
      <c r="V847" s="38"/>
      <c r="W847" s="38"/>
    </row>
    <row r="848" spans="12:23" s="12" customFormat="1" x14ac:dyDescent="0.35">
      <c r="L848" s="11"/>
      <c r="M848" s="11"/>
      <c r="N848" s="11"/>
      <c r="O848" s="11"/>
      <c r="P848" s="11"/>
      <c r="Q848" s="11"/>
      <c r="R848" s="36"/>
      <c r="S848" s="36"/>
      <c r="T848" s="38"/>
      <c r="U848" s="38"/>
      <c r="V848" s="38"/>
      <c r="W848" s="38"/>
    </row>
    <row r="849" spans="12:23" s="12" customFormat="1" x14ac:dyDescent="0.35">
      <c r="L849" s="11"/>
      <c r="M849" s="11"/>
      <c r="N849" s="11"/>
      <c r="O849" s="11"/>
      <c r="P849" s="11"/>
      <c r="Q849" s="11"/>
      <c r="R849" s="36"/>
      <c r="S849" s="36"/>
      <c r="T849" s="38"/>
      <c r="U849" s="38"/>
      <c r="V849" s="38"/>
      <c r="W849" s="38"/>
    </row>
    <row r="850" spans="12:23" s="12" customFormat="1" x14ac:dyDescent="0.35">
      <c r="L850" s="11"/>
      <c r="M850" s="11"/>
      <c r="N850" s="11"/>
      <c r="O850" s="11"/>
      <c r="P850" s="11"/>
      <c r="Q850" s="11"/>
      <c r="R850" s="36"/>
      <c r="S850" s="36"/>
      <c r="T850" s="38"/>
      <c r="U850" s="38"/>
      <c r="V850" s="38"/>
      <c r="W850" s="38"/>
    </row>
    <row r="851" spans="12:23" s="12" customFormat="1" x14ac:dyDescent="0.35">
      <c r="L851" s="11"/>
      <c r="M851" s="11"/>
      <c r="N851" s="11"/>
      <c r="O851" s="11"/>
      <c r="P851" s="11"/>
      <c r="Q851" s="11"/>
      <c r="R851" s="36"/>
      <c r="S851" s="36"/>
      <c r="T851" s="38"/>
      <c r="U851" s="38"/>
      <c r="V851" s="38"/>
      <c r="W851" s="38"/>
    </row>
    <row r="852" spans="12:23" s="12" customFormat="1" x14ac:dyDescent="0.35">
      <c r="L852" s="11"/>
      <c r="M852" s="11"/>
      <c r="N852" s="11"/>
      <c r="O852" s="11"/>
      <c r="P852" s="11"/>
      <c r="Q852" s="11"/>
      <c r="R852" s="36"/>
      <c r="S852" s="36"/>
      <c r="T852" s="38"/>
      <c r="U852" s="38"/>
      <c r="V852" s="38"/>
      <c r="W852" s="38"/>
    </row>
    <row r="853" spans="12:23" s="12" customFormat="1" x14ac:dyDescent="0.35">
      <c r="L853" s="11"/>
      <c r="M853" s="11"/>
      <c r="N853" s="11"/>
      <c r="O853" s="11"/>
      <c r="P853" s="11"/>
      <c r="Q853" s="11"/>
      <c r="R853" s="36"/>
      <c r="S853" s="36"/>
      <c r="T853" s="38"/>
      <c r="U853" s="38"/>
      <c r="V853" s="38"/>
      <c r="W853" s="38"/>
    </row>
    <row r="854" spans="12:23" s="12" customFormat="1" x14ac:dyDescent="0.35">
      <c r="L854" s="11"/>
      <c r="M854" s="11"/>
      <c r="N854" s="11"/>
      <c r="O854" s="11"/>
      <c r="P854" s="11"/>
      <c r="Q854" s="11"/>
      <c r="R854" s="36"/>
      <c r="S854" s="36"/>
      <c r="T854" s="38"/>
      <c r="U854" s="38"/>
      <c r="V854" s="38"/>
      <c r="W854" s="38"/>
    </row>
    <row r="855" spans="12:23" s="12" customFormat="1" x14ac:dyDescent="0.35">
      <c r="L855" s="11"/>
      <c r="M855" s="11"/>
      <c r="N855" s="11"/>
      <c r="O855" s="11"/>
      <c r="P855" s="11"/>
      <c r="Q855" s="11"/>
      <c r="R855" s="36"/>
      <c r="S855" s="36"/>
      <c r="T855" s="38"/>
      <c r="U855" s="38"/>
      <c r="V855" s="38"/>
      <c r="W855" s="38"/>
    </row>
    <row r="856" spans="12:23" s="12" customFormat="1" x14ac:dyDescent="0.35">
      <c r="L856" s="11"/>
      <c r="M856" s="11"/>
      <c r="N856" s="11"/>
      <c r="O856" s="11"/>
      <c r="P856" s="11"/>
      <c r="Q856" s="11"/>
      <c r="R856" s="36"/>
      <c r="S856" s="36"/>
      <c r="T856" s="38"/>
      <c r="U856" s="38"/>
      <c r="V856" s="38"/>
      <c r="W856" s="38"/>
    </row>
    <row r="857" spans="12:23" s="12" customFormat="1" x14ac:dyDescent="0.35">
      <c r="L857" s="11"/>
      <c r="M857" s="11"/>
      <c r="N857" s="11"/>
      <c r="O857" s="11"/>
      <c r="P857" s="11"/>
      <c r="Q857" s="11"/>
      <c r="R857" s="36"/>
      <c r="S857" s="36"/>
      <c r="T857" s="38"/>
      <c r="U857" s="38"/>
      <c r="V857" s="38"/>
      <c r="W857" s="38"/>
    </row>
    <row r="858" spans="12:23" s="12" customFormat="1" x14ac:dyDescent="0.35">
      <c r="L858" s="11"/>
      <c r="M858" s="11"/>
      <c r="N858" s="11"/>
      <c r="O858" s="11"/>
      <c r="P858" s="11"/>
      <c r="Q858" s="11"/>
      <c r="R858" s="36"/>
      <c r="S858" s="36"/>
      <c r="T858" s="38"/>
      <c r="U858" s="38"/>
      <c r="V858" s="38"/>
      <c r="W858" s="38"/>
    </row>
    <row r="859" spans="12:23" s="12" customFormat="1" x14ac:dyDescent="0.35">
      <c r="L859" s="11"/>
      <c r="M859" s="11"/>
      <c r="N859" s="11"/>
      <c r="O859" s="11"/>
      <c r="P859" s="11"/>
      <c r="Q859" s="11"/>
      <c r="R859" s="36"/>
      <c r="S859" s="36"/>
      <c r="T859" s="38"/>
      <c r="U859" s="38"/>
      <c r="V859" s="38"/>
      <c r="W859" s="38"/>
    </row>
    <row r="860" spans="12:23" s="12" customFormat="1" x14ac:dyDescent="0.35">
      <c r="L860" s="11"/>
      <c r="M860" s="11"/>
      <c r="N860" s="11"/>
      <c r="O860" s="11"/>
      <c r="P860" s="11"/>
      <c r="Q860" s="11"/>
      <c r="R860" s="36"/>
      <c r="S860" s="36"/>
      <c r="T860" s="38"/>
      <c r="U860" s="38"/>
      <c r="V860" s="38"/>
      <c r="W860" s="38"/>
    </row>
    <row r="861" spans="12:23" s="12" customFormat="1" x14ac:dyDescent="0.35">
      <c r="L861" s="11"/>
      <c r="M861" s="11"/>
      <c r="N861" s="11"/>
      <c r="O861" s="11"/>
      <c r="P861" s="11"/>
      <c r="Q861" s="11"/>
      <c r="R861" s="36"/>
      <c r="S861" s="36"/>
      <c r="T861" s="38"/>
      <c r="U861" s="38"/>
      <c r="V861" s="38"/>
      <c r="W861" s="38"/>
    </row>
    <row r="862" spans="12:23" s="12" customFormat="1" x14ac:dyDescent="0.35">
      <c r="L862" s="11"/>
      <c r="M862" s="11"/>
      <c r="N862" s="11"/>
      <c r="O862" s="11"/>
      <c r="P862" s="11"/>
      <c r="Q862" s="11"/>
      <c r="R862" s="36"/>
      <c r="S862" s="36"/>
      <c r="T862" s="38"/>
      <c r="U862" s="38"/>
      <c r="V862" s="38"/>
      <c r="W862" s="38"/>
    </row>
    <row r="863" spans="12:23" s="12" customFormat="1" x14ac:dyDescent="0.35">
      <c r="L863" s="11"/>
      <c r="M863" s="11"/>
      <c r="N863" s="11"/>
      <c r="O863" s="11"/>
      <c r="P863" s="11"/>
      <c r="Q863" s="11"/>
      <c r="R863" s="36"/>
      <c r="S863" s="36"/>
      <c r="T863" s="38"/>
      <c r="U863" s="38"/>
      <c r="V863" s="38"/>
      <c r="W863" s="38"/>
    </row>
    <row r="864" spans="12:23" s="12" customFormat="1" x14ac:dyDescent="0.35">
      <c r="L864" s="11"/>
      <c r="M864" s="11"/>
      <c r="N864" s="11"/>
      <c r="O864" s="11"/>
      <c r="P864" s="11"/>
      <c r="Q864" s="11"/>
      <c r="R864" s="36"/>
      <c r="S864" s="36"/>
      <c r="T864" s="38"/>
      <c r="U864" s="38"/>
      <c r="V864" s="38"/>
      <c r="W864" s="38"/>
    </row>
    <row r="865" spans="12:23" s="12" customFormat="1" x14ac:dyDescent="0.35">
      <c r="L865" s="11"/>
      <c r="M865" s="11"/>
      <c r="N865" s="11"/>
      <c r="O865" s="11"/>
      <c r="P865" s="11"/>
      <c r="Q865" s="11"/>
      <c r="R865" s="36"/>
      <c r="S865" s="36"/>
      <c r="T865" s="38"/>
      <c r="U865" s="38"/>
      <c r="V865" s="38"/>
      <c r="W865" s="38"/>
    </row>
    <row r="866" spans="12:23" s="12" customFormat="1" x14ac:dyDescent="0.35">
      <c r="L866" s="11"/>
      <c r="M866" s="11"/>
      <c r="N866" s="11"/>
      <c r="O866" s="11"/>
      <c r="P866" s="11"/>
      <c r="Q866" s="11"/>
      <c r="R866" s="36"/>
      <c r="S866" s="36"/>
      <c r="T866" s="38"/>
      <c r="U866" s="38"/>
      <c r="V866" s="38"/>
      <c r="W866" s="38"/>
    </row>
    <row r="867" spans="12:23" s="12" customFormat="1" x14ac:dyDescent="0.35">
      <c r="L867" s="11"/>
      <c r="M867" s="11"/>
      <c r="N867" s="11"/>
      <c r="O867" s="11"/>
      <c r="P867" s="11"/>
      <c r="Q867" s="11"/>
      <c r="R867" s="36"/>
      <c r="S867" s="36"/>
      <c r="T867" s="38"/>
      <c r="U867" s="38"/>
      <c r="V867" s="38"/>
      <c r="W867" s="38"/>
    </row>
    <row r="868" spans="12:23" s="12" customFormat="1" x14ac:dyDescent="0.35">
      <c r="L868" s="11"/>
      <c r="M868" s="11"/>
      <c r="N868" s="11"/>
      <c r="O868" s="11"/>
      <c r="P868" s="11"/>
      <c r="Q868" s="11"/>
      <c r="R868" s="36"/>
      <c r="S868" s="36"/>
      <c r="T868" s="38"/>
      <c r="U868" s="38"/>
      <c r="V868" s="38"/>
      <c r="W868" s="38"/>
    </row>
    <row r="869" spans="12:23" s="12" customFormat="1" x14ac:dyDescent="0.35">
      <c r="L869" s="11"/>
      <c r="M869" s="11"/>
      <c r="N869" s="11"/>
      <c r="O869" s="11"/>
      <c r="P869" s="11"/>
      <c r="Q869" s="11"/>
      <c r="R869" s="36"/>
      <c r="S869" s="36"/>
      <c r="T869" s="38"/>
      <c r="U869" s="38"/>
      <c r="V869" s="38"/>
      <c r="W869" s="38"/>
    </row>
    <row r="870" spans="12:23" s="12" customFormat="1" x14ac:dyDescent="0.35">
      <c r="L870" s="11"/>
      <c r="M870" s="11"/>
      <c r="N870" s="11"/>
      <c r="O870" s="11"/>
      <c r="P870" s="11"/>
      <c r="Q870" s="11"/>
      <c r="R870" s="36"/>
      <c r="S870" s="36"/>
      <c r="T870" s="38"/>
      <c r="U870" s="38"/>
      <c r="V870" s="38"/>
      <c r="W870" s="38"/>
    </row>
    <row r="871" spans="12:23" s="12" customFormat="1" x14ac:dyDescent="0.35">
      <c r="L871" s="11"/>
      <c r="M871" s="11"/>
      <c r="N871" s="11"/>
      <c r="O871" s="11"/>
      <c r="P871" s="11"/>
      <c r="Q871" s="11"/>
      <c r="R871" s="36"/>
      <c r="S871" s="36"/>
      <c r="T871" s="38"/>
      <c r="U871" s="38"/>
      <c r="V871" s="38"/>
      <c r="W871" s="38"/>
    </row>
    <row r="872" spans="12:23" s="12" customFormat="1" x14ac:dyDescent="0.35">
      <c r="L872" s="11"/>
      <c r="M872" s="11"/>
      <c r="N872" s="11"/>
      <c r="O872" s="11"/>
      <c r="P872" s="11"/>
      <c r="Q872" s="11"/>
      <c r="R872" s="36"/>
      <c r="S872" s="36"/>
      <c r="T872" s="38"/>
      <c r="U872" s="38"/>
      <c r="V872" s="38"/>
      <c r="W872" s="38"/>
    </row>
    <row r="873" spans="12:23" s="12" customFormat="1" x14ac:dyDescent="0.35">
      <c r="L873" s="11"/>
      <c r="M873" s="11"/>
      <c r="N873" s="11"/>
      <c r="O873" s="11"/>
      <c r="P873" s="11"/>
      <c r="Q873" s="11"/>
      <c r="R873" s="36"/>
      <c r="S873" s="36"/>
      <c r="T873" s="38"/>
      <c r="U873" s="38"/>
      <c r="V873" s="38"/>
      <c r="W873" s="38"/>
    </row>
    <row r="874" spans="12:23" s="12" customFormat="1" x14ac:dyDescent="0.35">
      <c r="L874" s="11"/>
      <c r="M874" s="11"/>
      <c r="N874" s="11"/>
      <c r="O874" s="11"/>
      <c r="P874" s="11"/>
      <c r="Q874" s="11"/>
      <c r="R874" s="36"/>
      <c r="S874" s="36"/>
      <c r="T874" s="38"/>
      <c r="U874" s="38"/>
      <c r="V874" s="38"/>
      <c r="W874" s="38"/>
    </row>
    <row r="875" spans="12:23" s="12" customFormat="1" x14ac:dyDescent="0.35">
      <c r="L875" s="11"/>
      <c r="M875" s="11"/>
      <c r="N875" s="11"/>
      <c r="O875" s="11"/>
      <c r="P875" s="11"/>
      <c r="Q875" s="11"/>
      <c r="R875" s="36"/>
      <c r="S875" s="36"/>
      <c r="T875" s="38"/>
      <c r="U875" s="38"/>
      <c r="V875" s="38"/>
      <c r="W875" s="38"/>
    </row>
    <row r="876" spans="12:23" s="12" customFormat="1" x14ac:dyDescent="0.35">
      <c r="L876" s="11"/>
      <c r="M876" s="11"/>
      <c r="N876" s="11"/>
      <c r="O876" s="11"/>
      <c r="P876" s="11"/>
      <c r="Q876" s="11"/>
      <c r="R876" s="36"/>
      <c r="S876" s="36"/>
      <c r="T876" s="38"/>
      <c r="U876" s="38"/>
      <c r="V876" s="38"/>
      <c r="W876" s="38"/>
    </row>
    <row r="877" spans="12:23" s="12" customFormat="1" x14ac:dyDescent="0.35">
      <c r="L877" s="11"/>
      <c r="M877" s="11"/>
      <c r="N877" s="11"/>
      <c r="O877" s="11"/>
      <c r="P877" s="11"/>
      <c r="Q877" s="11"/>
      <c r="R877" s="36"/>
      <c r="S877" s="36"/>
      <c r="T877" s="38"/>
      <c r="U877" s="38"/>
      <c r="V877" s="38"/>
      <c r="W877" s="38"/>
    </row>
    <row r="878" spans="12:23" s="12" customFormat="1" x14ac:dyDescent="0.35">
      <c r="L878" s="11"/>
      <c r="M878" s="11"/>
      <c r="N878" s="11"/>
      <c r="O878" s="11"/>
      <c r="P878" s="11"/>
      <c r="Q878" s="11"/>
      <c r="R878" s="36"/>
      <c r="S878" s="36"/>
      <c r="T878" s="38"/>
      <c r="U878" s="38"/>
      <c r="V878" s="38"/>
      <c r="W878" s="38"/>
    </row>
    <row r="879" spans="12:23" s="12" customFormat="1" x14ac:dyDescent="0.35">
      <c r="L879" s="11"/>
      <c r="M879" s="11"/>
      <c r="N879" s="11"/>
      <c r="O879" s="11"/>
      <c r="P879" s="11"/>
      <c r="Q879" s="11"/>
      <c r="R879" s="36"/>
      <c r="S879" s="36"/>
      <c r="T879" s="38"/>
      <c r="U879" s="38"/>
      <c r="V879" s="38"/>
      <c r="W879" s="38"/>
    </row>
    <row r="880" spans="12:23" s="12" customFormat="1" x14ac:dyDescent="0.35">
      <c r="L880" s="11"/>
      <c r="M880" s="11"/>
      <c r="N880" s="11"/>
      <c r="O880" s="11"/>
      <c r="P880" s="11"/>
      <c r="Q880" s="11"/>
      <c r="R880" s="36"/>
      <c r="S880" s="36"/>
      <c r="T880" s="38"/>
      <c r="U880" s="38"/>
      <c r="V880" s="38"/>
      <c r="W880" s="38"/>
    </row>
    <row r="881" spans="12:23" s="12" customFormat="1" x14ac:dyDescent="0.35">
      <c r="L881" s="11"/>
      <c r="M881" s="11"/>
      <c r="N881" s="11"/>
      <c r="O881" s="11"/>
      <c r="P881" s="11"/>
      <c r="Q881" s="11"/>
      <c r="R881" s="36"/>
      <c r="S881" s="36"/>
      <c r="T881" s="38"/>
      <c r="U881" s="38"/>
      <c r="V881" s="38"/>
      <c r="W881" s="38"/>
    </row>
    <row r="882" spans="12:23" s="12" customFormat="1" x14ac:dyDescent="0.35">
      <c r="L882" s="11"/>
      <c r="M882" s="11"/>
      <c r="N882" s="11"/>
      <c r="O882" s="11"/>
      <c r="P882" s="11"/>
      <c r="Q882" s="11"/>
      <c r="R882" s="36"/>
      <c r="S882" s="36"/>
      <c r="T882" s="38"/>
      <c r="U882" s="38"/>
      <c r="V882" s="38"/>
      <c r="W882" s="38"/>
    </row>
    <row r="883" spans="12:23" s="12" customFormat="1" x14ac:dyDescent="0.35">
      <c r="L883" s="11"/>
      <c r="M883" s="11"/>
      <c r="N883" s="11"/>
      <c r="O883" s="11"/>
      <c r="P883" s="11"/>
      <c r="Q883" s="11"/>
      <c r="R883" s="36"/>
      <c r="S883" s="36"/>
      <c r="T883" s="38"/>
      <c r="U883" s="38"/>
      <c r="V883" s="38"/>
      <c r="W883" s="38"/>
    </row>
    <row r="884" spans="12:23" s="12" customFormat="1" x14ac:dyDescent="0.35">
      <c r="L884" s="11"/>
      <c r="M884" s="11"/>
      <c r="N884" s="11"/>
      <c r="O884" s="11"/>
      <c r="P884" s="11"/>
      <c r="Q884" s="11"/>
      <c r="R884" s="36"/>
      <c r="S884" s="36"/>
      <c r="T884" s="38"/>
      <c r="U884" s="38"/>
      <c r="V884" s="38"/>
      <c r="W884" s="38"/>
    </row>
    <row r="885" spans="12:23" s="12" customFormat="1" x14ac:dyDescent="0.35">
      <c r="L885" s="11"/>
      <c r="M885" s="11"/>
      <c r="N885" s="11"/>
      <c r="O885" s="11"/>
      <c r="P885" s="11"/>
      <c r="Q885" s="11"/>
      <c r="R885" s="36"/>
      <c r="S885" s="36"/>
      <c r="T885" s="38"/>
      <c r="U885" s="38"/>
      <c r="V885" s="38"/>
      <c r="W885" s="38"/>
    </row>
    <row r="886" spans="12:23" s="12" customFormat="1" x14ac:dyDescent="0.35">
      <c r="L886" s="11"/>
      <c r="M886" s="11"/>
      <c r="N886" s="11"/>
      <c r="O886" s="11"/>
      <c r="P886" s="11"/>
      <c r="Q886" s="11"/>
      <c r="R886" s="36"/>
      <c r="S886" s="36"/>
      <c r="T886" s="38"/>
      <c r="U886" s="38"/>
      <c r="V886" s="38"/>
      <c r="W886" s="38"/>
    </row>
    <row r="887" spans="12:23" s="12" customFormat="1" x14ac:dyDescent="0.35">
      <c r="L887" s="11"/>
      <c r="M887" s="11"/>
      <c r="N887" s="11"/>
      <c r="O887" s="11"/>
      <c r="P887" s="11"/>
      <c r="Q887" s="11"/>
      <c r="R887" s="36"/>
      <c r="S887" s="36"/>
      <c r="T887" s="38"/>
      <c r="U887" s="38"/>
      <c r="V887" s="38"/>
      <c r="W887" s="38"/>
    </row>
    <row r="888" spans="12:23" s="12" customFormat="1" x14ac:dyDescent="0.35">
      <c r="L888" s="11"/>
      <c r="M888" s="11"/>
      <c r="N888" s="11"/>
      <c r="O888" s="11"/>
      <c r="P888" s="11"/>
      <c r="Q888" s="11"/>
      <c r="R888" s="36"/>
      <c r="S888" s="36"/>
      <c r="T888" s="38"/>
      <c r="U888" s="38"/>
      <c r="V888" s="38"/>
      <c r="W888" s="38"/>
    </row>
    <row r="889" spans="12:23" s="12" customFormat="1" x14ac:dyDescent="0.35">
      <c r="L889" s="11"/>
      <c r="M889" s="11"/>
      <c r="N889" s="11"/>
      <c r="O889" s="11"/>
      <c r="P889" s="11"/>
      <c r="Q889" s="11"/>
      <c r="R889" s="36"/>
      <c r="S889" s="36"/>
      <c r="T889" s="38"/>
      <c r="U889" s="38"/>
      <c r="V889" s="38"/>
      <c r="W889" s="38"/>
    </row>
    <row r="890" spans="12:23" s="12" customFormat="1" x14ac:dyDescent="0.35">
      <c r="L890" s="11"/>
      <c r="M890" s="11"/>
      <c r="N890" s="11"/>
      <c r="O890" s="11"/>
      <c r="P890" s="11"/>
      <c r="Q890" s="11"/>
      <c r="R890" s="36"/>
      <c r="S890" s="36"/>
      <c r="T890" s="38"/>
      <c r="U890" s="38"/>
      <c r="V890" s="38"/>
      <c r="W890" s="38"/>
    </row>
    <row r="891" spans="12:23" s="12" customFormat="1" x14ac:dyDescent="0.35">
      <c r="L891" s="11"/>
      <c r="M891" s="11"/>
      <c r="N891" s="11"/>
      <c r="O891" s="11"/>
      <c r="P891" s="11"/>
      <c r="Q891" s="11"/>
      <c r="R891" s="36"/>
      <c r="S891" s="36"/>
      <c r="T891" s="38"/>
      <c r="U891" s="38"/>
      <c r="V891" s="38"/>
      <c r="W891" s="38"/>
    </row>
    <row r="892" spans="12:23" s="12" customFormat="1" x14ac:dyDescent="0.35">
      <c r="L892" s="11"/>
      <c r="M892" s="11"/>
      <c r="N892" s="11"/>
      <c r="O892" s="11"/>
      <c r="P892" s="11"/>
      <c r="Q892" s="11"/>
      <c r="R892" s="36"/>
      <c r="S892" s="36"/>
      <c r="T892" s="38"/>
      <c r="U892" s="38"/>
      <c r="V892" s="38"/>
      <c r="W892" s="38"/>
    </row>
    <row r="893" spans="12:23" s="12" customFormat="1" x14ac:dyDescent="0.35">
      <c r="L893" s="11"/>
      <c r="M893" s="11"/>
      <c r="N893" s="11"/>
      <c r="O893" s="11"/>
      <c r="P893" s="11"/>
      <c r="Q893" s="11"/>
      <c r="R893" s="36"/>
      <c r="S893" s="36"/>
      <c r="T893" s="38"/>
      <c r="U893" s="38"/>
      <c r="V893" s="38"/>
      <c r="W893" s="38"/>
    </row>
    <row r="894" spans="12:23" s="12" customFormat="1" x14ac:dyDescent="0.35">
      <c r="L894" s="11"/>
      <c r="M894" s="11"/>
      <c r="N894" s="11"/>
      <c r="O894" s="11"/>
      <c r="P894" s="11"/>
      <c r="Q894" s="11"/>
      <c r="R894" s="36"/>
      <c r="S894" s="36"/>
      <c r="T894" s="38"/>
      <c r="U894" s="38"/>
      <c r="V894" s="38"/>
      <c r="W894" s="38"/>
    </row>
    <row r="895" spans="12:23" s="12" customFormat="1" x14ac:dyDescent="0.35">
      <c r="L895" s="11"/>
      <c r="M895" s="11"/>
      <c r="N895" s="11"/>
      <c r="O895" s="11"/>
      <c r="P895" s="11"/>
      <c r="Q895" s="11"/>
      <c r="R895" s="36"/>
      <c r="S895" s="36"/>
      <c r="T895" s="38"/>
      <c r="U895" s="38"/>
      <c r="V895" s="38"/>
      <c r="W895" s="38"/>
    </row>
    <row r="896" spans="12:23" s="12" customFormat="1" x14ac:dyDescent="0.35">
      <c r="L896" s="11"/>
      <c r="M896" s="11"/>
      <c r="N896" s="11"/>
      <c r="O896" s="11"/>
      <c r="P896" s="11"/>
      <c r="Q896" s="11"/>
      <c r="R896" s="36"/>
      <c r="S896" s="36"/>
      <c r="T896" s="38"/>
      <c r="U896" s="38"/>
      <c r="V896" s="38"/>
      <c r="W896" s="38"/>
    </row>
    <row r="897" spans="12:23" s="12" customFormat="1" x14ac:dyDescent="0.35">
      <c r="L897" s="11"/>
      <c r="M897" s="11"/>
      <c r="N897" s="11"/>
      <c r="O897" s="11"/>
      <c r="P897" s="11"/>
      <c r="Q897" s="11"/>
      <c r="R897" s="36"/>
      <c r="S897" s="36"/>
      <c r="T897" s="38"/>
      <c r="U897" s="38"/>
      <c r="V897" s="38"/>
      <c r="W897" s="38"/>
    </row>
    <row r="898" spans="12:23" s="12" customFormat="1" x14ac:dyDescent="0.35">
      <c r="L898" s="11"/>
      <c r="M898" s="11"/>
      <c r="N898" s="11"/>
      <c r="O898" s="11"/>
      <c r="P898" s="11"/>
      <c r="Q898" s="11"/>
      <c r="R898" s="36"/>
      <c r="S898" s="36"/>
      <c r="T898" s="38"/>
      <c r="U898" s="38"/>
      <c r="V898" s="38"/>
      <c r="W898" s="38"/>
    </row>
    <row r="899" spans="12:23" s="12" customFormat="1" x14ac:dyDescent="0.35">
      <c r="L899" s="11"/>
      <c r="M899" s="11"/>
      <c r="N899" s="11"/>
      <c r="O899" s="11"/>
      <c r="P899" s="11"/>
      <c r="Q899" s="11"/>
      <c r="R899" s="36"/>
      <c r="S899" s="36"/>
      <c r="T899" s="38"/>
      <c r="U899" s="38"/>
      <c r="V899" s="38"/>
      <c r="W899" s="38"/>
    </row>
    <row r="900" spans="12:23" s="12" customFormat="1" x14ac:dyDescent="0.35">
      <c r="L900" s="11"/>
      <c r="M900" s="11"/>
      <c r="N900" s="11"/>
      <c r="O900" s="11"/>
      <c r="P900" s="11"/>
      <c r="Q900" s="11"/>
      <c r="R900" s="36"/>
      <c r="S900" s="36"/>
      <c r="T900" s="38"/>
      <c r="U900" s="38"/>
      <c r="V900" s="38"/>
      <c r="W900" s="38"/>
    </row>
    <row r="901" spans="12:23" s="12" customFormat="1" x14ac:dyDescent="0.35">
      <c r="L901" s="11"/>
      <c r="M901" s="11"/>
      <c r="N901" s="11"/>
      <c r="O901" s="11"/>
      <c r="P901" s="11"/>
      <c r="Q901" s="11"/>
      <c r="R901" s="36"/>
      <c r="S901" s="36"/>
      <c r="T901" s="38"/>
      <c r="U901" s="38"/>
      <c r="V901" s="38"/>
      <c r="W901" s="38"/>
    </row>
    <row r="902" spans="12:23" s="12" customFormat="1" x14ac:dyDescent="0.35">
      <c r="L902" s="11"/>
      <c r="M902" s="11"/>
      <c r="N902" s="11"/>
      <c r="O902" s="11"/>
      <c r="P902" s="11"/>
      <c r="Q902" s="11"/>
      <c r="R902" s="36"/>
      <c r="S902" s="36"/>
      <c r="T902" s="38"/>
      <c r="U902" s="38"/>
      <c r="V902" s="38"/>
      <c r="W902" s="38"/>
    </row>
    <row r="903" spans="12:23" s="12" customFormat="1" x14ac:dyDescent="0.35">
      <c r="L903" s="11"/>
      <c r="M903" s="11"/>
      <c r="N903" s="11"/>
      <c r="O903" s="11"/>
      <c r="P903" s="11"/>
      <c r="Q903" s="11"/>
      <c r="R903" s="36"/>
      <c r="S903" s="36"/>
      <c r="T903" s="38"/>
      <c r="U903" s="38"/>
      <c r="V903" s="38"/>
      <c r="W903" s="38"/>
    </row>
    <row r="904" spans="12:23" s="12" customFormat="1" x14ac:dyDescent="0.35">
      <c r="L904" s="11"/>
      <c r="M904" s="11"/>
      <c r="N904" s="11"/>
      <c r="O904" s="11"/>
      <c r="P904" s="11"/>
      <c r="Q904" s="11"/>
      <c r="R904" s="36"/>
      <c r="S904" s="36"/>
      <c r="T904" s="38"/>
      <c r="U904" s="38"/>
      <c r="V904" s="38"/>
      <c r="W904" s="38"/>
    </row>
    <row r="905" spans="12:23" s="12" customFormat="1" x14ac:dyDescent="0.35">
      <c r="L905" s="11"/>
      <c r="M905" s="11"/>
      <c r="N905" s="11"/>
      <c r="O905" s="11"/>
      <c r="P905" s="11"/>
      <c r="Q905" s="11"/>
      <c r="R905" s="36"/>
      <c r="S905" s="36"/>
      <c r="T905" s="38"/>
      <c r="U905" s="38"/>
      <c r="V905" s="38"/>
      <c r="W905" s="38"/>
    </row>
    <row r="906" spans="12:23" s="12" customFormat="1" x14ac:dyDescent="0.35">
      <c r="L906" s="11"/>
      <c r="M906" s="11"/>
      <c r="N906" s="11"/>
      <c r="O906" s="11"/>
      <c r="P906" s="11"/>
      <c r="Q906" s="11"/>
      <c r="R906" s="36"/>
      <c r="S906" s="36"/>
      <c r="T906" s="38"/>
      <c r="U906" s="38"/>
      <c r="V906" s="38"/>
      <c r="W906" s="38"/>
    </row>
    <row r="907" spans="12:23" s="12" customFormat="1" x14ac:dyDescent="0.35">
      <c r="L907" s="11"/>
      <c r="M907" s="11"/>
      <c r="N907" s="11"/>
      <c r="O907" s="11"/>
      <c r="P907" s="11"/>
      <c r="Q907" s="11"/>
      <c r="R907" s="36"/>
      <c r="S907" s="36"/>
      <c r="T907" s="38"/>
      <c r="U907" s="38"/>
      <c r="V907" s="38"/>
      <c r="W907" s="38"/>
    </row>
    <row r="908" spans="12:23" s="12" customFormat="1" x14ac:dyDescent="0.35">
      <c r="L908" s="11"/>
      <c r="M908" s="11"/>
      <c r="N908" s="11"/>
      <c r="O908" s="11"/>
      <c r="P908" s="11"/>
      <c r="Q908" s="11"/>
      <c r="R908" s="36"/>
      <c r="S908" s="36"/>
      <c r="T908" s="38"/>
      <c r="U908" s="38"/>
      <c r="V908" s="38"/>
      <c r="W908" s="38"/>
    </row>
    <row r="909" spans="12:23" s="12" customFormat="1" x14ac:dyDescent="0.35">
      <c r="L909" s="11"/>
      <c r="M909" s="11"/>
      <c r="N909" s="11"/>
      <c r="O909" s="11"/>
      <c r="P909" s="11"/>
      <c r="Q909" s="11"/>
      <c r="R909" s="36"/>
      <c r="S909" s="36"/>
      <c r="T909" s="38"/>
      <c r="U909" s="38"/>
      <c r="V909" s="38"/>
      <c r="W909" s="38"/>
    </row>
    <row r="910" spans="12:23" s="12" customFormat="1" x14ac:dyDescent="0.35">
      <c r="L910" s="11"/>
      <c r="M910" s="11"/>
      <c r="N910" s="11"/>
      <c r="O910" s="11"/>
      <c r="P910" s="11"/>
      <c r="Q910" s="11"/>
      <c r="R910" s="36"/>
      <c r="S910" s="36"/>
      <c r="T910" s="38"/>
      <c r="U910" s="38"/>
      <c r="V910" s="38"/>
      <c r="W910" s="38"/>
    </row>
    <row r="911" spans="12:23" s="12" customFormat="1" x14ac:dyDescent="0.35">
      <c r="L911" s="11"/>
      <c r="M911" s="11"/>
      <c r="N911" s="11"/>
      <c r="O911" s="11"/>
      <c r="P911" s="11"/>
      <c r="Q911" s="11"/>
      <c r="R911" s="36"/>
      <c r="S911" s="36"/>
      <c r="T911" s="38"/>
      <c r="U911" s="38"/>
      <c r="V911" s="38"/>
      <c r="W911" s="38"/>
    </row>
    <row r="912" spans="12:23" s="12" customFormat="1" x14ac:dyDescent="0.35">
      <c r="L912" s="11"/>
      <c r="M912" s="11"/>
      <c r="N912" s="11"/>
      <c r="O912" s="11"/>
      <c r="P912" s="11"/>
      <c r="Q912" s="11"/>
      <c r="R912" s="36"/>
      <c r="S912" s="36"/>
      <c r="T912" s="38"/>
      <c r="U912" s="38"/>
      <c r="V912" s="38"/>
      <c r="W912" s="38"/>
    </row>
    <row r="913" spans="12:23" s="12" customFormat="1" x14ac:dyDescent="0.35">
      <c r="L913" s="11"/>
      <c r="M913" s="11"/>
      <c r="N913" s="11"/>
      <c r="O913" s="11"/>
      <c r="P913" s="11"/>
      <c r="Q913" s="11"/>
      <c r="R913" s="36"/>
      <c r="S913" s="36"/>
      <c r="T913" s="38"/>
      <c r="U913" s="38"/>
      <c r="V913" s="38"/>
      <c r="W913" s="38"/>
    </row>
    <row r="914" spans="12:23" s="12" customFormat="1" x14ac:dyDescent="0.35">
      <c r="L914" s="11"/>
      <c r="M914" s="11"/>
      <c r="N914" s="11"/>
      <c r="O914" s="11"/>
      <c r="P914" s="11"/>
      <c r="Q914" s="11"/>
      <c r="R914" s="36"/>
      <c r="S914" s="36"/>
      <c r="T914" s="38"/>
      <c r="U914" s="38"/>
      <c r="V914" s="38"/>
      <c r="W914" s="38"/>
    </row>
    <row r="915" spans="12:23" s="12" customFormat="1" x14ac:dyDescent="0.35">
      <c r="L915" s="11"/>
      <c r="M915" s="11"/>
      <c r="N915" s="11"/>
      <c r="O915" s="11"/>
      <c r="P915" s="11"/>
      <c r="Q915" s="11"/>
      <c r="R915" s="36"/>
      <c r="S915" s="36"/>
      <c r="T915" s="38"/>
      <c r="U915" s="38"/>
      <c r="V915" s="38"/>
      <c r="W915" s="38"/>
    </row>
    <row r="916" spans="12:23" s="12" customFormat="1" x14ac:dyDescent="0.35">
      <c r="L916" s="11"/>
      <c r="M916" s="11"/>
      <c r="N916" s="11"/>
      <c r="O916" s="11"/>
      <c r="P916" s="11"/>
      <c r="Q916" s="11"/>
      <c r="R916" s="36"/>
      <c r="S916" s="36"/>
      <c r="T916" s="38"/>
      <c r="U916" s="38"/>
      <c r="V916" s="38"/>
      <c r="W916" s="38"/>
    </row>
    <row r="917" spans="12:23" s="12" customFormat="1" x14ac:dyDescent="0.35">
      <c r="L917" s="11"/>
      <c r="M917" s="11"/>
      <c r="N917" s="11"/>
      <c r="O917" s="11"/>
      <c r="P917" s="11"/>
      <c r="Q917" s="11"/>
      <c r="R917" s="36"/>
      <c r="S917" s="36"/>
      <c r="T917" s="38"/>
      <c r="U917" s="38"/>
      <c r="V917" s="38"/>
      <c r="W917" s="38"/>
    </row>
    <row r="918" spans="12:23" s="12" customFormat="1" x14ac:dyDescent="0.35">
      <c r="L918" s="11"/>
      <c r="M918" s="11"/>
      <c r="N918" s="11"/>
      <c r="O918" s="11"/>
      <c r="P918" s="11"/>
      <c r="Q918" s="11"/>
      <c r="R918" s="36"/>
      <c r="S918" s="36"/>
      <c r="T918" s="38"/>
      <c r="U918" s="38"/>
      <c r="V918" s="38"/>
      <c r="W918" s="38"/>
    </row>
    <row r="919" spans="12:23" s="12" customFormat="1" x14ac:dyDescent="0.35">
      <c r="L919" s="11"/>
      <c r="M919" s="11"/>
      <c r="N919" s="11"/>
      <c r="O919" s="11"/>
      <c r="P919" s="11"/>
      <c r="Q919" s="11"/>
      <c r="R919" s="36"/>
      <c r="S919" s="36"/>
      <c r="T919" s="38"/>
      <c r="U919" s="38"/>
      <c r="V919" s="38"/>
      <c r="W919" s="38"/>
    </row>
    <row r="920" spans="12:23" s="12" customFormat="1" x14ac:dyDescent="0.35">
      <c r="L920" s="11"/>
      <c r="M920" s="11"/>
      <c r="N920" s="11"/>
      <c r="O920" s="11"/>
      <c r="P920" s="11"/>
      <c r="Q920" s="11"/>
      <c r="R920" s="36"/>
      <c r="S920" s="36"/>
      <c r="T920" s="38"/>
      <c r="U920" s="38"/>
      <c r="V920" s="38"/>
      <c r="W920" s="38"/>
    </row>
    <row r="921" spans="12:23" s="12" customFormat="1" x14ac:dyDescent="0.35">
      <c r="L921" s="11"/>
      <c r="M921" s="11"/>
      <c r="N921" s="11"/>
      <c r="O921" s="11"/>
      <c r="P921" s="11"/>
      <c r="Q921" s="11"/>
      <c r="R921" s="36"/>
      <c r="S921" s="36"/>
      <c r="T921" s="38"/>
      <c r="U921" s="38"/>
      <c r="V921" s="38"/>
      <c r="W921" s="38"/>
    </row>
    <row r="922" spans="12:23" s="12" customFormat="1" x14ac:dyDescent="0.35">
      <c r="L922" s="11"/>
      <c r="M922" s="11"/>
      <c r="N922" s="11"/>
      <c r="O922" s="11"/>
      <c r="P922" s="11"/>
      <c r="Q922" s="11"/>
      <c r="R922" s="36"/>
      <c r="S922" s="36"/>
      <c r="T922" s="38"/>
      <c r="U922" s="38"/>
      <c r="V922" s="38"/>
      <c r="W922" s="38"/>
    </row>
    <row r="923" spans="12:23" s="12" customFormat="1" x14ac:dyDescent="0.35">
      <c r="L923" s="11"/>
      <c r="M923" s="11"/>
      <c r="N923" s="11"/>
      <c r="O923" s="11"/>
      <c r="P923" s="11"/>
      <c r="Q923" s="11"/>
      <c r="R923" s="36"/>
      <c r="S923" s="36"/>
      <c r="T923" s="38"/>
      <c r="U923" s="38"/>
      <c r="V923" s="38"/>
      <c r="W923" s="38"/>
    </row>
    <row r="924" spans="12:23" s="12" customFormat="1" x14ac:dyDescent="0.35">
      <c r="L924" s="11"/>
      <c r="M924" s="11"/>
      <c r="N924" s="11"/>
      <c r="O924" s="11"/>
      <c r="P924" s="11"/>
      <c r="Q924" s="11"/>
      <c r="R924" s="36"/>
      <c r="S924" s="36"/>
      <c r="T924" s="38"/>
      <c r="U924" s="38"/>
      <c r="V924" s="38"/>
      <c r="W924" s="38"/>
    </row>
    <row r="925" spans="12:23" s="12" customFormat="1" x14ac:dyDescent="0.35">
      <c r="L925" s="11"/>
      <c r="M925" s="11"/>
      <c r="N925" s="11"/>
      <c r="O925" s="11"/>
      <c r="P925" s="11"/>
      <c r="Q925" s="11"/>
      <c r="R925" s="36"/>
      <c r="S925" s="36"/>
      <c r="T925" s="38"/>
      <c r="U925" s="38"/>
      <c r="V925" s="38"/>
      <c r="W925" s="38"/>
    </row>
    <row r="926" spans="12:23" s="12" customFormat="1" x14ac:dyDescent="0.35">
      <c r="L926" s="11"/>
      <c r="M926" s="11"/>
      <c r="N926" s="11"/>
      <c r="O926" s="11"/>
      <c r="P926" s="11"/>
      <c r="Q926" s="11"/>
      <c r="R926" s="36"/>
      <c r="S926" s="36"/>
      <c r="T926" s="38"/>
      <c r="U926" s="38"/>
      <c r="V926" s="38"/>
      <c r="W926" s="38"/>
    </row>
    <row r="927" spans="12:23" s="12" customFormat="1" x14ac:dyDescent="0.35">
      <c r="L927" s="11"/>
      <c r="M927" s="11"/>
      <c r="N927" s="11"/>
      <c r="O927" s="11"/>
      <c r="P927" s="11"/>
      <c r="Q927" s="11"/>
      <c r="R927" s="36"/>
      <c r="S927" s="36"/>
      <c r="T927" s="38"/>
      <c r="U927" s="38"/>
      <c r="V927" s="38"/>
      <c r="W927" s="38"/>
    </row>
    <row r="928" spans="12:23" s="12" customFormat="1" x14ac:dyDescent="0.35">
      <c r="L928" s="11"/>
      <c r="M928" s="11"/>
      <c r="N928" s="11"/>
      <c r="O928" s="11"/>
      <c r="P928" s="11"/>
      <c r="Q928" s="11"/>
      <c r="R928" s="36"/>
      <c r="S928" s="36"/>
      <c r="T928" s="38"/>
      <c r="U928" s="38"/>
      <c r="V928" s="38"/>
      <c r="W928" s="38"/>
    </row>
    <row r="929" spans="12:23" s="12" customFormat="1" x14ac:dyDescent="0.35">
      <c r="L929" s="11"/>
      <c r="M929" s="11"/>
      <c r="N929" s="11"/>
      <c r="O929" s="11"/>
      <c r="P929" s="11"/>
      <c r="Q929" s="11"/>
      <c r="R929" s="36"/>
      <c r="S929" s="36"/>
      <c r="T929" s="38"/>
      <c r="U929" s="38"/>
      <c r="V929" s="38"/>
      <c r="W929" s="38"/>
    </row>
    <row r="930" spans="12:23" s="12" customFormat="1" x14ac:dyDescent="0.35">
      <c r="L930" s="11"/>
      <c r="M930" s="11"/>
      <c r="N930" s="11"/>
      <c r="O930" s="11"/>
      <c r="P930" s="11"/>
      <c r="Q930" s="11"/>
      <c r="R930" s="36"/>
      <c r="S930" s="36"/>
      <c r="T930" s="38"/>
      <c r="U930" s="38"/>
      <c r="V930" s="38"/>
      <c r="W930" s="38"/>
    </row>
    <row r="931" spans="12:23" s="12" customFormat="1" x14ac:dyDescent="0.35">
      <c r="L931" s="11"/>
      <c r="M931" s="11"/>
      <c r="N931" s="11"/>
      <c r="O931" s="11"/>
      <c r="P931" s="11"/>
      <c r="Q931" s="11"/>
      <c r="R931" s="36"/>
      <c r="S931" s="36"/>
      <c r="T931" s="38"/>
      <c r="U931" s="38"/>
      <c r="V931" s="38"/>
      <c r="W931" s="38"/>
    </row>
    <row r="932" spans="12:23" s="12" customFormat="1" x14ac:dyDescent="0.35">
      <c r="L932" s="11"/>
      <c r="M932" s="11"/>
      <c r="N932" s="11"/>
      <c r="O932" s="11"/>
      <c r="P932" s="11"/>
      <c r="Q932" s="11"/>
      <c r="R932" s="36"/>
      <c r="S932" s="36"/>
      <c r="T932" s="38"/>
      <c r="U932" s="38"/>
      <c r="V932" s="38"/>
      <c r="W932" s="38"/>
    </row>
    <row r="933" spans="12:23" s="12" customFormat="1" x14ac:dyDescent="0.35">
      <c r="L933" s="11"/>
      <c r="M933" s="11"/>
      <c r="N933" s="11"/>
      <c r="O933" s="11"/>
      <c r="P933" s="11"/>
      <c r="Q933" s="11"/>
      <c r="R933" s="36"/>
      <c r="S933" s="36"/>
      <c r="T933" s="38"/>
      <c r="U933" s="38"/>
      <c r="V933" s="38"/>
      <c r="W933" s="38"/>
    </row>
    <row r="934" spans="12:23" s="12" customFormat="1" x14ac:dyDescent="0.35">
      <c r="L934" s="11"/>
      <c r="M934" s="11"/>
      <c r="N934" s="11"/>
      <c r="O934" s="11"/>
      <c r="P934" s="11"/>
      <c r="Q934" s="11"/>
      <c r="R934" s="36"/>
      <c r="S934" s="36"/>
      <c r="T934" s="38"/>
      <c r="U934" s="38"/>
      <c r="V934" s="38"/>
      <c r="W934" s="38"/>
    </row>
    <row r="935" spans="12:23" s="12" customFormat="1" x14ac:dyDescent="0.35">
      <c r="L935" s="11"/>
      <c r="M935" s="11"/>
      <c r="N935" s="11"/>
      <c r="O935" s="11"/>
      <c r="P935" s="11"/>
      <c r="Q935" s="11"/>
      <c r="R935" s="36"/>
      <c r="S935" s="36"/>
      <c r="T935" s="38"/>
      <c r="U935" s="38"/>
      <c r="V935" s="38"/>
      <c r="W935" s="38"/>
    </row>
    <row r="936" spans="12:23" s="12" customFormat="1" x14ac:dyDescent="0.35">
      <c r="L936" s="11"/>
      <c r="M936" s="11"/>
      <c r="N936" s="11"/>
      <c r="O936" s="11"/>
      <c r="P936" s="11"/>
      <c r="Q936" s="11"/>
      <c r="R936" s="36"/>
      <c r="S936" s="36"/>
      <c r="T936" s="38"/>
      <c r="U936" s="38"/>
      <c r="V936" s="38"/>
      <c r="W936" s="38"/>
    </row>
    <row r="937" spans="12:23" s="12" customFormat="1" x14ac:dyDescent="0.35">
      <c r="L937" s="11"/>
      <c r="M937" s="11"/>
      <c r="N937" s="11"/>
      <c r="O937" s="11"/>
      <c r="P937" s="11"/>
      <c r="Q937" s="11"/>
      <c r="R937" s="36"/>
      <c r="S937" s="36"/>
      <c r="T937" s="38"/>
      <c r="U937" s="38"/>
      <c r="V937" s="38"/>
      <c r="W937" s="38"/>
    </row>
    <row r="938" spans="12:23" s="12" customFormat="1" x14ac:dyDescent="0.35">
      <c r="L938" s="11"/>
      <c r="M938" s="11"/>
      <c r="N938" s="11"/>
      <c r="O938" s="11"/>
      <c r="P938" s="11"/>
      <c r="Q938" s="11"/>
      <c r="R938" s="36"/>
      <c r="S938" s="36"/>
      <c r="T938" s="38"/>
      <c r="U938" s="38"/>
      <c r="V938" s="38"/>
      <c r="W938" s="38"/>
    </row>
    <row r="939" spans="12:23" s="12" customFormat="1" x14ac:dyDescent="0.35">
      <c r="L939" s="11"/>
      <c r="M939" s="11"/>
      <c r="N939" s="11"/>
      <c r="O939" s="11"/>
      <c r="P939" s="11"/>
      <c r="Q939" s="11"/>
      <c r="R939" s="36"/>
      <c r="S939" s="36"/>
      <c r="T939" s="38"/>
      <c r="U939" s="38"/>
      <c r="V939" s="38"/>
      <c r="W939" s="38"/>
    </row>
    <row r="940" spans="12:23" s="12" customFormat="1" x14ac:dyDescent="0.35">
      <c r="L940" s="11"/>
      <c r="M940" s="11"/>
      <c r="N940" s="11"/>
      <c r="O940" s="11"/>
      <c r="P940" s="11"/>
      <c r="Q940" s="11"/>
      <c r="R940" s="36"/>
      <c r="S940" s="36"/>
      <c r="T940" s="38"/>
      <c r="U940" s="38"/>
      <c r="V940" s="38"/>
      <c r="W940" s="38"/>
    </row>
    <row r="941" spans="12:23" s="12" customFormat="1" x14ac:dyDescent="0.35">
      <c r="L941" s="11"/>
      <c r="M941" s="11"/>
      <c r="N941" s="11"/>
      <c r="O941" s="11"/>
      <c r="P941" s="11"/>
      <c r="Q941" s="11"/>
      <c r="R941" s="36"/>
      <c r="S941" s="36"/>
      <c r="T941" s="38"/>
      <c r="U941" s="38"/>
      <c r="V941" s="38"/>
      <c r="W941" s="38"/>
    </row>
    <row r="942" spans="12:23" s="12" customFormat="1" x14ac:dyDescent="0.35">
      <c r="L942" s="11"/>
      <c r="M942" s="11"/>
      <c r="N942" s="11"/>
      <c r="O942" s="11"/>
      <c r="P942" s="11"/>
      <c r="Q942" s="11"/>
      <c r="R942" s="36"/>
      <c r="S942" s="36"/>
      <c r="T942" s="38"/>
      <c r="U942" s="38"/>
      <c r="V942" s="38"/>
      <c r="W942" s="38"/>
    </row>
    <row r="943" spans="12:23" s="12" customFormat="1" x14ac:dyDescent="0.35">
      <c r="L943" s="11"/>
      <c r="M943" s="11"/>
      <c r="N943" s="11"/>
      <c r="O943" s="11"/>
      <c r="P943" s="11"/>
      <c r="Q943" s="11"/>
      <c r="R943" s="36"/>
      <c r="S943" s="36"/>
      <c r="T943" s="38"/>
      <c r="U943" s="38"/>
      <c r="V943" s="38"/>
      <c r="W943" s="38"/>
    </row>
    <row r="944" spans="12:23" s="12" customFormat="1" x14ac:dyDescent="0.35">
      <c r="L944" s="11"/>
      <c r="M944" s="11"/>
      <c r="N944" s="11"/>
      <c r="O944" s="11"/>
      <c r="P944" s="11"/>
      <c r="Q944" s="11"/>
      <c r="R944" s="36"/>
      <c r="S944" s="36"/>
      <c r="T944" s="38"/>
      <c r="U944" s="38"/>
      <c r="V944" s="38"/>
      <c r="W944" s="38"/>
    </row>
    <row r="945" spans="12:23" s="12" customFormat="1" x14ac:dyDescent="0.35">
      <c r="L945" s="11"/>
      <c r="M945" s="11"/>
      <c r="N945" s="11"/>
      <c r="O945" s="11"/>
      <c r="P945" s="11"/>
      <c r="Q945" s="11"/>
      <c r="R945" s="36"/>
      <c r="S945" s="36"/>
      <c r="T945" s="38"/>
      <c r="U945" s="38"/>
      <c r="V945" s="38"/>
      <c r="W945" s="38"/>
    </row>
    <row r="946" spans="12:23" s="12" customFormat="1" x14ac:dyDescent="0.35">
      <c r="L946" s="11"/>
      <c r="M946" s="11"/>
      <c r="N946" s="11"/>
      <c r="O946" s="11"/>
      <c r="P946" s="11"/>
      <c r="Q946" s="11"/>
      <c r="R946" s="36"/>
      <c r="S946" s="36"/>
      <c r="T946" s="38"/>
      <c r="U946" s="38"/>
      <c r="V946" s="38"/>
      <c r="W946" s="38"/>
    </row>
    <row r="947" spans="12:23" s="12" customFormat="1" x14ac:dyDescent="0.35">
      <c r="L947" s="11"/>
      <c r="M947" s="11"/>
      <c r="N947" s="11"/>
      <c r="O947" s="11"/>
      <c r="P947" s="11"/>
      <c r="Q947" s="11"/>
      <c r="R947" s="36"/>
      <c r="S947" s="36"/>
      <c r="T947" s="38"/>
      <c r="U947" s="38"/>
      <c r="V947" s="38"/>
      <c r="W947" s="38"/>
    </row>
    <row r="948" spans="12:23" s="12" customFormat="1" x14ac:dyDescent="0.35">
      <c r="L948" s="11"/>
      <c r="M948" s="11"/>
      <c r="N948" s="11"/>
      <c r="O948" s="11"/>
      <c r="P948" s="11"/>
      <c r="Q948" s="11"/>
      <c r="R948" s="36"/>
      <c r="S948" s="36"/>
      <c r="T948" s="38"/>
      <c r="U948" s="38"/>
      <c r="V948" s="38"/>
      <c r="W948" s="38"/>
    </row>
    <row r="949" spans="12:23" s="12" customFormat="1" x14ac:dyDescent="0.35">
      <c r="L949" s="11"/>
      <c r="M949" s="11"/>
      <c r="N949" s="11"/>
      <c r="O949" s="11"/>
      <c r="P949" s="11"/>
      <c r="Q949" s="11"/>
      <c r="R949" s="36"/>
      <c r="S949" s="36"/>
      <c r="T949" s="38"/>
      <c r="U949" s="38"/>
      <c r="V949" s="38"/>
      <c r="W949" s="38"/>
    </row>
    <row r="950" spans="12:23" s="12" customFormat="1" x14ac:dyDescent="0.35">
      <c r="L950" s="11"/>
      <c r="M950" s="11"/>
      <c r="N950" s="11"/>
      <c r="O950" s="11"/>
      <c r="P950" s="11"/>
      <c r="Q950" s="11"/>
      <c r="R950" s="36"/>
      <c r="S950" s="36"/>
      <c r="T950" s="38"/>
      <c r="U950" s="38"/>
      <c r="V950" s="38"/>
      <c r="W950" s="38"/>
    </row>
    <row r="951" spans="12:23" s="12" customFormat="1" x14ac:dyDescent="0.35">
      <c r="L951" s="11"/>
      <c r="M951" s="11"/>
      <c r="N951" s="11"/>
      <c r="O951" s="11"/>
      <c r="P951" s="11"/>
      <c r="Q951" s="11"/>
      <c r="R951" s="36"/>
      <c r="S951" s="36"/>
      <c r="T951" s="38"/>
      <c r="U951" s="38"/>
      <c r="V951" s="38"/>
      <c r="W951" s="38"/>
    </row>
    <row r="952" spans="12:23" s="12" customFormat="1" x14ac:dyDescent="0.35">
      <c r="L952" s="11"/>
      <c r="M952" s="11"/>
      <c r="N952" s="11"/>
      <c r="O952" s="11"/>
      <c r="P952" s="11"/>
      <c r="Q952" s="11"/>
      <c r="R952" s="36"/>
      <c r="S952" s="36"/>
      <c r="T952" s="38"/>
      <c r="U952" s="38"/>
      <c r="V952" s="38"/>
      <c r="W952" s="38"/>
    </row>
    <row r="953" spans="12:23" s="12" customFormat="1" x14ac:dyDescent="0.35">
      <c r="L953" s="11"/>
      <c r="M953" s="11"/>
      <c r="N953" s="11"/>
      <c r="O953" s="11"/>
      <c r="P953" s="11"/>
      <c r="Q953" s="11"/>
      <c r="R953" s="36"/>
      <c r="S953" s="36"/>
      <c r="T953" s="38"/>
      <c r="U953" s="38"/>
      <c r="V953" s="38"/>
      <c r="W953" s="38"/>
    </row>
    <row r="954" spans="12:23" s="12" customFormat="1" x14ac:dyDescent="0.35">
      <c r="L954" s="11"/>
      <c r="M954" s="11"/>
      <c r="N954" s="11"/>
      <c r="O954" s="11"/>
      <c r="P954" s="11"/>
      <c r="Q954" s="11"/>
      <c r="R954" s="36"/>
      <c r="S954" s="36"/>
      <c r="T954" s="38"/>
      <c r="U954" s="38"/>
      <c r="V954" s="38"/>
      <c r="W954" s="38"/>
    </row>
    <row r="955" spans="12:23" s="12" customFormat="1" x14ac:dyDescent="0.35">
      <c r="L955" s="11"/>
      <c r="M955" s="11"/>
      <c r="N955" s="11"/>
      <c r="O955" s="11"/>
      <c r="P955" s="11"/>
      <c r="Q955" s="11"/>
      <c r="R955" s="36"/>
      <c r="S955" s="36"/>
      <c r="T955" s="38"/>
      <c r="U955" s="38"/>
      <c r="V955" s="38"/>
      <c r="W955" s="38"/>
    </row>
    <row r="956" spans="12:23" s="12" customFormat="1" x14ac:dyDescent="0.35">
      <c r="L956" s="11"/>
      <c r="M956" s="11"/>
      <c r="N956" s="11"/>
      <c r="O956" s="11"/>
      <c r="P956" s="11"/>
      <c r="Q956" s="11"/>
      <c r="R956" s="36"/>
      <c r="S956" s="36"/>
      <c r="T956" s="38"/>
      <c r="U956" s="38"/>
      <c r="V956" s="38"/>
      <c r="W956" s="38"/>
    </row>
    <row r="957" spans="12:23" s="12" customFormat="1" x14ac:dyDescent="0.35">
      <c r="L957" s="11"/>
      <c r="M957" s="11"/>
      <c r="N957" s="11"/>
      <c r="O957" s="11"/>
      <c r="P957" s="11"/>
      <c r="Q957" s="11"/>
      <c r="R957" s="36"/>
      <c r="S957" s="36"/>
      <c r="T957" s="38"/>
      <c r="U957" s="38"/>
      <c r="V957" s="38"/>
      <c r="W957" s="38"/>
    </row>
    <row r="958" spans="12:23" s="12" customFormat="1" x14ac:dyDescent="0.35">
      <c r="L958" s="11"/>
      <c r="M958" s="11"/>
      <c r="N958" s="11"/>
      <c r="O958" s="11"/>
      <c r="P958" s="11"/>
      <c r="Q958" s="11"/>
      <c r="R958" s="36"/>
      <c r="S958" s="36"/>
      <c r="T958" s="38"/>
      <c r="U958" s="38"/>
      <c r="V958" s="38"/>
      <c r="W958" s="38"/>
    </row>
    <row r="959" spans="12:23" s="12" customFormat="1" x14ac:dyDescent="0.35">
      <c r="L959" s="11"/>
      <c r="M959" s="11"/>
      <c r="N959" s="11"/>
      <c r="O959" s="11"/>
      <c r="P959" s="11"/>
      <c r="Q959" s="11"/>
      <c r="R959" s="36"/>
      <c r="S959" s="36"/>
      <c r="T959" s="38"/>
      <c r="U959" s="38"/>
      <c r="V959" s="38"/>
      <c r="W959" s="38"/>
    </row>
    <row r="960" spans="12:23" s="12" customFormat="1" x14ac:dyDescent="0.35">
      <c r="L960" s="11"/>
      <c r="M960" s="11"/>
      <c r="N960" s="11"/>
      <c r="O960" s="11"/>
      <c r="P960" s="11"/>
      <c r="Q960" s="11"/>
      <c r="R960" s="36"/>
      <c r="S960" s="36"/>
      <c r="T960" s="38"/>
      <c r="U960" s="38"/>
      <c r="V960" s="38"/>
      <c r="W960" s="38"/>
    </row>
    <row r="961" spans="12:23" s="12" customFormat="1" x14ac:dyDescent="0.35">
      <c r="L961" s="11"/>
      <c r="M961" s="11"/>
      <c r="N961" s="11"/>
      <c r="O961" s="11"/>
      <c r="P961" s="11"/>
      <c r="Q961" s="11"/>
      <c r="R961" s="36"/>
      <c r="S961" s="36"/>
      <c r="T961" s="38"/>
      <c r="U961" s="38"/>
      <c r="V961" s="38"/>
      <c r="W961" s="38"/>
    </row>
    <row r="962" spans="12:23" s="12" customFormat="1" x14ac:dyDescent="0.35">
      <c r="L962" s="11"/>
      <c r="M962" s="11"/>
      <c r="N962" s="11"/>
      <c r="O962" s="11"/>
      <c r="P962" s="11"/>
      <c r="Q962" s="11"/>
      <c r="R962" s="36"/>
      <c r="S962" s="36"/>
      <c r="T962" s="38"/>
      <c r="U962" s="38"/>
      <c r="V962" s="38"/>
      <c r="W962" s="38"/>
    </row>
    <row r="963" spans="12:23" s="12" customFormat="1" x14ac:dyDescent="0.35">
      <c r="L963" s="11"/>
      <c r="M963" s="11"/>
      <c r="N963" s="11"/>
      <c r="O963" s="11"/>
      <c r="P963" s="11"/>
      <c r="Q963" s="11"/>
      <c r="R963" s="36"/>
      <c r="S963" s="36"/>
      <c r="T963" s="38"/>
      <c r="U963" s="38"/>
      <c r="V963" s="38"/>
      <c r="W963" s="38"/>
    </row>
    <row r="964" spans="12:23" s="12" customFormat="1" x14ac:dyDescent="0.35">
      <c r="L964" s="11"/>
      <c r="M964" s="11"/>
      <c r="N964" s="11"/>
      <c r="O964" s="11"/>
      <c r="P964" s="11"/>
      <c r="Q964" s="11"/>
      <c r="R964" s="36"/>
      <c r="S964" s="36"/>
      <c r="T964" s="38"/>
      <c r="U964" s="38"/>
      <c r="V964" s="38"/>
      <c r="W964" s="38"/>
    </row>
    <row r="965" spans="12:23" s="12" customFormat="1" x14ac:dyDescent="0.35">
      <c r="L965" s="11"/>
      <c r="M965" s="11"/>
      <c r="N965" s="11"/>
      <c r="O965" s="11"/>
      <c r="P965" s="11"/>
      <c r="Q965" s="11"/>
      <c r="R965" s="36"/>
      <c r="S965" s="36"/>
      <c r="T965" s="38"/>
      <c r="U965" s="38"/>
      <c r="V965" s="38"/>
      <c r="W965" s="38"/>
    </row>
    <row r="966" spans="12:23" s="12" customFormat="1" x14ac:dyDescent="0.35">
      <c r="L966" s="11"/>
      <c r="M966" s="11"/>
      <c r="N966" s="11"/>
      <c r="O966" s="11"/>
      <c r="P966" s="11"/>
      <c r="Q966" s="11"/>
      <c r="R966" s="36"/>
      <c r="S966" s="36"/>
      <c r="T966" s="38"/>
      <c r="U966" s="38"/>
      <c r="V966" s="38"/>
      <c r="W966" s="38"/>
    </row>
    <row r="967" spans="12:23" s="12" customFormat="1" x14ac:dyDescent="0.35">
      <c r="L967" s="11"/>
      <c r="M967" s="11"/>
      <c r="N967" s="11"/>
      <c r="O967" s="11"/>
      <c r="P967" s="11"/>
      <c r="Q967" s="11"/>
      <c r="R967" s="36"/>
      <c r="S967" s="36"/>
      <c r="T967" s="38"/>
      <c r="U967" s="38"/>
      <c r="V967" s="38"/>
      <c r="W967" s="38"/>
    </row>
    <row r="968" spans="12:23" s="12" customFormat="1" x14ac:dyDescent="0.35">
      <c r="L968" s="11"/>
      <c r="M968" s="11"/>
      <c r="N968" s="11"/>
      <c r="O968" s="11"/>
      <c r="P968" s="11"/>
      <c r="Q968" s="11"/>
      <c r="R968" s="36"/>
      <c r="S968" s="36"/>
      <c r="T968" s="38"/>
      <c r="U968" s="38"/>
      <c r="V968" s="38"/>
      <c r="W968" s="38"/>
    </row>
    <row r="969" spans="12:23" s="12" customFormat="1" x14ac:dyDescent="0.35">
      <c r="L969" s="11"/>
      <c r="M969" s="11"/>
      <c r="N969" s="11"/>
      <c r="O969" s="11"/>
      <c r="P969" s="11"/>
      <c r="Q969" s="11"/>
      <c r="R969" s="36"/>
      <c r="S969" s="36"/>
      <c r="T969" s="38"/>
      <c r="U969" s="38"/>
      <c r="V969" s="38"/>
      <c r="W969" s="38"/>
    </row>
    <row r="970" spans="12:23" s="12" customFormat="1" x14ac:dyDescent="0.35">
      <c r="L970" s="11"/>
      <c r="M970" s="11"/>
      <c r="N970" s="11"/>
      <c r="O970" s="11"/>
      <c r="P970" s="11"/>
      <c r="Q970" s="11"/>
      <c r="R970" s="36"/>
      <c r="S970" s="36"/>
      <c r="T970" s="38"/>
      <c r="U970" s="38"/>
      <c r="V970" s="38"/>
      <c r="W970" s="38"/>
    </row>
    <row r="971" spans="12:23" s="12" customFormat="1" x14ac:dyDescent="0.35">
      <c r="L971" s="11"/>
      <c r="M971" s="11"/>
      <c r="N971" s="11"/>
      <c r="O971" s="11"/>
      <c r="P971" s="11"/>
      <c r="Q971" s="11"/>
      <c r="R971" s="36"/>
      <c r="S971" s="36"/>
      <c r="T971" s="38"/>
      <c r="U971" s="38"/>
      <c r="V971" s="38"/>
      <c r="W971" s="38"/>
    </row>
    <row r="972" spans="12:23" s="12" customFormat="1" x14ac:dyDescent="0.35">
      <c r="L972" s="11"/>
      <c r="M972" s="11"/>
      <c r="N972" s="11"/>
      <c r="O972" s="11"/>
      <c r="P972" s="11"/>
      <c r="Q972" s="11"/>
      <c r="R972" s="36"/>
      <c r="S972" s="36"/>
      <c r="T972" s="38"/>
      <c r="U972" s="38"/>
      <c r="V972" s="38"/>
      <c r="W972" s="38"/>
    </row>
    <row r="973" spans="12:23" s="12" customFormat="1" x14ac:dyDescent="0.35">
      <c r="L973" s="11"/>
      <c r="M973" s="11"/>
      <c r="N973" s="11"/>
      <c r="O973" s="11"/>
      <c r="P973" s="11"/>
      <c r="Q973" s="11"/>
      <c r="R973" s="36"/>
      <c r="S973" s="36"/>
      <c r="T973" s="38"/>
      <c r="U973" s="38"/>
      <c r="V973" s="38"/>
      <c r="W973" s="38"/>
    </row>
    <row r="974" spans="12:23" s="12" customFormat="1" x14ac:dyDescent="0.35">
      <c r="L974" s="11"/>
      <c r="M974" s="11"/>
      <c r="N974" s="11"/>
      <c r="O974" s="11"/>
      <c r="P974" s="11"/>
      <c r="Q974" s="11"/>
      <c r="R974" s="36"/>
      <c r="S974" s="36"/>
      <c r="T974" s="38"/>
      <c r="U974" s="38"/>
      <c r="V974" s="38"/>
      <c r="W974" s="38"/>
    </row>
    <row r="975" spans="12:23" s="12" customFormat="1" x14ac:dyDescent="0.35">
      <c r="L975" s="11"/>
      <c r="M975" s="11"/>
      <c r="N975" s="11"/>
      <c r="O975" s="11"/>
      <c r="P975" s="11"/>
      <c r="Q975" s="11"/>
      <c r="R975" s="36"/>
      <c r="S975" s="36"/>
      <c r="T975" s="38"/>
      <c r="U975" s="38"/>
      <c r="V975" s="38"/>
      <c r="W975" s="38"/>
    </row>
    <row r="976" spans="12:23" s="12" customFormat="1" x14ac:dyDescent="0.35">
      <c r="L976" s="11"/>
      <c r="M976" s="11"/>
      <c r="N976" s="11"/>
      <c r="O976" s="11"/>
      <c r="P976" s="11"/>
      <c r="Q976" s="11"/>
      <c r="R976" s="36"/>
      <c r="S976" s="36"/>
      <c r="T976" s="38"/>
      <c r="U976" s="38"/>
      <c r="V976" s="38"/>
      <c r="W976" s="38"/>
    </row>
    <row r="977" spans="12:23" s="12" customFormat="1" x14ac:dyDescent="0.35">
      <c r="L977" s="11"/>
      <c r="M977" s="11"/>
      <c r="N977" s="11"/>
      <c r="O977" s="11"/>
      <c r="P977" s="11"/>
      <c r="Q977" s="11"/>
      <c r="R977" s="36"/>
      <c r="S977" s="36"/>
      <c r="T977" s="38"/>
      <c r="U977" s="38"/>
      <c r="V977" s="38"/>
      <c r="W977" s="38"/>
    </row>
    <row r="978" spans="12:23" s="12" customFormat="1" x14ac:dyDescent="0.35">
      <c r="L978" s="11"/>
      <c r="M978" s="11"/>
      <c r="N978" s="11"/>
      <c r="O978" s="11"/>
      <c r="P978" s="11"/>
      <c r="Q978" s="11"/>
      <c r="R978" s="36"/>
      <c r="S978" s="36"/>
      <c r="T978" s="38"/>
      <c r="U978" s="38"/>
      <c r="V978" s="38"/>
      <c r="W978" s="38"/>
    </row>
    <row r="979" spans="12:23" s="12" customFormat="1" x14ac:dyDescent="0.35">
      <c r="L979" s="11"/>
      <c r="M979" s="11"/>
      <c r="N979" s="11"/>
      <c r="O979" s="11"/>
      <c r="P979" s="11"/>
      <c r="Q979" s="11"/>
      <c r="R979" s="36"/>
      <c r="S979" s="36"/>
      <c r="T979" s="38"/>
      <c r="U979" s="38"/>
      <c r="V979" s="38"/>
      <c r="W979" s="38"/>
    </row>
    <row r="980" spans="12:23" s="12" customFormat="1" x14ac:dyDescent="0.35">
      <c r="L980" s="11"/>
      <c r="M980" s="11"/>
      <c r="N980" s="11"/>
      <c r="O980" s="11"/>
      <c r="P980" s="11"/>
      <c r="Q980" s="11"/>
      <c r="R980" s="36"/>
      <c r="S980" s="36"/>
      <c r="T980" s="38"/>
      <c r="U980" s="38"/>
      <c r="V980" s="38"/>
      <c r="W980" s="38"/>
    </row>
    <row r="981" spans="12:23" s="12" customFormat="1" x14ac:dyDescent="0.35">
      <c r="L981" s="11"/>
      <c r="M981" s="11"/>
      <c r="N981" s="11"/>
      <c r="O981" s="11"/>
      <c r="P981" s="11"/>
      <c r="Q981" s="11"/>
      <c r="R981" s="36"/>
      <c r="S981" s="36"/>
      <c r="T981" s="38"/>
      <c r="U981" s="38"/>
      <c r="V981" s="38"/>
      <c r="W981" s="38"/>
    </row>
    <row r="982" spans="12:23" s="12" customFormat="1" x14ac:dyDescent="0.35">
      <c r="L982" s="11"/>
      <c r="M982" s="11"/>
      <c r="N982" s="11"/>
      <c r="O982" s="11"/>
      <c r="P982" s="11"/>
      <c r="Q982" s="11"/>
      <c r="R982" s="36"/>
      <c r="S982" s="36"/>
      <c r="T982" s="38"/>
      <c r="U982" s="38"/>
      <c r="V982" s="38"/>
      <c r="W982" s="38"/>
    </row>
    <row r="983" spans="12:23" s="12" customFormat="1" x14ac:dyDescent="0.35">
      <c r="L983" s="11"/>
      <c r="M983" s="11"/>
      <c r="N983" s="11"/>
      <c r="O983" s="11"/>
      <c r="P983" s="11"/>
      <c r="Q983" s="11"/>
      <c r="R983" s="36"/>
      <c r="S983" s="36"/>
      <c r="T983" s="38"/>
      <c r="U983" s="38"/>
      <c r="V983" s="38"/>
      <c r="W983" s="38"/>
    </row>
    <row r="984" spans="12:23" s="12" customFormat="1" x14ac:dyDescent="0.35">
      <c r="L984" s="11"/>
      <c r="M984" s="11"/>
      <c r="N984" s="11"/>
      <c r="O984" s="11"/>
      <c r="P984" s="11"/>
      <c r="Q984" s="11"/>
      <c r="R984" s="36"/>
      <c r="S984" s="36"/>
      <c r="T984" s="38"/>
      <c r="U984" s="38"/>
      <c r="V984" s="38"/>
      <c r="W984" s="38"/>
    </row>
    <row r="985" spans="12:23" s="12" customFormat="1" x14ac:dyDescent="0.35">
      <c r="L985" s="11"/>
      <c r="M985" s="11"/>
      <c r="N985" s="11"/>
      <c r="O985" s="11"/>
      <c r="P985" s="11"/>
      <c r="Q985" s="11"/>
      <c r="R985" s="36"/>
      <c r="S985" s="36"/>
      <c r="T985" s="38"/>
      <c r="U985" s="38"/>
      <c r="V985" s="38"/>
      <c r="W985" s="38"/>
    </row>
    <row r="986" spans="12:23" s="12" customFormat="1" x14ac:dyDescent="0.35">
      <c r="L986" s="11"/>
      <c r="M986" s="11"/>
      <c r="N986" s="11"/>
      <c r="O986" s="11"/>
      <c r="P986" s="11"/>
      <c r="Q986" s="11"/>
      <c r="R986" s="36"/>
      <c r="S986" s="36"/>
      <c r="T986" s="38"/>
      <c r="U986" s="38"/>
      <c r="V986" s="38"/>
      <c r="W986" s="38"/>
    </row>
    <row r="987" spans="12:23" s="12" customFormat="1" x14ac:dyDescent="0.35">
      <c r="L987" s="11"/>
      <c r="M987" s="11"/>
      <c r="N987" s="11"/>
      <c r="O987" s="11"/>
      <c r="P987" s="11"/>
      <c r="Q987" s="11"/>
      <c r="R987" s="36"/>
      <c r="S987" s="36"/>
      <c r="T987" s="38"/>
      <c r="U987" s="38"/>
      <c r="V987" s="38"/>
      <c r="W987" s="38"/>
    </row>
    <row r="988" spans="12:23" s="12" customFormat="1" x14ac:dyDescent="0.35">
      <c r="L988" s="11"/>
      <c r="M988" s="11"/>
      <c r="N988" s="11"/>
      <c r="O988" s="11"/>
      <c r="P988" s="11"/>
      <c r="Q988" s="11"/>
      <c r="R988" s="36"/>
      <c r="S988" s="36"/>
      <c r="T988" s="38"/>
      <c r="U988" s="38"/>
      <c r="V988" s="38"/>
      <c r="W988" s="38"/>
    </row>
    <row r="989" spans="12:23" s="12" customFormat="1" x14ac:dyDescent="0.35">
      <c r="L989" s="11"/>
      <c r="M989" s="11"/>
      <c r="N989" s="11"/>
      <c r="O989" s="11"/>
      <c r="P989" s="11"/>
      <c r="Q989" s="11"/>
      <c r="R989" s="36"/>
      <c r="S989" s="36"/>
      <c r="T989" s="38"/>
      <c r="U989" s="38"/>
      <c r="V989" s="38"/>
      <c r="W989" s="38"/>
    </row>
    <row r="990" spans="12:23" s="12" customFormat="1" x14ac:dyDescent="0.35">
      <c r="L990" s="11"/>
      <c r="M990" s="11"/>
      <c r="N990" s="11"/>
      <c r="O990" s="11"/>
      <c r="P990" s="11"/>
      <c r="Q990" s="11"/>
      <c r="R990" s="36"/>
      <c r="S990" s="36"/>
      <c r="T990" s="38"/>
      <c r="U990" s="38"/>
      <c r="V990" s="38"/>
      <c r="W990" s="38"/>
    </row>
    <row r="991" spans="12:23" s="12" customFormat="1" x14ac:dyDescent="0.35">
      <c r="L991" s="11"/>
      <c r="M991" s="11"/>
      <c r="N991" s="11"/>
      <c r="O991" s="11"/>
      <c r="P991" s="11"/>
      <c r="Q991" s="11"/>
      <c r="R991" s="36"/>
      <c r="S991" s="36"/>
      <c r="T991" s="38"/>
      <c r="U991" s="38"/>
      <c r="V991" s="38"/>
      <c r="W991" s="38"/>
    </row>
    <row r="992" spans="12:23" s="12" customFormat="1" x14ac:dyDescent="0.35">
      <c r="L992" s="11"/>
      <c r="M992" s="11"/>
      <c r="N992" s="11"/>
      <c r="O992" s="11"/>
      <c r="P992" s="11"/>
      <c r="Q992" s="11"/>
      <c r="R992" s="36"/>
      <c r="S992" s="36"/>
      <c r="T992" s="38"/>
      <c r="U992" s="38"/>
      <c r="V992" s="38"/>
      <c r="W992" s="38"/>
    </row>
    <row r="993" spans="12:23" s="12" customFormat="1" x14ac:dyDescent="0.35">
      <c r="L993" s="11"/>
      <c r="M993" s="11"/>
      <c r="N993" s="11"/>
      <c r="O993" s="11"/>
      <c r="P993" s="11"/>
      <c r="Q993" s="11"/>
      <c r="R993" s="36"/>
      <c r="S993" s="36"/>
      <c r="T993" s="38"/>
      <c r="U993" s="38"/>
      <c r="V993" s="38"/>
      <c r="W993" s="38"/>
    </row>
    <row r="994" spans="12:23" s="12" customFormat="1" x14ac:dyDescent="0.35">
      <c r="L994" s="11"/>
      <c r="M994" s="11"/>
      <c r="N994" s="11"/>
      <c r="O994" s="11"/>
      <c r="P994" s="11"/>
      <c r="Q994" s="11"/>
      <c r="R994" s="36"/>
      <c r="S994" s="36"/>
      <c r="T994" s="38"/>
      <c r="U994" s="38"/>
      <c r="V994" s="38"/>
      <c r="W994" s="38"/>
    </row>
    <row r="995" spans="12:23" s="12" customFormat="1" x14ac:dyDescent="0.35">
      <c r="L995" s="11"/>
      <c r="M995" s="11"/>
      <c r="N995" s="11"/>
      <c r="O995" s="11"/>
      <c r="P995" s="11"/>
      <c r="Q995" s="11"/>
      <c r="R995" s="36"/>
      <c r="S995" s="36"/>
      <c r="T995" s="38"/>
      <c r="U995" s="38"/>
      <c r="V995" s="38"/>
      <c r="W995" s="38"/>
    </row>
    <row r="996" spans="12:23" s="12" customFormat="1" x14ac:dyDescent="0.35">
      <c r="L996" s="11"/>
      <c r="M996" s="11"/>
      <c r="N996" s="11"/>
      <c r="O996" s="11"/>
      <c r="P996" s="11"/>
      <c r="Q996" s="11"/>
      <c r="R996" s="36"/>
      <c r="S996" s="36"/>
      <c r="T996" s="38"/>
      <c r="U996" s="38"/>
      <c r="V996" s="38"/>
      <c r="W996" s="38"/>
    </row>
    <row r="997" spans="12:23" s="12" customFormat="1" x14ac:dyDescent="0.35">
      <c r="L997" s="11"/>
      <c r="M997" s="11"/>
      <c r="N997" s="11"/>
      <c r="O997" s="11"/>
      <c r="P997" s="11"/>
      <c r="Q997" s="11"/>
      <c r="R997" s="36"/>
      <c r="S997" s="36"/>
      <c r="T997" s="38"/>
      <c r="U997" s="38"/>
      <c r="V997" s="38"/>
      <c r="W997" s="38"/>
    </row>
    <row r="998" spans="12:23" s="12" customFormat="1" x14ac:dyDescent="0.35">
      <c r="L998" s="11"/>
      <c r="M998" s="11"/>
      <c r="N998" s="11"/>
      <c r="O998" s="11"/>
      <c r="P998" s="11"/>
      <c r="Q998" s="11"/>
      <c r="R998" s="36"/>
      <c r="S998" s="36"/>
      <c r="T998" s="38"/>
      <c r="U998" s="38"/>
      <c r="V998" s="38"/>
      <c r="W998" s="38"/>
    </row>
    <row r="999" spans="12:23" s="12" customFormat="1" x14ac:dyDescent="0.35">
      <c r="L999" s="11"/>
      <c r="M999" s="11"/>
      <c r="N999" s="11"/>
      <c r="O999" s="11"/>
      <c r="P999" s="11"/>
      <c r="Q999" s="11"/>
      <c r="R999" s="36"/>
      <c r="S999" s="36"/>
      <c r="T999" s="38"/>
      <c r="U999" s="38"/>
      <c r="V999" s="38"/>
      <c r="W999" s="38"/>
    </row>
    <row r="1000" spans="12:23" s="12" customFormat="1" x14ac:dyDescent="0.35">
      <c r="L1000" s="11"/>
      <c r="M1000" s="11"/>
      <c r="N1000" s="11"/>
      <c r="O1000" s="11"/>
      <c r="P1000" s="11"/>
      <c r="Q1000" s="11"/>
      <c r="R1000" s="36"/>
      <c r="S1000" s="36"/>
      <c r="T1000" s="38"/>
      <c r="U1000" s="38"/>
      <c r="V1000" s="38"/>
      <c r="W1000" s="38"/>
    </row>
    <row r="1001" spans="12:23" s="12" customFormat="1" x14ac:dyDescent="0.35">
      <c r="L1001" s="11"/>
      <c r="M1001" s="11"/>
      <c r="N1001" s="11"/>
      <c r="O1001" s="11"/>
      <c r="P1001" s="11"/>
      <c r="Q1001" s="11"/>
      <c r="R1001" s="36"/>
      <c r="S1001" s="36"/>
      <c r="T1001" s="38"/>
      <c r="U1001" s="38"/>
      <c r="V1001" s="38"/>
      <c r="W1001" s="38"/>
    </row>
    <row r="1002" spans="12:23" s="12" customFormat="1" x14ac:dyDescent="0.35">
      <c r="L1002" s="11"/>
      <c r="M1002" s="11"/>
      <c r="N1002" s="11"/>
      <c r="O1002" s="11"/>
      <c r="P1002" s="11"/>
      <c r="Q1002" s="11"/>
      <c r="R1002" s="36"/>
      <c r="S1002" s="36"/>
      <c r="T1002" s="38"/>
      <c r="U1002" s="38"/>
      <c r="V1002" s="38"/>
      <c r="W1002" s="38"/>
    </row>
    <row r="1003" spans="12:23" s="12" customFormat="1" x14ac:dyDescent="0.35">
      <c r="L1003" s="11"/>
      <c r="M1003" s="11"/>
      <c r="N1003" s="11"/>
      <c r="O1003" s="11"/>
      <c r="P1003" s="11"/>
      <c r="Q1003" s="11"/>
      <c r="R1003" s="36"/>
      <c r="S1003" s="36"/>
      <c r="T1003" s="38"/>
      <c r="U1003" s="38"/>
      <c r="V1003" s="38"/>
      <c r="W1003" s="38"/>
    </row>
    <row r="1004" spans="12:23" s="12" customFormat="1" x14ac:dyDescent="0.35">
      <c r="L1004" s="11"/>
      <c r="M1004" s="11"/>
      <c r="N1004" s="11"/>
      <c r="O1004" s="11"/>
      <c r="P1004" s="11"/>
      <c r="Q1004" s="11"/>
      <c r="R1004" s="36"/>
      <c r="S1004" s="36"/>
      <c r="T1004" s="38"/>
      <c r="U1004" s="38"/>
      <c r="V1004" s="38"/>
      <c r="W1004" s="38"/>
    </row>
    <row r="1005" spans="12:23" s="12" customFormat="1" x14ac:dyDescent="0.35">
      <c r="L1005" s="11"/>
      <c r="M1005" s="11"/>
      <c r="N1005" s="11"/>
      <c r="O1005" s="11"/>
      <c r="P1005" s="11"/>
      <c r="Q1005" s="11"/>
      <c r="R1005" s="36"/>
      <c r="S1005" s="36"/>
      <c r="T1005" s="38"/>
      <c r="U1005" s="38"/>
      <c r="V1005" s="38"/>
      <c r="W1005" s="38"/>
    </row>
    <row r="1006" spans="12:23" s="12" customFormat="1" x14ac:dyDescent="0.35">
      <c r="L1006" s="11"/>
      <c r="M1006" s="11"/>
      <c r="N1006" s="11"/>
      <c r="O1006" s="11"/>
      <c r="P1006" s="11"/>
      <c r="Q1006" s="11"/>
      <c r="R1006" s="36"/>
      <c r="S1006" s="36"/>
      <c r="T1006" s="38"/>
      <c r="U1006" s="38"/>
      <c r="V1006" s="38"/>
      <c r="W1006" s="38"/>
    </row>
    <row r="1007" spans="12:23" s="12" customFormat="1" x14ac:dyDescent="0.35">
      <c r="L1007" s="11"/>
      <c r="M1007" s="11"/>
      <c r="N1007" s="11"/>
      <c r="O1007" s="11"/>
      <c r="P1007" s="11"/>
      <c r="Q1007" s="11"/>
      <c r="R1007" s="36"/>
      <c r="S1007" s="36"/>
      <c r="T1007" s="38"/>
      <c r="U1007" s="38"/>
      <c r="V1007" s="38"/>
      <c r="W1007" s="38"/>
    </row>
    <row r="1008" spans="12:23" s="12" customFormat="1" x14ac:dyDescent="0.35">
      <c r="L1008" s="11"/>
      <c r="M1008" s="11"/>
      <c r="N1008" s="11"/>
      <c r="O1008" s="11"/>
      <c r="P1008" s="11"/>
      <c r="Q1008" s="11"/>
      <c r="R1008" s="36"/>
      <c r="S1008" s="36"/>
      <c r="T1008" s="38"/>
      <c r="U1008" s="38"/>
      <c r="V1008" s="38"/>
      <c r="W1008" s="38"/>
    </row>
    <row r="1009" spans="12:23" s="12" customFormat="1" x14ac:dyDescent="0.35">
      <c r="L1009" s="11"/>
      <c r="M1009" s="11"/>
      <c r="N1009" s="11"/>
      <c r="O1009" s="11"/>
      <c r="P1009" s="11"/>
      <c r="Q1009" s="11"/>
      <c r="R1009" s="36"/>
      <c r="S1009" s="36"/>
      <c r="T1009" s="38"/>
      <c r="U1009" s="38"/>
      <c r="V1009" s="38"/>
      <c r="W1009" s="38"/>
    </row>
    <row r="1010" spans="12:23" s="12" customFormat="1" x14ac:dyDescent="0.35">
      <c r="L1010" s="11"/>
      <c r="M1010" s="11"/>
      <c r="N1010" s="11"/>
      <c r="O1010" s="11"/>
      <c r="P1010" s="11"/>
      <c r="Q1010" s="11"/>
      <c r="R1010" s="36"/>
      <c r="S1010" s="36"/>
      <c r="T1010" s="38"/>
      <c r="U1010" s="38"/>
      <c r="V1010" s="38"/>
      <c r="W1010" s="38"/>
    </row>
    <row r="1011" spans="12:23" s="12" customFormat="1" x14ac:dyDescent="0.35">
      <c r="L1011" s="11"/>
      <c r="M1011" s="11"/>
      <c r="N1011" s="11"/>
      <c r="O1011" s="11"/>
      <c r="P1011" s="11"/>
      <c r="Q1011" s="11"/>
      <c r="R1011" s="36"/>
      <c r="S1011" s="36"/>
      <c r="T1011" s="38"/>
      <c r="U1011" s="38"/>
      <c r="V1011" s="38"/>
      <c r="W1011" s="38"/>
    </row>
    <row r="1012" spans="12:23" s="12" customFormat="1" x14ac:dyDescent="0.35">
      <c r="L1012" s="11"/>
      <c r="M1012" s="11"/>
      <c r="N1012" s="11"/>
      <c r="O1012" s="11"/>
      <c r="P1012" s="11"/>
      <c r="Q1012" s="11"/>
      <c r="R1012" s="36"/>
      <c r="S1012" s="36"/>
      <c r="T1012" s="38"/>
      <c r="U1012" s="38"/>
      <c r="V1012" s="38"/>
      <c r="W1012" s="38"/>
    </row>
    <row r="1013" spans="12:23" s="12" customFormat="1" x14ac:dyDescent="0.35">
      <c r="L1013" s="11"/>
      <c r="M1013" s="11"/>
      <c r="N1013" s="11"/>
      <c r="O1013" s="11"/>
      <c r="P1013" s="11"/>
      <c r="Q1013" s="11"/>
      <c r="R1013" s="36"/>
      <c r="S1013" s="36"/>
      <c r="T1013" s="38"/>
      <c r="U1013" s="38"/>
      <c r="V1013" s="38"/>
      <c r="W1013" s="38"/>
    </row>
    <row r="1014" spans="12:23" s="12" customFormat="1" x14ac:dyDescent="0.35">
      <c r="L1014" s="11"/>
      <c r="M1014" s="11"/>
      <c r="N1014" s="11"/>
      <c r="O1014" s="11"/>
      <c r="P1014" s="11"/>
      <c r="Q1014" s="11"/>
      <c r="R1014" s="36"/>
      <c r="S1014" s="36"/>
      <c r="T1014" s="38"/>
      <c r="U1014" s="38"/>
      <c r="V1014" s="38"/>
      <c r="W1014" s="38"/>
    </row>
    <row r="1015" spans="12:23" s="12" customFormat="1" x14ac:dyDescent="0.35">
      <c r="L1015" s="11"/>
      <c r="M1015" s="11"/>
      <c r="N1015" s="11"/>
      <c r="O1015" s="11"/>
      <c r="P1015" s="11"/>
      <c r="Q1015" s="11"/>
      <c r="R1015" s="36"/>
      <c r="S1015" s="36"/>
      <c r="T1015" s="38"/>
      <c r="U1015" s="38"/>
      <c r="V1015" s="38"/>
      <c r="W1015" s="38"/>
    </row>
    <row r="1016" spans="12:23" s="12" customFormat="1" x14ac:dyDescent="0.35">
      <c r="L1016" s="11"/>
      <c r="M1016" s="11"/>
      <c r="N1016" s="11"/>
      <c r="O1016" s="11"/>
      <c r="P1016" s="11"/>
      <c r="Q1016" s="11"/>
      <c r="R1016" s="36"/>
      <c r="S1016" s="36"/>
      <c r="T1016" s="38"/>
      <c r="U1016" s="38"/>
      <c r="V1016" s="38"/>
      <c r="W1016" s="38"/>
    </row>
    <row r="1017" spans="12:23" s="12" customFormat="1" x14ac:dyDescent="0.35">
      <c r="L1017" s="11"/>
      <c r="M1017" s="11"/>
      <c r="N1017" s="11"/>
      <c r="O1017" s="11"/>
      <c r="P1017" s="11"/>
      <c r="Q1017" s="11"/>
      <c r="R1017" s="36"/>
      <c r="S1017" s="36"/>
      <c r="T1017" s="38"/>
      <c r="U1017" s="38"/>
      <c r="V1017" s="38"/>
      <c r="W1017" s="38"/>
    </row>
    <row r="1018" spans="12:23" s="12" customFormat="1" x14ac:dyDescent="0.35">
      <c r="L1018" s="11"/>
      <c r="M1018" s="11"/>
      <c r="N1018" s="11"/>
      <c r="O1018" s="11"/>
      <c r="P1018" s="11"/>
      <c r="Q1018" s="11"/>
      <c r="R1018" s="36"/>
      <c r="S1018" s="36"/>
      <c r="T1018" s="38"/>
      <c r="U1018" s="38"/>
      <c r="V1018" s="38"/>
      <c r="W1018" s="38"/>
    </row>
    <row r="1019" spans="12:23" s="12" customFormat="1" x14ac:dyDescent="0.35">
      <c r="L1019" s="11"/>
      <c r="M1019" s="11"/>
      <c r="N1019" s="11"/>
      <c r="O1019" s="11"/>
      <c r="P1019" s="11"/>
      <c r="Q1019" s="11"/>
      <c r="R1019" s="36"/>
      <c r="S1019" s="36"/>
      <c r="T1019" s="38"/>
      <c r="U1019" s="38"/>
      <c r="V1019" s="38"/>
      <c r="W1019" s="38"/>
    </row>
    <row r="1020" spans="12:23" s="12" customFormat="1" x14ac:dyDescent="0.35">
      <c r="L1020" s="11"/>
      <c r="M1020" s="11"/>
      <c r="N1020" s="11"/>
      <c r="O1020" s="11"/>
      <c r="P1020" s="11"/>
      <c r="Q1020" s="11"/>
      <c r="R1020" s="36"/>
      <c r="S1020" s="36"/>
      <c r="T1020" s="38"/>
      <c r="U1020" s="38"/>
      <c r="V1020" s="38"/>
      <c r="W1020" s="38"/>
    </row>
    <row r="1021" spans="12:23" s="12" customFormat="1" x14ac:dyDescent="0.35">
      <c r="L1021" s="11"/>
      <c r="M1021" s="11"/>
      <c r="N1021" s="11"/>
      <c r="O1021" s="11"/>
      <c r="P1021" s="11"/>
      <c r="Q1021" s="11"/>
      <c r="R1021" s="36"/>
      <c r="S1021" s="36"/>
      <c r="T1021" s="38"/>
      <c r="U1021" s="38"/>
      <c r="V1021" s="38"/>
      <c r="W1021" s="38"/>
    </row>
    <row r="1022" spans="12:23" s="12" customFormat="1" x14ac:dyDescent="0.35">
      <c r="L1022" s="11"/>
      <c r="M1022" s="11"/>
      <c r="N1022" s="11"/>
      <c r="O1022" s="11"/>
      <c r="P1022" s="11"/>
      <c r="Q1022" s="11"/>
      <c r="R1022" s="36"/>
      <c r="S1022" s="36"/>
      <c r="T1022" s="38"/>
      <c r="U1022" s="38"/>
      <c r="V1022" s="38"/>
      <c r="W1022" s="38"/>
    </row>
    <row r="1023" spans="12:23" s="12" customFormat="1" x14ac:dyDescent="0.35">
      <c r="L1023" s="11"/>
      <c r="M1023" s="11"/>
      <c r="N1023" s="11"/>
      <c r="O1023" s="11"/>
      <c r="P1023" s="11"/>
      <c r="Q1023" s="11"/>
      <c r="R1023" s="36"/>
      <c r="S1023" s="36"/>
      <c r="T1023" s="38"/>
      <c r="U1023" s="38"/>
      <c r="V1023" s="38"/>
      <c r="W1023" s="38"/>
    </row>
    <row r="1024" spans="12:23" s="12" customFormat="1" x14ac:dyDescent="0.35">
      <c r="L1024" s="11"/>
      <c r="M1024" s="11"/>
      <c r="N1024" s="11"/>
      <c r="O1024" s="11"/>
      <c r="P1024" s="11"/>
      <c r="Q1024" s="11"/>
      <c r="R1024" s="36"/>
      <c r="S1024" s="36"/>
      <c r="T1024" s="38"/>
      <c r="U1024" s="38"/>
      <c r="V1024" s="38"/>
      <c r="W1024" s="38"/>
    </row>
    <row r="1025" spans="12:23" s="12" customFormat="1" x14ac:dyDescent="0.35">
      <c r="L1025" s="11"/>
      <c r="M1025" s="11"/>
      <c r="N1025" s="11"/>
      <c r="O1025" s="11"/>
      <c r="P1025" s="11"/>
      <c r="Q1025" s="11"/>
      <c r="R1025" s="36"/>
      <c r="S1025" s="36"/>
      <c r="T1025" s="38"/>
      <c r="U1025" s="38"/>
      <c r="V1025" s="38"/>
      <c r="W1025" s="38"/>
    </row>
    <row r="1026" spans="12:23" s="12" customFormat="1" x14ac:dyDescent="0.35">
      <c r="L1026" s="11"/>
      <c r="M1026" s="11"/>
      <c r="N1026" s="11"/>
      <c r="O1026" s="11"/>
      <c r="P1026" s="11"/>
      <c r="Q1026" s="11"/>
      <c r="R1026" s="36"/>
      <c r="S1026" s="36"/>
      <c r="T1026" s="38"/>
      <c r="U1026" s="38"/>
      <c r="V1026" s="38"/>
      <c r="W1026" s="38"/>
    </row>
    <row r="1027" spans="12:23" s="12" customFormat="1" x14ac:dyDescent="0.35">
      <c r="L1027" s="11"/>
      <c r="M1027" s="11"/>
      <c r="N1027" s="11"/>
      <c r="O1027" s="11"/>
      <c r="P1027" s="11"/>
      <c r="Q1027" s="11"/>
      <c r="R1027" s="36"/>
      <c r="S1027" s="36"/>
      <c r="T1027" s="38"/>
      <c r="U1027" s="38"/>
      <c r="V1027" s="38"/>
      <c r="W1027" s="38"/>
    </row>
    <row r="1028" spans="12:23" s="12" customFormat="1" x14ac:dyDescent="0.35">
      <c r="L1028" s="11"/>
      <c r="M1028" s="11"/>
      <c r="N1028" s="11"/>
      <c r="O1028" s="11"/>
      <c r="P1028" s="11"/>
      <c r="Q1028" s="11"/>
      <c r="R1028" s="36"/>
      <c r="S1028" s="36"/>
      <c r="T1028" s="38"/>
      <c r="U1028" s="38"/>
      <c r="V1028" s="38"/>
      <c r="W1028" s="38"/>
    </row>
    <row r="1029" spans="12:23" s="12" customFormat="1" x14ac:dyDescent="0.35">
      <c r="L1029" s="11"/>
      <c r="M1029" s="11"/>
      <c r="N1029" s="11"/>
      <c r="O1029" s="11"/>
      <c r="P1029" s="11"/>
      <c r="Q1029" s="11"/>
      <c r="R1029" s="36"/>
      <c r="S1029" s="36"/>
      <c r="T1029" s="38"/>
      <c r="U1029" s="38"/>
      <c r="V1029" s="38"/>
      <c r="W1029" s="38"/>
    </row>
    <row r="1030" spans="12:23" s="12" customFormat="1" x14ac:dyDescent="0.35">
      <c r="L1030" s="11"/>
      <c r="M1030" s="11"/>
      <c r="N1030" s="11"/>
      <c r="O1030" s="11"/>
      <c r="P1030" s="11"/>
      <c r="Q1030" s="11"/>
      <c r="R1030" s="36"/>
      <c r="S1030" s="36"/>
      <c r="T1030" s="38"/>
      <c r="U1030" s="38"/>
      <c r="V1030" s="38"/>
      <c r="W1030" s="38"/>
    </row>
    <row r="1031" spans="12:23" s="12" customFormat="1" x14ac:dyDescent="0.35">
      <c r="L1031" s="11"/>
      <c r="M1031" s="11"/>
      <c r="N1031" s="11"/>
      <c r="O1031" s="11"/>
      <c r="P1031" s="11"/>
      <c r="Q1031" s="11"/>
      <c r="R1031" s="36"/>
      <c r="S1031" s="36"/>
      <c r="T1031" s="38"/>
      <c r="U1031" s="38"/>
      <c r="V1031" s="38"/>
      <c r="W1031" s="38"/>
    </row>
    <row r="1032" spans="12:23" s="12" customFormat="1" x14ac:dyDescent="0.35">
      <c r="L1032" s="11"/>
      <c r="M1032" s="11"/>
      <c r="N1032" s="11"/>
      <c r="O1032" s="11"/>
      <c r="P1032" s="11"/>
      <c r="Q1032" s="11"/>
      <c r="R1032" s="36"/>
      <c r="S1032" s="36"/>
      <c r="T1032" s="38"/>
      <c r="U1032" s="38"/>
      <c r="V1032" s="38"/>
      <c r="W1032" s="38"/>
    </row>
    <row r="1033" spans="12:23" s="12" customFormat="1" x14ac:dyDescent="0.35">
      <c r="L1033" s="11"/>
      <c r="M1033" s="11"/>
      <c r="N1033" s="11"/>
      <c r="O1033" s="11"/>
      <c r="P1033" s="11"/>
      <c r="Q1033" s="11"/>
      <c r="R1033" s="36"/>
      <c r="S1033" s="36"/>
      <c r="T1033" s="38"/>
      <c r="U1033" s="38"/>
      <c r="V1033" s="38"/>
      <c r="W1033" s="38"/>
    </row>
    <row r="1034" spans="12:23" s="12" customFormat="1" x14ac:dyDescent="0.35">
      <c r="L1034" s="11"/>
      <c r="M1034" s="11"/>
      <c r="N1034" s="11"/>
      <c r="O1034" s="11"/>
      <c r="P1034" s="11"/>
      <c r="Q1034" s="11"/>
      <c r="R1034" s="36"/>
      <c r="S1034" s="36"/>
      <c r="T1034" s="38"/>
      <c r="U1034" s="38"/>
      <c r="V1034" s="38"/>
      <c r="W1034" s="38"/>
    </row>
    <row r="1035" spans="12:23" s="12" customFormat="1" x14ac:dyDescent="0.35">
      <c r="L1035" s="11"/>
      <c r="M1035" s="11"/>
      <c r="N1035" s="11"/>
      <c r="O1035" s="11"/>
      <c r="P1035" s="11"/>
      <c r="Q1035" s="11"/>
      <c r="R1035" s="36"/>
      <c r="S1035" s="36"/>
      <c r="T1035" s="38"/>
      <c r="U1035" s="38"/>
      <c r="V1035" s="38"/>
      <c r="W1035" s="38"/>
    </row>
    <row r="1036" spans="12:23" s="12" customFormat="1" x14ac:dyDescent="0.35">
      <c r="L1036" s="11"/>
      <c r="M1036" s="11"/>
      <c r="N1036" s="11"/>
      <c r="O1036" s="11"/>
      <c r="P1036" s="11"/>
      <c r="Q1036" s="11"/>
      <c r="R1036" s="36"/>
      <c r="S1036" s="36"/>
      <c r="T1036" s="38"/>
      <c r="U1036" s="38"/>
      <c r="V1036" s="38"/>
      <c r="W1036" s="38"/>
    </row>
    <row r="1037" spans="12:23" s="12" customFormat="1" x14ac:dyDescent="0.35">
      <c r="L1037" s="11"/>
      <c r="M1037" s="11"/>
      <c r="N1037" s="11"/>
      <c r="O1037" s="11"/>
      <c r="P1037" s="11"/>
      <c r="Q1037" s="11"/>
      <c r="R1037" s="36"/>
      <c r="S1037" s="36"/>
      <c r="T1037" s="38"/>
      <c r="U1037" s="38"/>
      <c r="V1037" s="38"/>
      <c r="W1037" s="38"/>
    </row>
    <row r="1038" spans="12:23" s="12" customFormat="1" x14ac:dyDescent="0.35">
      <c r="L1038" s="11"/>
      <c r="M1038" s="11"/>
      <c r="N1038" s="11"/>
      <c r="O1038" s="11"/>
      <c r="P1038" s="11"/>
      <c r="Q1038" s="11"/>
      <c r="R1038" s="36"/>
      <c r="S1038" s="36"/>
      <c r="T1038" s="38"/>
      <c r="U1038" s="38"/>
      <c r="V1038" s="38"/>
      <c r="W1038" s="38"/>
    </row>
    <row r="1039" spans="12:23" s="12" customFormat="1" x14ac:dyDescent="0.35">
      <c r="L1039" s="11"/>
      <c r="M1039" s="11"/>
      <c r="N1039" s="11"/>
      <c r="O1039" s="11"/>
      <c r="P1039" s="11"/>
      <c r="Q1039" s="11"/>
      <c r="R1039" s="36"/>
      <c r="S1039" s="36"/>
      <c r="T1039" s="38"/>
      <c r="U1039" s="38"/>
      <c r="V1039" s="38"/>
      <c r="W1039" s="38"/>
    </row>
    <row r="1040" spans="12:23" s="12" customFormat="1" x14ac:dyDescent="0.35">
      <c r="L1040" s="11"/>
      <c r="M1040" s="11"/>
      <c r="N1040" s="11"/>
      <c r="O1040" s="11"/>
      <c r="P1040" s="11"/>
      <c r="Q1040" s="11"/>
      <c r="R1040" s="36"/>
      <c r="S1040" s="36"/>
      <c r="T1040" s="38"/>
      <c r="U1040" s="38"/>
      <c r="V1040" s="38"/>
      <c r="W1040" s="38"/>
    </row>
    <row r="1041" spans="12:23" s="12" customFormat="1" x14ac:dyDescent="0.35">
      <c r="L1041" s="11"/>
      <c r="M1041" s="11"/>
      <c r="N1041" s="11"/>
      <c r="O1041" s="11"/>
      <c r="P1041" s="11"/>
      <c r="Q1041" s="11"/>
      <c r="R1041" s="36"/>
      <c r="S1041" s="36"/>
      <c r="T1041" s="38"/>
      <c r="U1041" s="38"/>
      <c r="V1041" s="38"/>
      <c r="W1041" s="38"/>
    </row>
    <row r="1042" spans="12:23" s="12" customFormat="1" x14ac:dyDescent="0.35">
      <c r="L1042" s="11"/>
      <c r="M1042" s="11"/>
      <c r="N1042" s="11"/>
      <c r="O1042" s="11"/>
      <c r="P1042" s="11"/>
      <c r="Q1042" s="11"/>
      <c r="R1042" s="36"/>
      <c r="S1042" s="36"/>
      <c r="T1042" s="38"/>
      <c r="U1042" s="38"/>
      <c r="V1042" s="38"/>
      <c r="W1042" s="38"/>
    </row>
    <row r="1043" spans="12:23" s="12" customFormat="1" x14ac:dyDescent="0.35">
      <c r="L1043" s="11"/>
      <c r="M1043" s="11"/>
      <c r="N1043" s="11"/>
      <c r="O1043" s="11"/>
      <c r="P1043" s="11"/>
      <c r="Q1043" s="11"/>
      <c r="R1043" s="36"/>
      <c r="S1043" s="36"/>
      <c r="T1043" s="38"/>
      <c r="U1043" s="38"/>
      <c r="V1043" s="38"/>
      <c r="W1043" s="38"/>
    </row>
    <row r="1044" spans="12:23" s="12" customFormat="1" x14ac:dyDescent="0.35">
      <c r="L1044" s="11"/>
      <c r="M1044" s="11"/>
      <c r="N1044" s="11"/>
      <c r="O1044" s="11"/>
      <c r="P1044" s="11"/>
      <c r="Q1044" s="11"/>
      <c r="R1044" s="36"/>
      <c r="S1044" s="36"/>
      <c r="T1044" s="38"/>
      <c r="U1044" s="38"/>
      <c r="V1044" s="38"/>
      <c r="W1044" s="38"/>
    </row>
    <row r="1045" spans="12:23" s="12" customFormat="1" x14ac:dyDescent="0.35">
      <c r="L1045" s="11"/>
      <c r="M1045" s="11"/>
      <c r="N1045" s="11"/>
      <c r="O1045" s="11"/>
      <c r="P1045" s="11"/>
      <c r="Q1045" s="11"/>
      <c r="R1045" s="36"/>
      <c r="S1045" s="36"/>
      <c r="T1045" s="38"/>
      <c r="U1045" s="38"/>
      <c r="V1045" s="38"/>
      <c r="W1045" s="38"/>
    </row>
    <row r="1046" spans="12:23" s="12" customFormat="1" x14ac:dyDescent="0.35">
      <c r="L1046" s="11"/>
      <c r="M1046" s="11"/>
      <c r="N1046" s="11"/>
      <c r="O1046" s="11"/>
      <c r="P1046" s="11"/>
      <c r="Q1046" s="11"/>
      <c r="R1046" s="36"/>
      <c r="S1046" s="36"/>
      <c r="T1046" s="38"/>
      <c r="U1046" s="38"/>
      <c r="V1046" s="38"/>
      <c r="W1046" s="38"/>
    </row>
    <row r="1047" spans="12:23" s="12" customFormat="1" x14ac:dyDescent="0.35">
      <c r="L1047" s="11"/>
      <c r="M1047" s="11"/>
      <c r="N1047" s="11"/>
      <c r="O1047" s="11"/>
      <c r="P1047" s="11"/>
      <c r="Q1047" s="11"/>
      <c r="R1047" s="36"/>
      <c r="S1047" s="36"/>
      <c r="T1047" s="38"/>
      <c r="U1047" s="38"/>
      <c r="V1047" s="38"/>
      <c r="W1047" s="38"/>
    </row>
    <row r="1048" spans="12:23" s="12" customFormat="1" x14ac:dyDescent="0.35">
      <c r="L1048" s="11"/>
      <c r="M1048" s="11"/>
      <c r="N1048" s="11"/>
      <c r="O1048" s="11"/>
      <c r="P1048" s="11"/>
      <c r="Q1048" s="11"/>
      <c r="R1048" s="36"/>
      <c r="S1048" s="36"/>
      <c r="T1048" s="38"/>
      <c r="U1048" s="38"/>
      <c r="V1048" s="38"/>
      <c r="W1048" s="38"/>
    </row>
    <row r="1049" spans="12:23" s="12" customFormat="1" x14ac:dyDescent="0.35">
      <c r="L1049" s="11"/>
      <c r="M1049" s="11"/>
      <c r="N1049" s="11"/>
      <c r="O1049" s="11"/>
      <c r="P1049" s="11"/>
      <c r="Q1049" s="11"/>
      <c r="R1049" s="36"/>
      <c r="S1049" s="36"/>
      <c r="T1049" s="38"/>
      <c r="U1049" s="38"/>
      <c r="V1049" s="38"/>
      <c r="W1049" s="38"/>
    </row>
    <row r="1050" spans="12:23" s="12" customFormat="1" x14ac:dyDescent="0.35">
      <c r="L1050" s="11"/>
      <c r="M1050" s="11"/>
      <c r="N1050" s="11"/>
      <c r="O1050" s="11"/>
      <c r="P1050" s="11"/>
      <c r="Q1050" s="11"/>
      <c r="R1050" s="36"/>
      <c r="S1050" s="36"/>
      <c r="T1050" s="38"/>
      <c r="U1050" s="38"/>
      <c r="V1050" s="38"/>
      <c r="W1050" s="38"/>
    </row>
    <row r="1051" spans="12:23" s="12" customFormat="1" x14ac:dyDescent="0.35">
      <c r="L1051" s="11"/>
      <c r="M1051" s="11"/>
      <c r="N1051" s="11"/>
      <c r="O1051" s="11"/>
      <c r="P1051" s="11"/>
      <c r="Q1051" s="11"/>
      <c r="R1051" s="36"/>
      <c r="S1051" s="36"/>
      <c r="T1051" s="38"/>
      <c r="U1051" s="38"/>
      <c r="V1051" s="38"/>
      <c r="W1051" s="38"/>
    </row>
    <row r="1052" spans="12:23" s="12" customFormat="1" x14ac:dyDescent="0.35">
      <c r="L1052" s="11"/>
      <c r="M1052" s="11"/>
      <c r="N1052" s="11"/>
      <c r="O1052" s="11"/>
      <c r="P1052" s="11"/>
      <c r="Q1052" s="11"/>
      <c r="R1052" s="36"/>
      <c r="S1052" s="36"/>
      <c r="T1052" s="38"/>
      <c r="U1052" s="38"/>
      <c r="V1052" s="38"/>
      <c r="W1052" s="38"/>
    </row>
    <row r="1053" spans="12:23" s="12" customFormat="1" x14ac:dyDescent="0.35">
      <c r="L1053" s="11"/>
      <c r="M1053" s="11"/>
      <c r="N1053" s="11"/>
      <c r="O1053" s="11"/>
      <c r="P1053" s="11"/>
      <c r="Q1053" s="11"/>
      <c r="R1053" s="36"/>
      <c r="S1053" s="36"/>
      <c r="T1053" s="38"/>
      <c r="U1053" s="38"/>
      <c r="V1053" s="38"/>
      <c r="W1053" s="38"/>
    </row>
    <row r="1054" spans="12:23" s="12" customFormat="1" x14ac:dyDescent="0.35">
      <c r="L1054" s="11"/>
      <c r="M1054" s="11"/>
      <c r="N1054" s="11"/>
      <c r="O1054" s="11"/>
      <c r="P1054" s="11"/>
      <c r="Q1054" s="11"/>
      <c r="R1054" s="36"/>
      <c r="S1054" s="36"/>
      <c r="T1054" s="38"/>
      <c r="U1054" s="38"/>
      <c r="V1054" s="38"/>
      <c r="W1054" s="38"/>
    </row>
    <row r="1055" spans="12:23" s="12" customFormat="1" x14ac:dyDescent="0.35">
      <c r="L1055" s="11"/>
      <c r="M1055" s="11"/>
      <c r="N1055" s="11"/>
      <c r="O1055" s="11"/>
      <c r="P1055" s="11"/>
      <c r="Q1055" s="11"/>
      <c r="R1055" s="36"/>
      <c r="S1055" s="36"/>
      <c r="T1055" s="38"/>
      <c r="U1055" s="38"/>
      <c r="V1055" s="38"/>
      <c r="W1055" s="38"/>
    </row>
    <row r="1056" spans="12:23" s="12" customFormat="1" x14ac:dyDescent="0.35">
      <c r="L1056" s="11"/>
      <c r="M1056" s="11"/>
      <c r="N1056" s="11"/>
      <c r="O1056" s="11"/>
      <c r="P1056" s="11"/>
      <c r="Q1056" s="11"/>
      <c r="R1056" s="36"/>
      <c r="S1056" s="36"/>
      <c r="T1056" s="38"/>
      <c r="U1056" s="38"/>
      <c r="V1056" s="38"/>
      <c r="W1056" s="38"/>
    </row>
    <row r="1057" spans="12:23" s="12" customFormat="1" x14ac:dyDescent="0.35">
      <c r="L1057" s="11"/>
      <c r="M1057" s="11"/>
      <c r="N1057" s="11"/>
      <c r="O1057" s="11"/>
      <c r="P1057" s="11"/>
      <c r="Q1057" s="11"/>
      <c r="R1057" s="36"/>
      <c r="S1057" s="36"/>
      <c r="T1057" s="38"/>
      <c r="U1057" s="38"/>
      <c r="V1057" s="38"/>
      <c r="W1057" s="38"/>
    </row>
    <row r="1058" spans="12:23" s="12" customFormat="1" x14ac:dyDescent="0.35">
      <c r="L1058" s="11"/>
      <c r="M1058" s="11"/>
      <c r="N1058" s="11"/>
      <c r="O1058" s="11"/>
      <c r="P1058" s="11"/>
      <c r="Q1058" s="11"/>
      <c r="R1058" s="36"/>
      <c r="S1058" s="36"/>
      <c r="T1058" s="38"/>
      <c r="U1058" s="38"/>
      <c r="V1058" s="38"/>
      <c r="W1058" s="38"/>
    </row>
    <row r="1059" spans="12:23" s="12" customFormat="1" x14ac:dyDescent="0.35">
      <c r="L1059" s="11"/>
      <c r="M1059" s="11"/>
      <c r="N1059" s="11"/>
      <c r="O1059" s="11"/>
      <c r="P1059" s="11"/>
      <c r="Q1059" s="11"/>
      <c r="R1059" s="36"/>
      <c r="S1059" s="36"/>
      <c r="T1059" s="38"/>
      <c r="U1059" s="38"/>
      <c r="V1059" s="38"/>
      <c r="W1059" s="38"/>
    </row>
    <row r="1060" spans="12:23" s="12" customFormat="1" x14ac:dyDescent="0.35">
      <c r="L1060" s="11"/>
      <c r="M1060" s="11"/>
      <c r="N1060" s="11"/>
      <c r="O1060" s="11"/>
      <c r="P1060" s="11"/>
      <c r="Q1060" s="11"/>
      <c r="R1060" s="36"/>
      <c r="S1060" s="36"/>
      <c r="T1060" s="38"/>
      <c r="U1060" s="38"/>
      <c r="V1060" s="38"/>
      <c r="W1060" s="38"/>
    </row>
    <row r="1061" spans="12:23" s="12" customFormat="1" x14ac:dyDescent="0.35">
      <c r="L1061" s="11"/>
      <c r="M1061" s="11"/>
      <c r="N1061" s="11"/>
      <c r="O1061" s="11"/>
      <c r="P1061" s="11"/>
      <c r="Q1061" s="11"/>
      <c r="R1061" s="36"/>
      <c r="S1061" s="36"/>
      <c r="T1061" s="38"/>
      <c r="U1061" s="38"/>
      <c r="V1061" s="38"/>
      <c r="W1061" s="38"/>
    </row>
    <row r="1062" spans="12:23" s="12" customFormat="1" x14ac:dyDescent="0.35">
      <c r="L1062" s="11"/>
      <c r="M1062" s="11"/>
      <c r="N1062" s="11"/>
      <c r="O1062" s="11"/>
      <c r="P1062" s="11"/>
      <c r="Q1062" s="11"/>
      <c r="R1062" s="36"/>
      <c r="S1062" s="36"/>
      <c r="T1062" s="38"/>
      <c r="U1062" s="38"/>
      <c r="V1062" s="38"/>
      <c r="W1062" s="38"/>
    </row>
    <row r="1063" spans="12:23" s="12" customFormat="1" x14ac:dyDescent="0.35">
      <c r="L1063" s="11"/>
      <c r="M1063" s="11"/>
      <c r="N1063" s="11"/>
      <c r="O1063" s="11"/>
      <c r="P1063" s="11"/>
      <c r="Q1063" s="11"/>
      <c r="R1063" s="36"/>
      <c r="S1063" s="36"/>
      <c r="T1063" s="38"/>
      <c r="U1063" s="38"/>
      <c r="V1063" s="38"/>
      <c r="W1063" s="38"/>
    </row>
    <row r="1064" spans="12:23" s="12" customFormat="1" x14ac:dyDescent="0.35">
      <c r="L1064" s="11"/>
      <c r="M1064" s="11"/>
      <c r="N1064" s="11"/>
      <c r="O1064" s="11"/>
      <c r="P1064" s="11"/>
      <c r="Q1064" s="11"/>
      <c r="R1064" s="36"/>
      <c r="S1064" s="36"/>
      <c r="T1064" s="38"/>
      <c r="U1064" s="38"/>
      <c r="V1064" s="38"/>
      <c r="W1064" s="38"/>
    </row>
    <row r="1065" spans="12:23" s="12" customFormat="1" x14ac:dyDescent="0.35">
      <c r="L1065" s="11"/>
      <c r="M1065" s="11"/>
      <c r="N1065" s="11"/>
      <c r="O1065" s="11"/>
      <c r="P1065" s="11"/>
      <c r="Q1065" s="11"/>
      <c r="R1065" s="36"/>
      <c r="S1065" s="36"/>
      <c r="T1065" s="38"/>
      <c r="U1065" s="38"/>
      <c r="V1065" s="38"/>
      <c r="W1065" s="38"/>
    </row>
    <row r="1066" spans="12:23" s="12" customFormat="1" x14ac:dyDescent="0.35">
      <c r="L1066" s="11"/>
      <c r="M1066" s="11"/>
      <c r="N1066" s="11"/>
      <c r="O1066" s="11"/>
      <c r="P1066" s="11"/>
      <c r="Q1066" s="11"/>
      <c r="R1066" s="36"/>
      <c r="S1066" s="36"/>
      <c r="T1066" s="38"/>
      <c r="U1066" s="38"/>
      <c r="V1066" s="38"/>
      <c r="W1066" s="38"/>
    </row>
    <row r="1067" spans="12:23" s="12" customFormat="1" x14ac:dyDescent="0.35">
      <c r="L1067" s="11"/>
      <c r="M1067" s="11"/>
      <c r="N1067" s="11"/>
      <c r="O1067" s="11"/>
      <c r="P1067" s="11"/>
      <c r="Q1067" s="11"/>
      <c r="R1067" s="36"/>
      <c r="S1067" s="36"/>
      <c r="T1067" s="38"/>
      <c r="U1067" s="38"/>
      <c r="V1067" s="38"/>
      <c r="W1067" s="38"/>
    </row>
    <row r="1068" spans="12:23" s="12" customFormat="1" x14ac:dyDescent="0.35">
      <c r="L1068" s="11"/>
      <c r="M1068" s="11"/>
      <c r="N1068" s="11"/>
      <c r="O1068" s="11"/>
      <c r="P1068" s="11"/>
      <c r="Q1068" s="11"/>
      <c r="R1068" s="36"/>
      <c r="S1068" s="36"/>
      <c r="T1068" s="38"/>
      <c r="U1068" s="38"/>
      <c r="V1068" s="38"/>
      <c r="W1068" s="38"/>
    </row>
    <row r="1069" spans="12:23" s="12" customFormat="1" x14ac:dyDescent="0.35">
      <c r="L1069" s="11"/>
      <c r="M1069" s="11"/>
      <c r="N1069" s="11"/>
      <c r="O1069" s="11"/>
      <c r="P1069" s="11"/>
      <c r="Q1069" s="11"/>
      <c r="R1069" s="36"/>
      <c r="S1069" s="36"/>
      <c r="T1069" s="38"/>
      <c r="U1069" s="38"/>
      <c r="V1069" s="38"/>
      <c r="W1069" s="38"/>
    </row>
    <row r="1070" spans="12:23" s="12" customFormat="1" x14ac:dyDescent="0.35">
      <c r="L1070" s="11"/>
      <c r="M1070" s="11"/>
      <c r="N1070" s="11"/>
      <c r="O1070" s="11"/>
      <c r="P1070" s="11"/>
      <c r="Q1070" s="11"/>
      <c r="R1070" s="36"/>
      <c r="S1070" s="36"/>
      <c r="T1070" s="38"/>
      <c r="U1070" s="38"/>
      <c r="V1070" s="38"/>
      <c r="W1070" s="38"/>
    </row>
    <row r="1071" spans="12:23" s="12" customFormat="1" x14ac:dyDescent="0.35">
      <c r="L1071" s="11"/>
      <c r="M1071" s="11"/>
      <c r="N1071" s="11"/>
      <c r="O1071" s="11"/>
      <c r="P1071" s="11"/>
      <c r="Q1071" s="11"/>
      <c r="R1071" s="36"/>
      <c r="S1071" s="36"/>
      <c r="T1071" s="38"/>
      <c r="U1071" s="38"/>
      <c r="V1071" s="38"/>
      <c r="W1071" s="38"/>
    </row>
    <row r="1072" spans="12:23" s="12" customFormat="1" x14ac:dyDescent="0.35">
      <c r="L1072" s="11"/>
      <c r="M1072" s="11"/>
      <c r="N1072" s="11"/>
      <c r="O1072" s="11"/>
      <c r="P1072" s="11"/>
      <c r="Q1072" s="11"/>
      <c r="R1072" s="36"/>
      <c r="S1072" s="36"/>
      <c r="T1072" s="38"/>
      <c r="U1072" s="38"/>
      <c r="V1072" s="38"/>
      <c r="W1072" s="38"/>
    </row>
    <row r="1073" spans="12:23" s="12" customFormat="1" x14ac:dyDescent="0.35">
      <c r="L1073" s="11"/>
      <c r="M1073" s="11"/>
      <c r="N1073" s="11"/>
      <c r="O1073" s="11"/>
      <c r="P1073" s="11"/>
      <c r="Q1073" s="11"/>
      <c r="R1073" s="36"/>
      <c r="S1073" s="36"/>
      <c r="T1073" s="38"/>
      <c r="U1073" s="38"/>
      <c r="V1073" s="38"/>
      <c r="W1073" s="38"/>
    </row>
    <row r="1074" spans="12:23" s="12" customFormat="1" x14ac:dyDescent="0.35">
      <c r="L1074" s="11"/>
      <c r="M1074" s="11"/>
      <c r="N1074" s="11"/>
      <c r="O1074" s="11"/>
      <c r="P1074" s="11"/>
      <c r="Q1074" s="11"/>
      <c r="R1074" s="36"/>
      <c r="S1074" s="36"/>
      <c r="T1074" s="38"/>
      <c r="U1074" s="38"/>
      <c r="V1074" s="38"/>
      <c r="W1074" s="38"/>
    </row>
    <row r="1075" spans="12:23" s="12" customFormat="1" x14ac:dyDescent="0.35">
      <c r="L1075" s="11"/>
      <c r="M1075" s="11"/>
      <c r="N1075" s="11"/>
      <c r="O1075" s="11"/>
      <c r="P1075" s="11"/>
      <c r="Q1075" s="11"/>
      <c r="R1075" s="36"/>
      <c r="S1075" s="36"/>
      <c r="T1075" s="38"/>
      <c r="U1075" s="38"/>
      <c r="V1075" s="38"/>
      <c r="W1075" s="38"/>
    </row>
    <row r="1076" spans="12:23" s="12" customFormat="1" x14ac:dyDescent="0.35">
      <c r="L1076" s="11"/>
      <c r="M1076" s="11"/>
      <c r="N1076" s="11"/>
      <c r="O1076" s="11"/>
      <c r="P1076" s="11"/>
      <c r="Q1076" s="11"/>
      <c r="R1076" s="36"/>
      <c r="S1076" s="36"/>
      <c r="T1076" s="38"/>
      <c r="U1076" s="38"/>
      <c r="V1076" s="38"/>
      <c r="W1076" s="38"/>
    </row>
    <row r="1077" spans="12:23" s="12" customFormat="1" x14ac:dyDescent="0.35">
      <c r="L1077" s="11"/>
      <c r="M1077" s="11"/>
      <c r="N1077" s="11"/>
      <c r="O1077" s="11"/>
      <c r="P1077" s="11"/>
      <c r="Q1077" s="11"/>
      <c r="R1077" s="36"/>
      <c r="S1077" s="36"/>
      <c r="T1077" s="38"/>
      <c r="U1077" s="38"/>
      <c r="V1077" s="38"/>
      <c r="W1077" s="38"/>
    </row>
    <row r="1078" spans="12:23" s="12" customFormat="1" x14ac:dyDescent="0.35">
      <c r="L1078" s="11"/>
      <c r="M1078" s="11"/>
      <c r="N1078" s="11"/>
      <c r="O1078" s="11"/>
      <c r="P1078" s="11"/>
      <c r="Q1078" s="11"/>
      <c r="R1078" s="36"/>
      <c r="S1078" s="36"/>
      <c r="T1078" s="38"/>
      <c r="U1078" s="38"/>
      <c r="V1078" s="38"/>
      <c r="W1078" s="38"/>
    </row>
    <row r="1079" spans="12:23" s="12" customFormat="1" x14ac:dyDescent="0.35">
      <c r="L1079" s="11"/>
      <c r="M1079" s="11"/>
      <c r="N1079" s="11"/>
      <c r="O1079" s="11"/>
      <c r="P1079" s="11"/>
      <c r="Q1079" s="11"/>
      <c r="R1079" s="36"/>
      <c r="S1079" s="36"/>
      <c r="T1079" s="38"/>
      <c r="U1079" s="38"/>
      <c r="V1079" s="38"/>
      <c r="W1079" s="38"/>
    </row>
    <row r="1080" spans="12:23" s="12" customFormat="1" x14ac:dyDescent="0.35">
      <c r="L1080" s="11"/>
      <c r="M1080" s="11"/>
      <c r="N1080" s="11"/>
      <c r="O1080" s="11"/>
      <c r="P1080" s="11"/>
      <c r="Q1080" s="11"/>
      <c r="R1080" s="36"/>
      <c r="S1080" s="36"/>
      <c r="T1080" s="38"/>
      <c r="U1080" s="38"/>
      <c r="V1080" s="38"/>
      <c r="W1080" s="38"/>
    </row>
    <row r="1081" spans="12:23" s="12" customFormat="1" x14ac:dyDescent="0.35">
      <c r="L1081" s="11"/>
      <c r="M1081" s="11"/>
      <c r="N1081" s="11"/>
      <c r="O1081" s="11"/>
      <c r="P1081" s="11"/>
      <c r="Q1081" s="11"/>
      <c r="R1081" s="36"/>
      <c r="S1081" s="36"/>
      <c r="T1081" s="38"/>
      <c r="U1081" s="38"/>
      <c r="V1081" s="38"/>
      <c r="W1081" s="38"/>
    </row>
    <row r="1082" spans="12:23" s="12" customFormat="1" x14ac:dyDescent="0.35">
      <c r="L1082" s="11"/>
      <c r="M1082" s="11"/>
      <c r="N1082" s="11"/>
      <c r="O1082" s="11"/>
      <c r="P1082" s="11"/>
      <c r="Q1082" s="11"/>
      <c r="R1082" s="36"/>
      <c r="S1082" s="36"/>
      <c r="T1082" s="38"/>
      <c r="U1082" s="38"/>
      <c r="V1082" s="38"/>
      <c r="W1082" s="38"/>
    </row>
    <row r="1083" spans="12:23" s="12" customFormat="1" x14ac:dyDescent="0.35">
      <c r="L1083" s="11"/>
      <c r="M1083" s="11"/>
      <c r="N1083" s="11"/>
      <c r="O1083" s="11"/>
      <c r="P1083" s="11"/>
      <c r="Q1083" s="11"/>
      <c r="R1083" s="36"/>
      <c r="S1083" s="36"/>
      <c r="T1083" s="38"/>
      <c r="U1083" s="38"/>
      <c r="V1083" s="38"/>
      <c r="W1083" s="38"/>
    </row>
    <row r="1084" spans="12:23" s="12" customFormat="1" x14ac:dyDescent="0.35">
      <c r="L1084" s="11"/>
      <c r="M1084" s="11"/>
      <c r="N1084" s="11"/>
      <c r="O1084" s="11"/>
      <c r="P1084" s="11"/>
      <c r="Q1084" s="11"/>
      <c r="R1084" s="36"/>
      <c r="S1084" s="36"/>
      <c r="T1084" s="38"/>
      <c r="U1084" s="38"/>
      <c r="V1084" s="38"/>
      <c r="W1084" s="38"/>
    </row>
    <row r="1085" spans="12:23" s="12" customFormat="1" x14ac:dyDescent="0.35">
      <c r="L1085" s="11"/>
      <c r="M1085" s="11"/>
      <c r="N1085" s="11"/>
      <c r="O1085" s="11"/>
      <c r="P1085" s="11"/>
      <c r="Q1085" s="11"/>
      <c r="R1085" s="36"/>
      <c r="S1085" s="36"/>
      <c r="T1085" s="38"/>
      <c r="U1085" s="38"/>
      <c r="V1085" s="38"/>
      <c r="W1085" s="38"/>
    </row>
    <row r="1086" spans="12:23" s="12" customFormat="1" x14ac:dyDescent="0.35">
      <c r="L1086" s="11"/>
      <c r="M1086" s="11"/>
      <c r="N1086" s="11"/>
      <c r="O1086" s="11"/>
      <c r="P1086" s="11"/>
      <c r="Q1086" s="11"/>
      <c r="R1086" s="36"/>
      <c r="S1086" s="36"/>
      <c r="T1086" s="38"/>
      <c r="U1086" s="38"/>
      <c r="V1086" s="38"/>
      <c r="W1086" s="38"/>
    </row>
    <row r="1087" spans="12:23" s="12" customFormat="1" x14ac:dyDescent="0.35">
      <c r="L1087" s="11"/>
      <c r="M1087" s="11"/>
      <c r="N1087" s="11"/>
      <c r="O1087" s="11"/>
      <c r="P1087" s="11"/>
      <c r="Q1087" s="11"/>
      <c r="R1087" s="36"/>
      <c r="S1087" s="36"/>
      <c r="T1087" s="38"/>
      <c r="U1087" s="38"/>
      <c r="V1087" s="38"/>
      <c r="W1087" s="38"/>
    </row>
    <row r="1088" spans="12:23" s="12" customFormat="1" x14ac:dyDescent="0.35">
      <c r="L1088" s="11"/>
      <c r="M1088" s="11"/>
      <c r="N1088" s="11"/>
      <c r="O1088" s="11"/>
      <c r="P1088" s="11"/>
      <c r="Q1088" s="11"/>
      <c r="R1088" s="36"/>
      <c r="S1088" s="36"/>
      <c r="T1088" s="38"/>
      <c r="U1088" s="38"/>
      <c r="V1088" s="38"/>
      <c r="W1088" s="38"/>
    </row>
    <row r="1089" spans="12:23" s="12" customFormat="1" x14ac:dyDescent="0.35">
      <c r="L1089" s="11"/>
      <c r="M1089" s="11"/>
      <c r="N1089" s="11"/>
      <c r="O1089" s="11"/>
      <c r="P1089" s="11"/>
      <c r="Q1089" s="11"/>
      <c r="R1089" s="36"/>
      <c r="S1089" s="36"/>
      <c r="T1089" s="38"/>
      <c r="U1089" s="38"/>
      <c r="V1089" s="38"/>
      <c r="W1089" s="38"/>
    </row>
    <row r="1090" spans="12:23" s="12" customFormat="1" x14ac:dyDescent="0.35">
      <c r="L1090" s="11"/>
      <c r="M1090" s="11"/>
      <c r="N1090" s="11"/>
      <c r="O1090" s="11"/>
      <c r="P1090" s="11"/>
      <c r="Q1090" s="11"/>
      <c r="R1090" s="36"/>
      <c r="S1090" s="36"/>
      <c r="T1090" s="38"/>
      <c r="U1090" s="38"/>
      <c r="V1090" s="38"/>
      <c r="W1090" s="38"/>
    </row>
    <row r="1091" spans="12:23" s="12" customFormat="1" x14ac:dyDescent="0.35">
      <c r="L1091" s="11"/>
      <c r="M1091" s="11"/>
      <c r="N1091" s="11"/>
      <c r="O1091" s="11"/>
      <c r="P1091" s="11"/>
      <c r="Q1091" s="11"/>
      <c r="R1091" s="36"/>
      <c r="S1091" s="36"/>
      <c r="T1091" s="38"/>
      <c r="U1091" s="38"/>
      <c r="V1091" s="38"/>
      <c r="W1091" s="38"/>
    </row>
    <row r="1092" spans="12:23" s="12" customFormat="1" x14ac:dyDescent="0.35">
      <c r="L1092" s="11"/>
      <c r="M1092" s="11"/>
      <c r="N1092" s="11"/>
      <c r="O1092" s="11"/>
      <c r="P1092" s="11"/>
      <c r="Q1092" s="11"/>
      <c r="R1092" s="36"/>
      <c r="S1092" s="36"/>
      <c r="T1092" s="38"/>
      <c r="U1092" s="38"/>
      <c r="V1092" s="38"/>
      <c r="W1092" s="38"/>
    </row>
    <row r="1093" spans="12:23" s="12" customFormat="1" x14ac:dyDescent="0.35">
      <c r="L1093" s="11"/>
      <c r="M1093" s="11"/>
      <c r="N1093" s="11"/>
      <c r="O1093" s="11"/>
      <c r="P1093" s="11"/>
      <c r="Q1093" s="11"/>
      <c r="R1093" s="36"/>
      <c r="S1093" s="36"/>
      <c r="T1093" s="38"/>
      <c r="U1093" s="38"/>
      <c r="V1093" s="38"/>
      <c r="W1093" s="38"/>
    </row>
    <row r="1094" spans="12:23" s="12" customFormat="1" x14ac:dyDescent="0.35">
      <c r="L1094" s="11"/>
      <c r="M1094" s="11"/>
      <c r="N1094" s="11"/>
      <c r="O1094" s="11"/>
      <c r="P1094" s="11"/>
      <c r="Q1094" s="11"/>
      <c r="R1094" s="36"/>
      <c r="S1094" s="36"/>
      <c r="T1094" s="38"/>
      <c r="U1094" s="38"/>
      <c r="V1094" s="38"/>
      <c r="W1094" s="38"/>
    </row>
    <row r="1095" spans="12:23" s="12" customFormat="1" x14ac:dyDescent="0.35">
      <c r="L1095" s="11"/>
      <c r="M1095" s="11"/>
      <c r="N1095" s="11"/>
      <c r="O1095" s="11"/>
      <c r="P1095" s="11"/>
      <c r="Q1095" s="11"/>
      <c r="R1095" s="36"/>
      <c r="S1095" s="36"/>
      <c r="T1095" s="38"/>
      <c r="U1095" s="38"/>
      <c r="V1095" s="38"/>
      <c r="W1095" s="38"/>
    </row>
    <row r="1096" spans="12:23" s="12" customFormat="1" x14ac:dyDescent="0.35">
      <c r="L1096" s="11"/>
      <c r="M1096" s="11"/>
      <c r="N1096" s="11"/>
      <c r="O1096" s="11"/>
      <c r="P1096" s="11"/>
      <c r="Q1096" s="11"/>
      <c r="R1096" s="36"/>
      <c r="S1096" s="36"/>
      <c r="T1096" s="38"/>
      <c r="U1096" s="38"/>
      <c r="V1096" s="38"/>
      <c r="W1096" s="38"/>
    </row>
    <row r="1097" spans="12:23" s="12" customFormat="1" x14ac:dyDescent="0.35">
      <c r="L1097" s="11"/>
      <c r="M1097" s="11"/>
      <c r="N1097" s="11"/>
      <c r="O1097" s="11"/>
      <c r="P1097" s="11"/>
      <c r="Q1097" s="11"/>
      <c r="R1097" s="36"/>
      <c r="S1097" s="36"/>
      <c r="T1097" s="38"/>
      <c r="U1097" s="38"/>
      <c r="V1097" s="38"/>
      <c r="W1097" s="38"/>
    </row>
    <row r="1098" spans="12:23" s="12" customFormat="1" x14ac:dyDescent="0.35">
      <c r="L1098" s="11"/>
      <c r="M1098" s="11"/>
      <c r="N1098" s="11"/>
      <c r="O1098" s="11"/>
      <c r="P1098" s="11"/>
      <c r="Q1098" s="11"/>
      <c r="R1098" s="36"/>
      <c r="S1098" s="36"/>
      <c r="T1098" s="38"/>
      <c r="U1098" s="38"/>
      <c r="V1098" s="38"/>
      <c r="W1098" s="38"/>
    </row>
    <row r="1099" spans="12:23" s="12" customFormat="1" x14ac:dyDescent="0.35">
      <c r="L1099" s="11"/>
      <c r="M1099" s="11"/>
      <c r="N1099" s="11"/>
      <c r="O1099" s="11"/>
      <c r="P1099" s="11"/>
      <c r="Q1099" s="11"/>
      <c r="R1099" s="36"/>
      <c r="S1099" s="36"/>
      <c r="T1099" s="38"/>
      <c r="U1099" s="38"/>
      <c r="V1099" s="38"/>
      <c r="W1099" s="38"/>
    </row>
    <row r="1100" spans="12:23" s="12" customFormat="1" x14ac:dyDescent="0.35">
      <c r="L1100" s="11"/>
      <c r="M1100" s="11"/>
      <c r="N1100" s="11"/>
      <c r="O1100" s="11"/>
      <c r="P1100" s="11"/>
      <c r="Q1100" s="11"/>
      <c r="R1100" s="36"/>
      <c r="S1100" s="36"/>
      <c r="T1100" s="38"/>
      <c r="U1100" s="38"/>
      <c r="V1100" s="38"/>
      <c r="W1100" s="38"/>
    </row>
    <row r="1101" spans="12:23" s="12" customFormat="1" x14ac:dyDescent="0.35">
      <c r="L1101" s="11"/>
      <c r="M1101" s="11"/>
      <c r="N1101" s="11"/>
      <c r="O1101" s="11"/>
      <c r="P1101" s="11"/>
      <c r="Q1101" s="11"/>
      <c r="R1101" s="36"/>
      <c r="S1101" s="36"/>
      <c r="T1101" s="38"/>
      <c r="U1101" s="38"/>
      <c r="V1101" s="38"/>
      <c r="W1101" s="38"/>
    </row>
    <row r="1102" spans="12:23" s="12" customFormat="1" x14ac:dyDescent="0.35">
      <c r="L1102" s="11"/>
      <c r="M1102" s="11"/>
      <c r="N1102" s="11"/>
      <c r="O1102" s="11"/>
      <c r="P1102" s="11"/>
      <c r="Q1102" s="11"/>
      <c r="R1102" s="36"/>
      <c r="S1102" s="36"/>
      <c r="T1102" s="38"/>
      <c r="U1102" s="38"/>
      <c r="V1102" s="38"/>
      <c r="W1102" s="38"/>
    </row>
    <row r="1103" spans="12:23" s="12" customFormat="1" x14ac:dyDescent="0.35">
      <c r="L1103" s="11"/>
      <c r="M1103" s="11"/>
      <c r="N1103" s="11"/>
      <c r="O1103" s="11"/>
      <c r="P1103" s="11"/>
      <c r="Q1103" s="11"/>
      <c r="R1103" s="36"/>
      <c r="S1103" s="36"/>
      <c r="T1103" s="38"/>
      <c r="U1103" s="38"/>
      <c r="V1103" s="38"/>
      <c r="W1103" s="38"/>
    </row>
    <row r="1104" spans="12:23" s="12" customFormat="1" x14ac:dyDescent="0.35">
      <c r="L1104" s="11"/>
      <c r="M1104" s="11"/>
      <c r="N1104" s="11"/>
      <c r="O1104" s="11"/>
      <c r="P1104" s="11"/>
      <c r="Q1104" s="11"/>
      <c r="R1104" s="36"/>
      <c r="S1104" s="36"/>
      <c r="T1104" s="38"/>
      <c r="U1104" s="38"/>
      <c r="V1104" s="38"/>
      <c r="W1104" s="38"/>
    </row>
    <row r="1105" spans="12:23" s="12" customFormat="1" x14ac:dyDescent="0.35">
      <c r="L1105" s="11"/>
      <c r="M1105" s="11"/>
      <c r="N1105" s="11"/>
      <c r="O1105" s="11"/>
      <c r="P1105" s="11"/>
      <c r="Q1105" s="11"/>
      <c r="R1105" s="36"/>
      <c r="S1105" s="36"/>
      <c r="T1105" s="38"/>
      <c r="U1105" s="38"/>
      <c r="V1105" s="38"/>
      <c r="W1105" s="38"/>
    </row>
    <row r="1106" spans="12:23" s="12" customFormat="1" x14ac:dyDescent="0.35">
      <c r="L1106" s="11"/>
      <c r="M1106" s="11"/>
      <c r="N1106" s="11"/>
      <c r="O1106" s="11"/>
      <c r="P1106" s="11"/>
      <c r="Q1106" s="11"/>
      <c r="R1106" s="36"/>
      <c r="S1106" s="36"/>
      <c r="T1106" s="38"/>
      <c r="U1106" s="38"/>
      <c r="V1106" s="38"/>
      <c r="W1106" s="38"/>
    </row>
    <row r="1107" spans="12:23" s="12" customFormat="1" x14ac:dyDescent="0.35">
      <c r="L1107" s="11"/>
      <c r="M1107" s="11"/>
      <c r="N1107" s="11"/>
      <c r="O1107" s="11"/>
      <c r="P1107" s="11"/>
      <c r="Q1107" s="11"/>
      <c r="R1107" s="36"/>
      <c r="S1107" s="36"/>
      <c r="T1107" s="38"/>
      <c r="U1107" s="38"/>
      <c r="V1107" s="38"/>
      <c r="W1107" s="38"/>
    </row>
    <row r="1108" spans="12:23" s="12" customFormat="1" x14ac:dyDescent="0.35">
      <c r="L1108" s="11"/>
      <c r="M1108" s="11"/>
      <c r="N1108" s="11"/>
      <c r="O1108" s="11"/>
      <c r="P1108" s="11"/>
      <c r="Q1108" s="11"/>
      <c r="R1108" s="36"/>
      <c r="S1108" s="36"/>
      <c r="T1108" s="38"/>
      <c r="U1108" s="38"/>
      <c r="V1108" s="38"/>
      <c r="W1108" s="38"/>
    </row>
    <row r="1109" spans="12:23" s="12" customFormat="1" x14ac:dyDescent="0.35">
      <c r="L1109" s="11"/>
      <c r="M1109" s="11"/>
      <c r="N1109" s="11"/>
      <c r="O1109" s="11"/>
      <c r="P1109" s="11"/>
      <c r="Q1109" s="11"/>
      <c r="R1109" s="36"/>
      <c r="S1109" s="36"/>
      <c r="T1109" s="38"/>
      <c r="U1109" s="38"/>
      <c r="V1109" s="38"/>
      <c r="W1109" s="38"/>
    </row>
    <row r="1110" spans="12:23" s="12" customFormat="1" x14ac:dyDescent="0.35">
      <c r="L1110" s="11"/>
      <c r="M1110" s="11"/>
      <c r="N1110" s="11"/>
      <c r="O1110" s="11"/>
      <c r="P1110" s="11"/>
      <c r="Q1110" s="11"/>
      <c r="R1110" s="36"/>
      <c r="S1110" s="36"/>
      <c r="T1110" s="38"/>
      <c r="U1110" s="38"/>
      <c r="V1110" s="38"/>
      <c r="W1110" s="38"/>
    </row>
    <row r="1111" spans="12:23" s="12" customFormat="1" x14ac:dyDescent="0.35">
      <c r="L1111" s="11"/>
      <c r="M1111" s="11"/>
      <c r="N1111" s="11"/>
      <c r="O1111" s="11"/>
      <c r="P1111" s="11"/>
      <c r="Q1111" s="11"/>
      <c r="R1111" s="36"/>
      <c r="S1111" s="36"/>
      <c r="T1111" s="38"/>
      <c r="U1111" s="38"/>
      <c r="V1111" s="38"/>
      <c r="W1111" s="38"/>
    </row>
    <row r="1112" spans="12:23" s="12" customFormat="1" x14ac:dyDescent="0.35">
      <c r="L1112" s="11"/>
      <c r="M1112" s="11"/>
      <c r="N1112" s="11"/>
      <c r="O1112" s="11"/>
      <c r="P1112" s="11"/>
      <c r="Q1112" s="11"/>
      <c r="R1112" s="36"/>
      <c r="S1112" s="36"/>
      <c r="T1112" s="38"/>
      <c r="U1112" s="38"/>
      <c r="V1112" s="38"/>
      <c r="W1112" s="38"/>
    </row>
    <row r="1113" spans="12:23" s="12" customFormat="1" x14ac:dyDescent="0.35">
      <c r="L1113" s="11"/>
      <c r="M1113" s="11"/>
      <c r="N1113" s="11"/>
      <c r="O1113" s="11"/>
      <c r="P1113" s="11"/>
      <c r="Q1113" s="11"/>
      <c r="R1113" s="36"/>
      <c r="S1113" s="36"/>
      <c r="T1113" s="38"/>
      <c r="U1113" s="38"/>
      <c r="V1113" s="38"/>
      <c r="W1113" s="38"/>
    </row>
    <row r="1114" spans="12:23" s="12" customFormat="1" x14ac:dyDescent="0.35">
      <c r="L1114" s="11"/>
      <c r="M1114" s="11"/>
      <c r="N1114" s="11"/>
      <c r="O1114" s="11"/>
      <c r="P1114" s="11"/>
      <c r="Q1114" s="11"/>
      <c r="R1114" s="36"/>
      <c r="S1114" s="36"/>
      <c r="T1114" s="38"/>
      <c r="U1114" s="38"/>
      <c r="V1114" s="38"/>
      <c r="W1114" s="38"/>
    </row>
    <row r="1115" spans="12:23" s="12" customFormat="1" x14ac:dyDescent="0.35">
      <c r="L1115" s="11"/>
      <c r="M1115" s="11"/>
      <c r="N1115" s="11"/>
      <c r="O1115" s="11"/>
      <c r="P1115" s="11"/>
      <c r="Q1115" s="11"/>
      <c r="R1115" s="36"/>
      <c r="S1115" s="36"/>
      <c r="T1115" s="38"/>
      <c r="U1115" s="38"/>
      <c r="V1115" s="38"/>
      <c r="W1115" s="38"/>
    </row>
    <row r="1116" spans="12:23" s="12" customFormat="1" x14ac:dyDescent="0.35">
      <c r="L1116" s="11"/>
      <c r="M1116" s="11"/>
      <c r="N1116" s="11"/>
      <c r="O1116" s="11"/>
      <c r="P1116" s="11"/>
      <c r="Q1116" s="11"/>
      <c r="R1116" s="36"/>
      <c r="S1116" s="36"/>
      <c r="T1116" s="38"/>
      <c r="U1116" s="38"/>
      <c r="V1116" s="38"/>
      <c r="W1116" s="38"/>
    </row>
    <row r="1117" spans="12:23" s="12" customFormat="1" x14ac:dyDescent="0.35">
      <c r="L1117" s="11"/>
      <c r="M1117" s="11"/>
      <c r="N1117" s="11"/>
      <c r="O1117" s="11"/>
      <c r="P1117" s="11"/>
      <c r="Q1117" s="11"/>
      <c r="R1117" s="36"/>
      <c r="S1117" s="36"/>
      <c r="T1117" s="38"/>
      <c r="U1117" s="38"/>
      <c r="V1117" s="38"/>
      <c r="W1117" s="38"/>
    </row>
    <row r="1118" spans="12:23" s="12" customFormat="1" x14ac:dyDescent="0.35">
      <c r="L1118" s="11"/>
      <c r="M1118" s="11"/>
      <c r="N1118" s="11"/>
      <c r="O1118" s="11"/>
      <c r="P1118" s="11"/>
      <c r="Q1118" s="11"/>
      <c r="R1118" s="36"/>
      <c r="S1118" s="36"/>
      <c r="T1118" s="38"/>
      <c r="U1118" s="38"/>
      <c r="V1118" s="38"/>
      <c r="W1118" s="38"/>
    </row>
    <row r="1119" spans="12:23" s="12" customFormat="1" x14ac:dyDescent="0.35">
      <c r="L1119" s="11"/>
      <c r="M1119" s="11"/>
      <c r="N1119" s="11"/>
      <c r="O1119" s="11"/>
      <c r="P1119" s="11"/>
      <c r="Q1119" s="11"/>
      <c r="R1119" s="36"/>
      <c r="S1119" s="36"/>
      <c r="T1119" s="38"/>
      <c r="U1119" s="38"/>
      <c r="V1119" s="38"/>
      <c r="W1119" s="38"/>
    </row>
    <row r="1120" spans="12:23" s="12" customFormat="1" x14ac:dyDescent="0.35">
      <c r="L1120" s="11"/>
      <c r="M1120" s="11"/>
      <c r="N1120" s="11"/>
      <c r="O1120" s="11"/>
      <c r="P1120" s="11"/>
      <c r="Q1120" s="11"/>
      <c r="R1120" s="36"/>
      <c r="S1120" s="36"/>
      <c r="T1120" s="38"/>
      <c r="U1120" s="38"/>
      <c r="V1120" s="38"/>
      <c r="W1120" s="38"/>
    </row>
    <row r="1121" spans="12:23" s="12" customFormat="1" x14ac:dyDescent="0.35">
      <c r="L1121" s="11"/>
      <c r="M1121" s="11"/>
      <c r="N1121" s="11"/>
      <c r="O1121" s="11"/>
      <c r="P1121" s="11"/>
      <c r="Q1121" s="11"/>
      <c r="R1121" s="36"/>
      <c r="S1121" s="36"/>
      <c r="T1121" s="38"/>
      <c r="U1121" s="38"/>
      <c r="V1121" s="38"/>
      <c r="W1121" s="38"/>
    </row>
    <row r="1122" spans="12:23" s="12" customFormat="1" x14ac:dyDescent="0.35">
      <c r="L1122" s="11"/>
      <c r="M1122" s="11"/>
      <c r="N1122" s="11"/>
      <c r="O1122" s="11"/>
      <c r="P1122" s="11"/>
      <c r="Q1122" s="11"/>
      <c r="R1122" s="36"/>
      <c r="S1122" s="36"/>
      <c r="T1122" s="38"/>
      <c r="U1122" s="38"/>
      <c r="V1122" s="38"/>
      <c r="W1122" s="38"/>
    </row>
    <row r="1123" spans="12:23" s="12" customFormat="1" x14ac:dyDescent="0.35">
      <c r="L1123" s="11"/>
      <c r="M1123" s="11"/>
      <c r="N1123" s="11"/>
      <c r="O1123" s="11"/>
      <c r="P1123" s="11"/>
      <c r="Q1123" s="11"/>
      <c r="R1123" s="36"/>
      <c r="S1123" s="36"/>
      <c r="T1123" s="38"/>
      <c r="U1123" s="38"/>
      <c r="V1123" s="38"/>
      <c r="W1123" s="38"/>
    </row>
    <row r="1124" spans="12:23" s="12" customFormat="1" x14ac:dyDescent="0.35">
      <c r="L1124" s="11"/>
      <c r="M1124" s="11"/>
      <c r="N1124" s="11"/>
      <c r="O1124" s="11"/>
      <c r="P1124" s="11"/>
      <c r="Q1124" s="11"/>
      <c r="R1124" s="36"/>
      <c r="S1124" s="36"/>
      <c r="T1124" s="38"/>
      <c r="U1124" s="38"/>
      <c r="V1124" s="38"/>
      <c r="W1124" s="38"/>
    </row>
    <row r="1125" spans="12:23" s="12" customFormat="1" x14ac:dyDescent="0.35">
      <c r="L1125" s="11"/>
      <c r="M1125" s="11"/>
      <c r="N1125" s="11"/>
      <c r="O1125" s="11"/>
      <c r="P1125" s="11"/>
      <c r="Q1125" s="11"/>
      <c r="R1125" s="36"/>
      <c r="S1125" s="36"/>
      <c r="T1125" s="38"/>
      <c r="U1125" s="38"/>
      <c r="V1125" s="38"/>
      <c r="W1125" s="38"/>
    </row>
    <row r="1126" spans="12:23" s="12" customFormat="1" x14ac:dyDescent="0.35">
      <c r="L1126" s="11"/>
      <c r="M1126" s="11"/>
      <c r="N1126" s="11"/>
      <c r="O1126" s="11"/>
      <c r="P1126" s="11"/>
      <c r="Q1126" s="11"/>
      <c r="R1126" s="36"/>
      <c r="S1126" s="36"/>
      <c r="T1126" s="38"/>
      <c r="U1126" s="38"/>
      <c r="V1126" s="38"/>
      <c r="W1126" s="38"/>
    </row>
    <row r="1127" spans="12:23" s="12" customFormat="1" x14ac:dyDescent="0.35">
      <c r="L1127" s="11"/>
      <c r="M1127" s="11"/>
      <c r="N1127" s="11"/>
      <c r="O1127" s="11"/>
      <c r="P1127" s="11"/>
      <c r="Q1127" s="11"/>
      <c r="R1127" s="36"/>
      <c r="S1127" s="36"/>
      <c r="T1127" s="38"/>
      <c r="U1127" s="38"/>
      <c r="V1127" s="38"/>
      <c r="W1127" s="38"/>
    </row>
    <row r="1128" spans="12:23" s="12" customFormat="1" x14ac:dyDescent="0.35">
      <c r="L1128" s="11"/>
      <c r="M1128" s="11"/>
      <c r="N1128" s="11"/>
      <c r="O1128" s="11"/>
      <c r="P1128" s="11"/>
      <c r="Q1128" s="11"/>
      <c r="R1128" s="36"/>
      <c r="S1128" s="36"/>
      <c r="T1128" s="38"/>
      <c r="U1128" s="38"/>
      <c r="V1128" s="38"/>
      <c r="W1128" s="38"/>
    </row>
    <row r="1129" spans="12:23" s="12" customFormat="1" x14ac:dyDescent="0.35">
      <c r="L1129" s="11"/>
      <c r="M1129" s="11"/>
      <c r="N1129" s="11"/>
      <c r="O1129" s="11"/>
      <c r="P1129" s="11"/>
      <c r="Q1129" s="11"/>
      <c r="R1129" s="36"/>
      <c r="S1129" s="36"/>
      <c r="T1129" s="38"/>
      <c r="U1129" s="38"/>
      <c r="V1129" s="38"/>
      <c r="W1129" s="38"/>
    </row>
    <row r="1130" spans="12:23" s="12" customFormat="1" x14ac:dyDescent="0.35">
      <c r="L1130" s="11"/>
      <c r="M1130" s="11"/>
      <c r="N1130" s="11"/>
      <c r="O1130" s="11"/>
      <c r="P1130" s="11"/>
      <c r="Q1130" s="11"/>
      <c r="R1130" s="36"/>
      <c r="S1130" s="36"/>
      <c r="T1130" s="38"/>
      <c r="U1130" s="38"/>
      <c r="V1130" s="38"/>
      <c r="W1130" s="38"/>
    </row>
    <row r="1131" spans="12:23" s="12" customFormat="1" x14ac:dyDescent="0.35">
      <c r="L1131" s="11"/>
      <c r="M1131" s="11"/>
      <c r="N1131" s="11"/>
      <c r="O1131" s="11"/>
      <c r="P1131" s="11"/>
      <c r="Q1131" s="11"/>
      <c r="R1131" s="36"/>
      <c r="S1131" s="36"/>
      <c r="T1131" s="38"/>
      <c r="U1131" s="38"/>
      <c r="V1131" s="38"/>
      <c r="W1131" s="38"/>
    </row>
    <row r="1132" spans="12:23" s="12" customFormat="1" x14ac:dyDescent="0.35">
      <c r="L1132" s="11"/>
      <c r="M1132" s="11"/>
      <c r="N1132" s="11"/>
      <c r="O1132" s="11"/>
      <c r="P1132" s="11"/>
      <c r="Q1132" s="11"/>
      <c r="R1132" s="36"/>
      <c r="S1132" s="36"/>
      <c r="T1132" s="38"/>
      <c r="U1132" s="38"/>
      <c r="V1132" s="38"/>
      <c r="W1132" s="38"/>
    </row>
    <row r="1133" spans="12:23" s="12" customFormat="1" x14ac:dyDescent="0.35">
      <c r="L1133" s="11"/>
      <c r="M1133" s="11"/>
      <c r="N1133" s="11"/>
      <c r="O1133" s="11"/>
      <c r="P1133" s="11"/>
      <c r="Q1133" s="11"/>
      <c r="R1133" s="36"/>
      <c r="S1133" s="36"/>
      <c r="T1133" s="38"/>
      <c r="U1133" s="38"/>
      <c r="V1133" s="38"/>
      <c r="W1133" s="38"/>
    </row>
    <row r="1134" spans="12:23" s="12" customFormat="1" x14ac:dyDescent="0.35">
      <c r="L1134" s="11"/>
      <c r="M1134" s="11"/>
      <c r="N1134" s="11"/>
      <c r="O1134" s="11"/>
      <c r="P1134" s="11"/>
      <c r="Q1134" s="11"/>
      <c r="R1134" s="36"/>
      <c r="S1134" s="36"/>
      <c r="T1134" s="38"/>
      <c r="U1134" s="38"/>
      <c r="V1134" s="38"/>
      <c r="W1134" s="38"/>
    </row>
    <row r="1135" spans="12:23" s="12" customFormat="1" x14ac:dyDescent="0.35">
      <c r="L1135" s="11"/>
      <c r="M1135" s="11"/>
      <c r="N1135" s="11"/>
      <c r="O1135" s="11"/>
      <c r="P1135" s="11"/>
      <c r="Q1135" s="11"/>
      <c r="R1135" s="36"/>
      <c r="S1135" s="36"/>
      <c r="T1135" s="38"/>
      <c r="U1135" s="38"/>
      <c r="V1135" s="38"/>
      <c r="W1135" s="38"/>
    </row>
    <row r="1136" spans="12:23" s="12" customFormat="1" x14ac:dyDescent="0.35">
      <c r="L1136" s="11"/>
      <c r="M1136" s="11"/>
      <c r="N1136" s="11"/>
      <c r="O1136" s="11"/>
      <c r="P1136" s="11"/>
      <c r="Q1136" s="11"/>
      <c r="R1136" s="36"/>
      <c r="S1136" s="36"/>
      <c r="T1136" s="38"/>
      <c r="U1136" s="38"/>
      <c r="V1136" s="38"/>
      <c r="W1136" s="38"/>
    </row>
    <row r="1137" spans="12:23" s="12" customFormat="1" x14ac:dyDescent="0.35">
      <c r="L1137" s="11"/>
      <c r="M1137" s="11"/>
      <c r="N1137" s="11"/>
      <c r="O1137" s="11"/>
      <c r="P1137" s="11"/>
      <c r="Q1137" s="11"/>
      <c r="R1137" s="36"/>
      <c r="S1137" s="36"/>
      <c r="T1137" s="38"/>
      <c r="U1137" s="38"/>
      <c r="V1137" s="38"/>
      <c r="W1137" s="38"/>
    </row>
    <row r="1138" spans="12:23" s="12" customFormat="1" x14ac:dyDescent="0.35">
      <c r="L1138" s="11"/>
      <c r="M1138" s="11"/>
      <c r="N1138" s="11"/>
      <c r="O1138" s="11"/>
      <c r="P1138" s="11"/>
      <c r="Q1138" s="11"/>
      <c r="R1138" s="36"/>
      <c r="S1138" s="36"/>
      <c r="T1138" s="38"/>
      <c r="U1138" s="38"/>
      <c r="V1138" s="38"/>
      <c r="W1138" s="38"/>
    </row>
    <row r="1139" spans="12:23" s="12" customFormat="1" x14ac:dyDescent="0.35">
      <c r="L1139" s="11"/>
      <c r="M1139" s="11"/>
      <c r="N1139" s="11"/>
      <c r="O1139" s="11"/>
      <c r="P1139" s="11"/>
      <c r="Q1139" s="11"/>
      <c r="R1139" s="36"/>
      <c r="S1139" s="36"/>
      <c r="T1139" s="38"/>
      <c r="U1139" s="38"/>
      <c r="V1139" s="38"/>
      <c r="W1139" s="38"/>
    </row>
    <row r="1140" spans="12:23" s="12" customFormat="1" x14ac:dyDescent="0.35">
      <c r="L1140" s="11"/>
      <c r="M1140" s="11"/>
      <c r="N1140" s="11"/>
      <c r="O1140" s="11"/>
      <c r="P1140" s="11"/>
      <c r="Q1140" s="11"/>
      <c r="R1140" s="36"/>
      <c r="S1140" s="36"/>
      <c r="T1140" s="38"/>
      <c r="U1140" s="38"/>
      <c r="V1140" s="38"/>
      <c r="W1140" s="38"/>
    </row>
    <row r="1141" spans="12:23" s="12" customFormat="1" x14ac:dyDescent="0.35">
      <c r="L1141" s="11"/>
      <c r="M1141" s="11"/>
      <c r="N1141" s="11"/>
      <c r="O1141" s="11"/>
      <c r="P1141" s="11"/>
      <c r="Q1141" s="11"/>
      <c r="R1141" s="36"/>
      <c r="S1141" s="36"/>
      <c r="T1141" s="38"/>
      <c r="U1141" s="38"/>
      <c r="V1141" s="38"/>
      <c r="W1141" s="38"/>
    </row>
    <row r="1142" spans="12:23" s="12" customFormat="1" x14ac:dyDescent="0.35">
      <c r="L1142" s="11"/>
      <c r="M1142" s="11"/>
      <c r="N1142" s="11"/>
      <c r="O1142" s="11"/>
      <c r="P1142" s="11"/>
      <c r="Q1142" s="11"/>
      <c r="R1142" s="36"/>
      <c r="S1142" s="36"/>
      <c r="T1142" s="38"/>
      <c r="U1142" s="38"/>
      <c r="V1142" s="38"/>
      <c r="W1142" s="38"/>
    </row>
    <row r="1143" spans="12:23" s="12" customFormat="1" x14ac:dyDescent="0.35">
      <c r="L1143" s="11"/>
      <c r="M1143" s="11"/>
      <c r="N1143" s="11"/>
      <c r="O1143" s="11"/>
      <c r="P1143" s="11"/>
      <c r="Q1143" s="11"/>
      <c r="R1143" s="36"/>
      <c r="S1143" s="36"/>
      <c r="T1143" s="38"/>
      <c r="U1143" s="38"/>
      <c r="V1143" s="38"/>
      <c r="W1143" s="38"/>
    </row>
    <row r="1144" spans="12:23" s="12" customFormat="1" x14ac:dyDescent="0.35">
      <c r="L1144" s="11"/>
      <c r="M1144" s="11"/>
      <c r="N1144" s="11"/>
      <c r="O1144" s="11"/>
      <c r="P1144" s="11"/>
      <c r="Q1144" s="11"/>
      <c r="R1144" s="36"/>
      <c r="S1144" s="36"/>
      <c r="T1144" s="38"/>
      <c r="U1144" s="38"/>
      <c r="V1144" s="38"/>
      <c r="W1144" s="38"/>
    </row>
    <row r="1145" spans="12:23" s="12" customFormat="1" x14ac:dyDescent="0.35">
      <c r="L1145" s="11"/>
      <c r="M1145" s="11"/>
      <c r="N1145" s="11"/>
      <c r="O1145" s="11"/>
      <c r="P1145" s="11"/>
      <c r="Q1145" s="11"/>
      <c r="R1145" s="36"/>
      <c r="S1145" s="36"/>
      <c r="T1145" s="38"/>
      <c r="U1145" s="38"/>
      <c r="V1145" s="38"/>
      <c r="W1145" s="38"/>
    </row>
    <row r="1146" spans="12:23" s="12" customFormat="1" x14ac:dyDescent="0.35">
      <c r="L1146" s="11"/>
      <c r="M1146" s="11"/>
      <c r="N1146" s="11"/>
      <c r="O1146" s="11"/>
      <c r="P1146" s="11"/>
      <c r="Q1146" s="11"/>
      <c r="R1146" s="36"/>
      <c r="S1146" s="36"/>
      <c r="T1146" s="38"/>
      <c r="U1146" s="38"/>
      <c r="V1146" s="38"/>
      <c r="W1146" s="38"/>
    </row>
    <row r="1147" spans="12:23" s="12" customFormat="1" x14ac:dyDescent="0.35">
      <c r="L1147" s="11"/>
      <c r="M1147" s="11"/>
      <c r="N1147" s="11"/>
      <c r="O1147" s="11"/>
      <c r="P1147" s="11"/>
      <c r="Q1147" s="11"/>
      <c r="R1147" s="36"/>
      <c r="S1147" s="36"/>
      <c r="T1147" s="38"/>
      <c r="U1147" s="38"/>
      <c r="V1147" s="38"/>
      <c r="W1147" s="38"/>
    </row>
    <row r="1148" spans="12:23" s="12" customFormat="1" x14ac:dyDescent="0.35">
      <c r="L1148" s="11"/>
      <c r="M1148" s="11"/>
      <c r="N1148" s="11"/>
      <c r="O1148" s="11"/>
      <c r="P1148" s="11"/>
      <c r="Q1148" s="11"/>
      <c r="R1148" s="36"/>
      <c r="S1148" s="36"/>
      <c r="T1148" s="38"/>
      <c r="U1148" s="38"/>
      <c r="V1148" s="38"/>
      <c r="W1148" s="38"/>
    </row>
    <row r="1149" spans="12:23" s="12" customFormat="1" x14ac:dyDescent="0.35">
      <c r="L1149" s="11"/>
      <c r="M1149" s="11"/>
      <c r="N1149" s="11"/>
      <c r="O1149" s="11"/>
      <c r="P1149" s="11"/>
      <c r="Q1149" s="11"/>
      <c r="R1149" s="36"/>
      <c r="S1149" s="36"/>
      <c r="T1149" s="38"/>
      <c r="U1149" s="38"/>
      <c r="V1149" s="38"/>
      <c r="W1149" s="38"/>
    </row>
    <row r="1150" spans="12:23" s="12" customFormat="1" x14ac:dyDescent="0.35">
      <c r="L1150" s="11"/>
      <c r="M1150" s="11"/>
      <c r="N1150" s="11"/>
      <c r="O1150" s="11"/>
      <c r="P1150" s="11"/>
      <c r="Q1150" s="11"/>
      <c r="R1150" s="36"/>
      <c r="S1150" s="36"/>
      <c r="T1150" s="38"/>
      <c r="U1150" s="38"/>
      <c r="V1150" s="38"/>
      <c r="W1150" s="38"/>
    </row>
    <row r="1151" spans="12:23" s="12" customFormat="1" x14ac:dyDescent="0.35">
      <c r="L1151" s="11"/>
      <c r="M1151" s="11"/>
      <c r="N1151" s="11"/>
      <c r="O1151" s="11"/>
      <c r="P1151" s="11"/>
      <c r="Q1151" s="11"/>
      <c r="R1151" s="36"/>
      <c r="S1151" s="36"/>
      <c r="T1151" s="38"/>
      <c r="U1151" s="38"/>
      <c r="V1151" s="38"/>
      <c r="W1151" s="38"/>
    </row>
    <row r="1152" spans="12:23" s="12" customFormat="1" x14ac:dyDescent="0.35">
      <c r="L1152" s="11"/>
      <c r="M1152" s="11"/>
      <c r="N1152" s="11"/>
      <c r="O1152" s="11"/>
      <c r="P1152" s="11"/>
      <c r="Q1152" s="11"/>
      <c r="R1152" s="36"/>
      <c r="S1152" s="36"/>
      <c r="T1152" s="38"/>
      <c r="U1152" s="38"/>
      <c r="V1152" s="38"/>
      <c r="W1152" s="38"/>
    </row>
    <row r="1153" spans="12:23" s="12" customFormat="1" x14ac:dyDescent="0.35">
      <c r="L1153" s="11"/>
      <c r="M1153" s="11"/>
      <c r="N1153" s="11"/>
      <c r="O1153" s="11"/>
      <c r="P1153" s="11"/>
      <c r="Q1153" s="11"/>
      <c r="R1153" s="36"/>
      <c r="S1153" s="36"/>
      <c r="T1153" s="38"/>
      <c r="U1153" s="38"/>
      <c r="V1153" s="38"/>
      <c r="W1153" s="38"/>
    </row>
    <row r="1154" spans="12:23" s="12" customFormat="1" x14ac:dyDescent="0.35">
      <c r="L1154" s="11"/>
      <c r="M1154" s="11"/>
      <c r="N1154" s="11"/>
      <c r="O1154" s="11"/>
      <c r="P1154" s="11"/>
      <c r="Q1154" s="11"/>
      <c r="R1154" s="36"/>
      <c r="S1154" s="36"/>
      <c r="T1154" s="38"/>
      <c r="U1154" s="38"/>
      <c r="V1154" s="38"/>
      <c r="W1154" s="38"/>
    </row>
    <row r="1155" spans="12:23" s="12" customFormat="1" x14ac:dyDescent="0.35">
      <c r="L1155" s="11"/>
      <c r="M1155" s="11"/>
      <c r="N1155" s="11"/>
      <c r="O1155" s="11"/>
      <c r="P1155" s="11"/>
      <c r="Q1155" s="11"/>
      <c r="R1155" s="36"/>
      <c r="S1155" s="36"/>
      <c r="T1155" s="38"/>
      <c r="U1155" s="38"/>
      <c r="V1155" s="38"/>
      <c r="W1155" s="38"/>
    </row>
    <row r="1156" spans="12:23" s="12" customFormat="1" x14ac:dyDescent="0.35">
      <c r="L1156" s="11"/>
      <c r="M1156" s="11"/>
      <c r="N1156" s="11"/>
      <c r="O1156" s="11"/>
      <c r="P1156" s="11"/>
      <c r="Q1156" s="11"/>
      <c r="R1156" s="36"/>
      <c r="S1156" s="36"/>
      <c r="T1156" s="38"/>
      <c r="U1156" s="38"/>
      <c r="V1156" s="38"/>
      <c r="W1156" s="38"/>
    </row>
    <row r="1157" spans="12:23" s="12" customFormat="1" x14ac:dyDescent="0.35">
      <c r="L1157" s="11"/>
      <c r="M1157" s="11"/>
      <c r="N1157" s="11"/>
      <c r="O1157" s="11"/>
      <c r="P1157" s="11"/>
      <c r="Q1157" s="11"/>
      <c r="R1157" s="36"/>
      <c r="S1157" s="36"/>
      <c r="T1157" s="38"/>
      <c r="U1157" s="38"/>
      <c r="V1157" s="38"/>
      <c r="W1157" s="38"/>
    </row>
    <row r="1158" spans="12:23" s="12" customFormat="1" x14ac:dyDescent="0.35">
      <c r="L1158" s="11"/>
      <c r="M1158" s="11"/>
      <c r="N1158" s="11"/>
      <c r="O1158" s="11"/>
      <c r="P1158" s="11"/>
      <c r="Q1158" s="11"/>
      <c r="R1158" s="36"/>
      <c r="S1158" s="36"/>
      <c r="T1158" s="38"/>
      <c r="U1158" s="38"/>
      <c r="V1158" s="38"/>
      <c r="W1158" s="38"/>
    </row>
    <row r="1159" spans="12:23" s="12" customFormat="1" x14ac:dyDescent="0.35">
      <c r="L1159" s="11"/>
      <c r="M1159" s="11"/>
      <c r="N1159" s="11"/>
      <c r="O1159" s="11"/>
      <c r="P1159" s="11"/>
      <c r="Q1159" s="11"/>
      <c r="R1159" s="36"/>
      <c r="S1159" s="36"/>
      <c r="T1159" s="38"/>
      <c r="U1159" s="38"/>
      <c r="V1159" s="38"/>
      <c r="W1159" s="38"/>
    </row>
    <row r="1160" spans="12:23" s="12" customFormat="1" x14ac:dyDescent="0.35">
      <c r="L1160" s="11"/>
      <c r="M1160" s="11"/>
      <c r="N1160" s="11"/>
      <c r="O1160" s="11"/>
      <c r="P1160" s="11"/>
      <c r="Q1160" s="11"/>
      <c r="R1160" s="36"/>
      <c r="S1160" s="36"/>
      <c r="T1160" s="38"/>
      <c r="U1160" s="38"/>
      <c r="V1160" s="38"/>
      <c r="W1160" s="38"/>
    </row>
    <row r="1161" spans="12:23" s="12" customFormat="1" x14ac:dyDescent="0.35">
      <c r="L1161" s="11"/>
      <c r="M1161" s="11"/>
      <c r="N1161" s="11"/>
      <c r="O1161" s="11"/>
      <c r="P1161" s="11"/>
      <c r="Q1161" s="11"/>
      <c r="R1161" s="36"/>
      <c r="S1161" s="36"/>
      <c r="T1161" s="38"/>
      <c r="U1161" s="38"/>
      <c r="V1161" s="38"/>
      <c r="W1161" s="38"/>
    </row>
    <row r="1162" spans="12:23" s="12" customFormat="1" x14ac:dyDescent="0.35">
      <c r="L1162" s="11"/>
      <c r="M1162" s="11"/>
      <c r="N1162" s="11"/>
      <c r="O1162" s="11"/>
      <c r="P1162" s="11"/>
      <c r="Q1162" s="11"/>
      <c r="R1162" s="36"/>
      <c r="S1162" s="36"/>
      <c r="T1162" s="38"/>
      <c r="U1162" s="38"/>
      <c r="V1162" s="38"/>
      <c r="W1162" s="38"/>
    </row>
    <row r="1163" spans="12:23" s="12" customFormat="1" x14ac:dyDescent="0.35">
      <c r="L1163" s="11"/>
      <c r="M1163" s="11"/>
      <c r="N1163" s="11"/>
      <c r="O1163" s="11"/>
      <c r="P1163" s="11"/>
      <c r="Q1163" s="11"/>
      <c r="R1163" s="36"/>
      <c r="S1163" s="36"/>
      <c r="T1163" s="38"/>
      <c r="U1163" s="38"/>
      <c r="V1163" s="38"/>
      <c r="W1163" s="38"/>
    </row>
    <row r="1164" spans="12:23" s="12" customFormat="1" x14ac:dyDescent="0.35">
      <c r="L1164" s="11"/>
      <c r="M1164" s="11"/>
      <c r="N1164" s="11"/>
      <c r="O1164" s="11"/>
      <c r="P1164" s="11"/>
      <c r="Q1164" s="11"/>
      <c r="R1164" s="36"/>
      <c r="S1164" s="36"/>
      <c r="T1164" s="38"/>
      <c r="U1164" s="38"/>
      <c r="V1164" s="38"/>
      <c r="W1164" s="38"/>
    </row>
    <row r="1165" spans="12:23" s="12" customFormat="1" x14ac:dyDescent="0.35">
      <c r="L1165" s="11"/>
      <c r="M1165" s="11"/>
      <c r="N1165" s="11"/>
      <c r="O1165" s="11"/>
      <c r="P1165" s="11"/>
      <c r="Q1165" s="11"/>
      <c r="R1165" s="36"/>
      <c r="S1165" s="36"/>
      <c r="T1165" s="38"/>
      <c r="U1165" s="38"/>
      <c r="V1165" s="38"/>
      <c r="W1165" s="38"/>
    </row>
    <row r="1166" spans="12:23" s="12" customFormat="1" x14ac:dyDescent="0.35">
      <c r="L1166" s="11"/>
      <c r="M1166" s="11"/>
      <c r="N1166" s="11"/>
      <c r="O1166" s="11"/>
      <c r="P1166" s="11"/>
      <c r="Q1166" s="11"/>
      <c r="R1166" s="36"/>
      <c r="S1166" s="36"/>
      <c r="T1166" s="38"/>
      <c r="U1166" s="38"/>
      <c r="V1166" s="38"/>
      <c r="W1166" s="38"/>
    </row>
    <row r="1167" spans="12:23" s="12" customFormat="1" x14ac:dyDescent="0.35">
      <c r="L1167" s="11"/>
      <c r="M1167" s="11"/>
      <c r="N1167" s="11"/>
      <c r="O1167" s="11"/>
      <c r="P1167" s="11"/>
      <c r="Q1167" s="11"/>
      <c r="R1167" s="36"/>
      <c r="S1167" s="36"/>
      <c r="T1167" s="38"/>
      <c r="U1167" s="38"/>
      <c r="V1167" s="38"/>
      <c r="W1167" s="38"/>
    </row>
    <row r="1168" spans="12:23" s="12" customFormat="1" x14ac:dyDescent="0.35">
      <c r="L1168" s="11"/>
      <c r="M1168" s="11"/>
      <c r="N1168" s="11"/>
      <c r="O1168" s="11"/>
      <c r="P1168" s="11"/>
      <c r="Q1168" s="11"/>
      <c r="R1168" s="36"/>
      <c r="S1168" s="36"/>
      <c r="T1168" s="38"/>
      <c r="U1168" s="38"/>
      <c r="V1168" s="38"/>
      <c r="W1168" s="38"/>
    </row>
    <row r="1169" spans="12:23" s="12" customFormat="1" x14ac:dyDescent="0.35">
      <c r="L1169" s="11"/>
      <c r="M1169" s="11"/>
      <c r="N1169" s="11"/>
      <c r="O1169" s="11"/>
      <c r="P1169" s="11"/>
      <c r="Q1169" s="11"/>
      <c r="R1169" s="36"/>
      <c r="S1169" s="36"/>
      <c r="T1169" s="38"/>
      <c r="U1169" s="38"/>
      <c r="V1169" s="38"/>
      <c r="W1169" s="38"/>
    </row>
    <row r="1170" spans="12:23" s="12" customFormat="1" x14ac:dyDescent="0.35">
      <c r="L1170" s="11"/>
      <c r="M1170" s="11"/>
      <c r="N1170" s="11"/>
      <c r="O1170" s="11"/>
      <c r="P1170" s="11"/>
      <c r="Q1170" s="11"/>
      <c r="R1170" s="36"/>
      <c r="S1170" s="36"/>
      <c r="T1170" s="38"/>
      <c r="U1170" s="38"/>
      <c r="V1170" s="38"/>
      <c r="W1170" s="38"/>
    </row>
    <row r="1171" spans="12:23" s="12" customFormat="1" x14ac:dyDescent="0.35">
      <c r="L1171" s="11"/>
      <c r="M1171" s="11"/>
      <c r="N1171" s="11"/>
      <c r="O1171" s="11"/>
      <c r="P1171" s="11"/>
      <c r="Q1171" s="11"/>
      <c r="R1171" s="36"/>
      <c r="S1171" s="36"/>
      <c r="T1171" s="38"/>
      <c r="U1171" s="38"/>
      <c r="V1171" s="38"/>
      <c r="W1171" s="38"/>
    </row>
    <row r="1172" spans="12:23" s="12" customFormat="1" x14ac:dyDescent="0.35">
      <c r="L1172" s="11"/>
      <c r="M1172" s="11"/>
      <c r="N1172" s="11"/>
      <c r="O1172" s="11"/>
      <c r="P1172" s="11"/>
      <c r="Q1172" s="11"/>
      <c r="R1172" s="36"/>
      <c r="S1172" s="36"/>
      <c r="T1172" s="38"/>
      <c r="U1172" s="38"/>
      <c r="V1172" s="38"/>
      <c r="W1172" s="38"/>
    </row>
    <row r="1173" spans="12:23" s="12" customFormat="1" x14ac:dyDescent="0.35">
      <c r="L1173" s="11"/>
      <c r="M1173" s="11"/>
      <c r="N1173" s="11"/>
      <c r="O1173" s="11"/>
      <c r="P1173" s="11"/>
      <c r="Q1173" s="11"/>
      <c r="R1173" s="36"/>
      <c r="S1173" s="36"/>
      <c r="T1173" s="38"/>
      <c r="U1173" s="38"/>
      <c r="V1173" s="38"/>
      <c r="W1173" s="38"/>
    </row>
    <row r="1174" spans="12:23" s="12" customFormat="1" x14ac:dyDescent="0.35">
      <c r="L1174" s="11"/>
      <c r="M1174" s="11"/>
      <c r="N1174" s="11"/>
      <c r="O1174" s="11"/>
      <c r="P1174" s="11"/>
      <c r="Q1174" s="11"/>
      <c r="R1174" s="36"/>
      <c r="S1174" s="36"/>
      <c r="T1174" s="38"/>
      <c r="U1174" s="38"/>
      <c r="V1174" s="38"/>
      <c r="W1174" s="38"/>
    </row>
    <row r="1175" spans="12:23" s="12" customFormat="1" x14ac:dyDescent="0.35">
      <c r="L1175" s="11"/>
      <c r="M1175" s="11"/>
      <c r="N1175" s="11"/>
      <c r="O1175" s="11"/>
      <c r="P1175" s="11"/>
      <c r="Q1175" s="11"/>
      <c r="R1175" s="36"/>
      <c r="S1175" s="36"/>
      <c r="T1175" s="38"/>
      <c r="U1175" s="38"/>
      <c r="V1175" s="38"/>
      <c r="W1175" s="38"/>
    </row>
    <row r="1176" spans="12:23" s="12" customFormat="1" x14ac:dyDescent="0.35">
      <c r="L1176" s="11"/>
      <c r="M1176" s="11"/>
      <c r="N1176" s="11"/>
      <c r="O1176" s="11"/>
      <c r="P1176" s="11"/>
      <c r="Q1176" s="11"/>
      <c r="R1176" s="36"/>
      <c r="S1176" s="36"/>
      <c r="T1176" s="38"/>
      <c r="U1176" s="38"/>
      <c r="V1176" s="38"/>
      <c r="W1176" s="38"/>
    </row>
    <row r="1177" spans="12:23" s="12" customFormat="1" x14ac:dyDescent="0.35">
      <c r="L1177" s="11"/>
      <c r="M1177" s="11"/>
      <c r="N1177" s="11"/>
      <c r="O1177" s="11"/>
      <c r="P1177" s="11"/>
      <c r="Q1177" s="11"/>
      <c r="R1177" s="36"/>
      <c r="S1177" s="36"/>
      <c r="T1177" s="38"/>
      <c r="U1177" s="38"/>
      <c r="V1177" s="38"/>
      <c r="W1177" s="38"/>
    </row>
    <row r="1178" spans="12:23" s="12" customFormat="1" x14ac:dyDescent="0.35">
      <c r="L1178" s="11"/>
      <c r="M1178" s="11"/>
      <c r="N1178" s="11"/>
      <c r="O1178" s="11"/>
      <c r="P1178" s="11"/>
      <c r="Q1178" s="11"/>
      <c r="R1178" s="36"/>
      <c r="S1178" s="36"/>
      <c r="T1178" s="38"/>
      <c r="U1178" s="38"/>
      <c r="V1178" s="38"/>
      <c r="W1178" s="38"/>
    </row>
    <row r="1179" spans="12:23" s="12" customFormat="1" x14ac:dyDescent="0.35">
      <c r="L1179" s="11"/>
      <c r="M1179" s="11"/>
      <c r="N1179" s="11"/>
      <c r="O1179" s="11"/>
      <c r="P1179" s="11"/>
      <c r="Q1179" s="11"/>
      <c r="R1179" s="36"/>
      <c r="S1179" s="36"/>
      <c r="T1179" s="38"/>
      <c r="U1179" s="38"/>
      <c r="V1179" s="38"/>
      <c r="W1179" s="38"/>
    </row>
    <row r="1180" spans="12:23" s="12" customFormat="1" x14ac:dyDescent="0.35">
      <c r="L1180" s="11"/>
      <c r="M1180" s="11"/>
      <c r="N1180" s="11"/>
      <c r="O1180" s="11"/>
      <c r="P1180" s="11"/>
      <c r="Q1180" s="11"/>
      <c r="R1180" s="36"/>
      <c r="S1180" s="36"/>
      <c r="T1180" s="38"/>
      <c r="U1180" s="38"/>
      <c r="V1180" s="38"/>
      <c r="W1180" s="38"/>
    </row>
    <row r="1181" spans="12:23" s="12" customFormat="1" x14ac:dyDescent="0.35">
      <c r="L1181" s="11"/>
      <c r="M1181" s="11"/>
      <c r="N1181" s="11"/>
      <c r="O1181" s="11"/>
      <c r="P1181" s="11"/>
      <c r="Q1181" s="11"/>
      <c r="R1181" s="36"/>
      <c r="S1181" s="36"/>
      <c r="T1181" s="38"/>
      <c r="U1181" s="38"/>
      <c r="V1181" s="38"/>
      <c r="W1181" s="38"/>
    </row>
    <row r="1182" spans="12:23" s="12" customFormat="1" x14ac:dyDescent="0.35">
      <c r="L1182" s="11"/>
      <c r="M1182" s="11"/>
      <c r="N1182" s="11"/>
      <c r="O1182" s="11"/>
      <c r="P1182" s="11"/>
      <c r="Q1182" s="11"/>
      <c r="R1182" s="36"/>
      <c r="S1182" s="36"/>
      <c r="T1182" s="38"/>
      <c r="U1182" s="38"/>
      <c r="V1182" s="38"/>
      <c r="W1182" s="38"/>
    </row>
    <row r="1183" spans="12:23" s="12" customFormat="1" x14ac:dyDescent="0.35">
      <c r="L1183" s="11"/>
      <c r="M1183" s="11"/>
      <c r="N1183" s="11"/>
      <c r="O1183" s="11"/>
      <c r="P1183" s="11"/>
      <c r="Q1183" s="11"/>
      <c r="R1183" s="36"/>
      <c r="S1183" s="36"/>
      <c r="T1183" s="38"/>
      <c r="U1183" s="38"/>
      <c r="V1183" s="38"/>
      <c r="W1183" s="38"/>
    </row>
    <row r="1184" spans="12:23" s="12" customFormat="1" x14ac:dyDescent="0.35">
      <c r="L1184" s="11"/>
      <c r="M1184" s="11"/>
      <c r="N1184" s="11"/>
      <c r="O1184" s="11"/>
      <c r="P1184" s="11"/>
      <c r="Q1184" s="11"/>
      <c r="R1184" s="36"/>
      <c r="S1184" s="36"/>
      <c r="T1184" s="38"/>
      <c r="U1184" s="38"/>
      <c r="V1184" s="38"/>
      <c r="W1184" s="38"/>
    </row>
    <row r="1185" spans="12:23" s="12" customFormat="1" x14ac:dyDescent="0.35">
      <c r="L1185" s="11"/>
      <c r="M1185" s="11"/>
      <c r="N1185" s="11"/>
      <c r="O1185" s="11"/>
      <c r="P1185" s="11"/>
      <c r="Q1185" s="11"/>
      <c r="R1185" s="36"/>
      <c r="S1185" s="36"/>
      <c r="T1185" s="38"/>
      <c r="U1185" s="38"/>
      <c r="V1185" s="38"/>
      <c r="W1185" s="38"/>
    </row>
    <row r="1186" spans="12:23" s="12" customFormat="1" x14ac:dyDescent="0.35">
      <c r="L1186" s="11"/>
      <c r="M1186" s="11"/>
      <c r="N1186" s="11"/>
      <c r="O1186" s="11"/>
      <c r="P1186" s="11"/>
      <c r="Q1186" s="11"/>
      <c r="R1186" s="36"/>
      <c r="S1186" s="36"/>
      <c r="T1186" s="38"/>
      <c r="U1186" s="38"/>
      <c r="V1186" s="38"/>
      <c r="W1186" s="38"/>
    </row>
    <row r="1187" spans="12:23" s="12" customFormat="1" x14ac:dyDescent="0.35">
      <c r="L1187" s="11"/>
      <c r="M1187" s="11"/>
      <c r="N1187" s="11"/>
      <c r="O1187" s="11"/>
      <c r="P1187" s="11"/>
      <c r="Q1187" s="11"/>
      <c r="R1187" s="36"/>
      <c r="S1187" s="36"/>
      <c r="T1187" s="38"/>
      <c r="U1187" s="38"/>
      <c r="V1187" s="38"/>
      <c r="W1187" s="38"/>
    </row>
    <row r="1188" spans="12:23" s="12" customFormat="1" x14ac:dyDescent="0.35">
      <c r="L1188" s="11"/>
      <c r="M1188" s="11"/>
      <c r="N1188" s="11"/>
      <c r="O1188" s="11"/>
      <c r="P1188" s="11"/>
      <c r="Q1188" s="11"/>
      <c r="R1188" s="36"/>
      <c r="S1188" s="36"/>
      <c r="T1188" s="38"/>
      <c r="U1188" s="38"/>
      <c r="V1188" s="38"/>
      <c r="W1188" s="38"/>
    </row>
    <row r="1189" spans="12:23" s="12" customFormat="1" x14ac:dyDescent="0.35">
      <c r="L1189" s="11"/>
      <c r="M1189" s="11"/>
      <c r="N1189" s="11"/>
      <c r="O1189" s="11"/>
      <c r="P1189" s="11"/>
      <c r="Q1189" s="11"/>
      <c r="R1189" s="36"/>
      <c r="S1189" s="36"/>
      <c r="T1189" s="38"/>
      <c r="U1189" s="38"/>
      <c r="V1189" s="38"/>
      <c r="W1189" s="38"/>
    </row>
    <row r="1190" spans="12:23" s="12" customFormat="1" x14ac:dyDescent="0.35">
      <c r="L1190" s="11"/>
      <c r="M1190" s="11"/>
      <c r="N1190" s="11"/>
      <c r="O1190" s="11"/>
      <c r="P1190" s="11"/>
      <c r="Q1190" s="11"/>
      <c r="R1190" s="36"/>
      <c r="S1190" s="36"/>
      <c r="T1190" s="38"/>
      <c r="U1190" s="38"/>
      <c r="V1190" s="38"/>
      <c r="W1190" s="38"/>
    </row>
    <row r="1191" spans="12:23" s="12" customFormat="1" x14ac:dyDescent="0.35">
      <c r="L1191" s="11"/>
      <c r="M1191" s="11"/>
      <c r="N1191" s="11"/>
      <c r="O1191" s="11"/>
      <c r="P1191" s="11"/>
      <c r="Q1191" s="11"/>
      <c r="R1191" s="36"/>
      <c r="S1191" s="36"/>
      <c r="T1191" s="38"/>
      <c r="U1191" s="38"/>
      <c r="V1191" s="38"/>
      <c r="W1191" s="38"/>
    </row>
    <row r="1192" spans="12:23" s="12" customFormat="1" x14ac:dyDescent="0.35">
      <c r="L1192" s="11"/>
      <c r="M1192" s="11"/>
      <c r="N1192" s="11"/>
      <c r="O1192" s="11"/>
      <c r="P1192" s="11"/>
      <c r="Q1192" s="11"/>
      <c r="R1192" s="36"/>
      <c r="S1192" s="36"/>
      <c r="T1192" s="38"/>
      <c r="U1192" s="38"/>
      <c r="V1192" s="38"/>
      <c r="W1192" s="38"/>
    </row>
    <row r="1193" spans="12:23" s="12" customFormat="1" x14ac:dyDescent="0.35">
      <c r="L1193" s="11"/>
      <c r="M1193" s="11"/>
      <c r="N1193" s="11"/>
      <c r="O1193" s="11"/>
      <c r="P1193" s="11"/>
      <c r="Q1193" s="11"/>
      <c r="R1193" s="36"/>
      <c r="S1193" s="36"/>
      <c r="T1193" s="38"/>
      <c r="U1193" s="38"/>
      <c r="V1193" s="38"/>
      <c r="W1193" s="38"/>
    </row>
    <row r="1194" spans="12:23" s="12" customFormat="1" x14ac:dyDescent="0.35">
      <c r="L1194" s="11"/>
      <c r="M1194" s="11"/>
      <c r="N1194" s="11"/>
      <c r="O1194" s="11"/>
      <c r="P1194" s="11"/>
      <c r="Q1194" s="11"/>
      <c r="R1194" s="36"/>
      <c r="S1194" s="36"/>
      <c r="T1194" s="38"/>
      <c r="U1194" s="38"/>
      <c r="V1194" s="38"/>
      <c r="W1194" s="38"/>
    </row>
    <row r="1195" spans="12:23" s="12" customFormat="1" x14ac:dyDescent="0.35">
      <c r="L1195" s="11"/>
      <c r="M1195" s="11"/>
      <c r="N1195" s="11"/>
      <c r="O1195" s="11"/>
      <c r="P1195" s="11"/>
      <c r="Q1195" s="11"/>
      <c r="R1195" s="36"/>
      <c r="S1195" s="36"/>
      <c r="T1195" s="38"/>
      <c r="U1195" s="38"/>
      <c r="V1195" s="38"/>
      <c r="W1195" s="38"/>
    </row>
    <row r="1196" spans="12:23" s="12" customFormat="1" x14ac:dyDescent="0.35">
      <c r="L1196" s="11"/>
      <c r="M1196" s="11"/>
      <c r="N1196" s="11"/>
      <c r="O1196" s="11"/>
      <c r="P1196" s="11"/>
      <c r="Q1196" s="11"/>
      <c r="R1196" s="36"/>
      <c r="S1196" s="36"/>
      <c r="T1196" s="38"/>
      <c r="U1196" s="38"/>
      <c r="V1196" s="38"/>
      <c r="W1196" s="38"/>
    </row>
    <row r="1197" spans="12:23" s="12" customFormat="1" x14ac:dyDescent="0.35">
      <c r="L1197" s="11"/>
      <c r="M1197" s="11"/>
      <c r="N1197" s="11"/>
      <c r="O1197" s="11"/>
      <c r="P1197" s="11"/>
      <c r="Q1197" s="11"/>
      <c r="R1197" s="36"/>
      <c r="S1197" s="36"/>
      <c r="T1197" s="38"/>
      <c r="U1197" s="38"/>
      <c r="V1197" s="38"/>
      <c r="W1197" s="38"/>
    </row>
    <row r="1198" spans="12:23" s="12" customFormat="1" x14ac:dyDescent="0.35">
      <c r="L1198" s="11"/>
      <c r="M1198" s="11"/>
      <c r="N1198" s="11"/>
      <c r="O1198" s="11"/>
      <c r="P1198" s="11"/>
      <c r="Q1198" s="11"/>
      <c r="R1198" s="36"/>
      <c r="S1198" s="36"/>
      <c r="T1198" s="38"/>
      <c r="U1198" s="38"/>
      <c r="V1198" s="38"/>
      <c r="W1198" s="38"/>
    </row>
    <row r="1199" spans="12:23" s="12" customFormat="1" x14ac:dyDescent="0.35">
      <c r="L1199" s="11"/>
      <c r="M1199" s="11"/>
      <c r="N1199" s="11"/>
      <c r="O1199" s="11"/>
      <c r="P1199" s="11"/>
      <c r="Q1199" s="11"/>
      <c r="R1199" s="36"/>
      <c r="S1199" s="36"/>
      <c r="T1199" s="38"/>
      <c r="U1199" s="38"/>
      <c r="V1199" s="38"/>
      <c r="W1199" s="38"/>
    </row>
    <row r="1200" spans="12:23" s="12" customFormat="1" x14ac:dyDescent="0.35">
      <c r="L1200" s="11"/>
      <c r="M1200" s="11"/>
      <c r="N1200" s="11"/>
      <c r="O1200" s="11"/>
      <c r="P1200" s="11"/>
      <c r="Q1200" s="11"/>
      <c r="R1200" s="36"/>
      <c r="S1200" s="36"/>
      <c r="T1200" s="38"/>
      <c r="U1200" s="38"/>
      <c r="V1200" s="38"/>
      <c r="W1200" s="38"/>
    </row>
    <row r="1201" spans="12:23" s="12" customFormat="1" x14ac:dyDescent="0.35">
      <c r="L1201" s="11"/>
      <c r="M1201" s="11"/>
      <c r="N1201" s="11"/>
      <c r="O1201" s="11"/>
      <c r="P1201" s="11"/>
      <c r="Q1201" s="11"/>
      <c r="R1201" s="36"/>
      <c r="S1201" s="36"/>
      <c r="T1201" s="38"/>
      <c r="U1201" s="38"/>
      <c r="V1201" s="38"/>
      <c r="W1201" s="38"/>
    </row>
    <row r="1202" spans="12:23" s="12" customFormat="1" x14ac:dyDescent="0.35">
      <c r="L1202" s="11"/>
      <c r="M1202" s="11"/>
      <c r="N1202" s="11"/>
      <c r="O1202" s="11"/>
      <c r="P1202" s="11"/>
      <c r="Q1202" s="11"/>
      <c r="R1202" s="36"/>
      <c r="S1202" s="36"/>
      <c r="T1202" s="38"/>
      <c r="U1202" s="38"/>
      <c r="V1202" s="38"/>
      <c r="W1202" s="38"/>
    </row>
    <row r="1203" spans="12:23" s="12" customFormat="1" x14ac:dyDescent="0.35">
      <c r="L1203" s="11"/>
      <c r="M1203" s="11"/>
      <c r="N1203" s="11"/>
      <c r="O1203" s="11"/>
      <c r="P1203" s="11"/>
      <c r="Q1203" s="11"/>
      <c r="R1203" s="36"/>
      <c r="S1203" s="36"/>
      <c r="T1203" s="38"/>
      <c r="U1203" s="38"/>
      <c r="V1203" s="38"/>
      <c r="W1203" s="38"/>
    </row>
    <row r="1204" spans="12:23" s="12" customFormat="1" x14ac:dyDescent="0.35">
      <c r="L1204" s="11"/>
      <c r="M1204" s="11"/>
      <c r="N1204" s="11"/>
      <c r="O1204" s="11"/>
      <c r="P1204" s="11"/>
      <c r="Q1204" s="11"/>
      <c r="R1204" s="36"/>
      <c r="S1204" s="36"/>
      <c r="T1204" s="38"/>
      <c r="U1204" s="38"/>
      <c r="V1204" s="38"/>
      <c r="W1204" s="38"/>
    </row>
    <row r="1205" spans="12:23" s="12" customFormat="1" x14ac:dyDescent="0.35">
      <c r="L1205" s="11"/>
      <c r="M1205" s="11"/>
      <c r="N1205" s="11"/>
      <c r="O1205" s="11"/>
      <c r="P1205" s="11"/>
      <c r="Q1205" s="11"/>
      <c r="R1205" s="36"/>
      <c r="S1205" s="36"/>
      <c r="T1205" s="38"/>
      <c r="U1205" s="38"/>
      <c r="V1205" s="38"/>
      <c r="W1205" s="38"/>
    </row>
    <row r="1206" spans="12:23" s="12" customFormat="1" x14ac:dyDescent="0.35">
      <c r="L1206" s="11"/>
      <c r="M1206" s="11"/>
      <c r="N1206" s="11"/>
      <c r="O1206" s="11"/>
      <c r="P1206" s="11"/>
      <c r="Q1206" s="11"/>
      <c r="R1206" s="36"/>
      <c r="S1206" s="36"/>
      <c r="T1206" s="38"/>
      <c r="U1206" s="38"/>
      <c r="V1206" s="38"/>
      <c r="W1206" s="38"/>
    </row>
    <row r="1207" spans="12:23" s="12" customFormat="1" x14ac:dyDescent="0.35">
      <c r="L1207" s="11"/>
      <c r="M1207" s="11"/>
      <c r="N1207" s="11"/>
      <c r="O1207" s="11"/>
      <c r="P1207" s="11"/>
      <c r="Q1207" s="11"/>
      <c r="R1207" s="36"/>
      <c r="S1207" s="36"/>
      <c r="T1207" s="38"/>
      <c r="U1207" s="38"/>
      <c r="V1207" s="38"/>
      <c r="W1207" s="38"/>
    </row>
    <row r="1208" spans="12:23" s="12" customFormat="1" x14ac:dyDescent="0.35">
      <c r="L1208" s="11"/>
      <c r="M1208" s="11"/>
      <c r="N1208" s="11"/>
      <c r="O1208" s="11"/>
      <c r="P1208" s="11"/>
      <c r="Q1208" s="11"/>
      <c r="R1208" s="36"/>
      <c r="S1208" s="36"/>
      <c r="T1208" s="38"/>
      <c r="U1208" s="38"/>
      <c r="V1208" s="38"/>
      <c r="W1208" s="38"/>
    </row>
    <row r="1209" spans="12:23" s="12" customFormat="1" x14ac:dyDescent="0.35">
      <c r="L1209" s="11"/>
      <c r="M1209" s="11"/>
      <c r="N1209" s="11"/>
      <c r="O1209" s="11"/>
      <c r="P1209" s="11"/>
      <c r="Q1209" s="11"/>
      <c r="R1209" s="36"/>
      <c r="S1209" s="36"/>
      <c r="T1209" s="38"/>
      <c r="U1209" s="38"/>
      <c r="V1209" s="38"/>
      <c r="W1209" s="38"/>
    </row>
    <row r="1210" spans="12:23" s="12" customFormat="1" x14ac:dyDescent="0.35">
      <c r="L1210" s="11"/>
      <c r="M1210" s="11"/>
      <c r="N1210" s="11"/>
      <c r="O1210" s="11"/>
      <c r="P1210" s="11"/>
      <c r="Q1210" s="11"/>
      <c r="R1210" s="36"/>
      <c r="S1210" s="36"/>
      <c r="T1210" s="38"/>
      <c r="U1210" s="38"/>
      <c r="V1210" s="38"/>
      <c r="W1210" s="38"/>
    </row>
    <row r="1211" spans="12:23" s="12" customFormat="1" x14ac:dyDescent="0.35">
      <c r="L1211" s="11"/>
      <c r="M1211" s="11"/>
      <c r="N1211" s="11"/>
      <c r="O1211" s="11"/>
      <c r="P1211" s="11"/>
      <c r="Q1211" s="11"/>
      <c r="R1211" s="36"/>
      <c r="S1211" s="36"/>
      <c r="T1211" s="38"/>
      <c r="U1211" s="38"/>
      <c r="V1211" s="38"/>
      <c r="W1211" s="38"/>
    </row>
    <row r="1212" spans="12:23" s="12" customFormat="1" x14ac:dyDescent="0.35">
      <c r="L1212" s="11"/>
      <c r="M1212" s="11"/>
      <c r="N1212" s="11"/>
      <c r="O1212" s="11"/>
      <c r="P1212" s="11"/>
      <c r="Q1212" s="11"/>
      <c r="R1212" s="36"/>
      <c r="S1212" s="36"/>
      <c r="T1212" s="38"/>
      <c r="U1212" s="38"/>
      <c r="V1212" s="38"/>
      <c r="W1212" s="38"/>
    </row>
    <row r="1213" spans="12:23" s="12" customFormat="1" x14ac:dyDescent="0.35">
      <c r="L1213" s="11"/>
      <c r="M1213" s="11"/>
      <c r="N1213" s="11"/>
      <c r="O1213" s="11"/>
      <c r="P1213" s="11"/>
      <c r="Q1213" s="11"/>
      <c r="R1213" s="36"/>
      <c r="S1213" s="36"/>
      <c r="T1213" s="38"/>
      <c r="U1213" s="38"/>
      <c r="V1213" s="38"/>
      <c r="W1213" s="38"/>
    </row>
    <row r="1214" spans="12:23" s="12" customFormat="1" x14ac:dyDescent="0.35">
      <c r="L1214" s="11"/>
      <c r="M1214" s="11"/>
      <c r="N1214" s="11"/>
      <c r="O1214" s="11"/>
      <c r="P1214" s="11"/>
      <c r="Q1214" s="11"/>
      <c r="R1214" s="36"/>
      <c r="S1214" s="36"/>
      <c r="T1214" s="38"/>
      <c r="U1214" s="38"/>
      <c r="V1214" s="38"/>
      <c r="W1214" s="38"/>
    </row>
    <row r="1215" spans="12:23" s="12" customFormat="1" x14ac:dyDescent="0.35">
      <c r="L1215" s="11"/>
      <c r="M1215" s="11"/>
      <c r="N1215" s="11"/>
      <c r="O1215" s="11"/>
      <c r="P1215" s="11"/>
      <c r="Q1215" s="11"/>
      <c r="R1215" s="36"/>
      <c r="S1215" s="36"/>
      <c r="T1215" s="38"/>
      <c r="U1215" s="38"/>
      <c r="V1215" s="38"/>
      <c r="W1215" s="38"/>
    </row>
    <row r="1216" spans="12:23" s="12" customFormat="1" x14ac:dyDescent="0.35">
      <c r="L1216" s="11"/>
      <c r="M1216" s="11"/>
      <c r="N1216" s="11"/>
      <c r="O1216" s="11"/>
      <c r="P1216" s="11"/>
      <c r="Q1216" s="11"/>
      <c r="R1216" s="36"/>
      <c r="S1216" s="36"/>
      <c r="T1216" s="38"/>
      <c r="U1216" s="38"/>
      <c r="V1216" s="38"/>
      <c r="W1216" s="38"/>
    </row>
    <row r="1217" spans="12:23" s="12" customFormat="1" x14ac:dyDescent="0.35">
      <c r="L1217" s="11"/>
      <c r="M1217" s="11"/>
      <c r="N1217" s="11"/>
      <c r="O1217" s="11"/>
      <c r="P1217" s="11"/>
      <c r="Q1217" s="11"/>
      <c r="R1217" s="36"/>
      <c r="S1217" s="36"/>
      <c r="T1217" s="38"/>
      <c r="U1217" s="38"/>
      <c r="V1217" s="38"/>
      <c r="W1217" s="38"/>
    </row>
    <row r="1218" spans="12:23" s="12" customFormat="1" x14ac:dyDescent="0.35">
      <c r="L1218" s="11"/>
      <c r="M1218" s="11"/>
      <c r="N1218" s="11"/>
      <c r="O1218" s="11"/>
      <c r="P1218" s="11"/>
      <c r="Q1218" s="11"/>
      <c r="R1218" s="36"/>
      <c r="S1218" s="36"/>
      <c r="T1218" s="38"/>
      <c r="U1218" s="38"/>
      <c r="V1218" s="38"/>
      <c r="W1218" s="38"/>
    </row>
    <row r="1219" spans="12:23" s="12" customFormat="1" x14ac:dyDescent="0.35">
      <c r="L1219" s="11"/>
      <c r="M1219" s="11"/>
      <c r="N1219" s="11"/>
      <c r="O1219" s="11"/>
      <c r="P1219" s="11"/>
      <c r="Q1219" s="11"/>
      <c r="R1219" s="36"/>
      <c r="S1219" s="36"/>
      <c r="T1219" s="38"/>
      <c r="U1219" s="38"/>
      <c r="V1219" s="38"/>
      <c r="W1219" s="38"/>
    </row>
    <row r="1220" spans="12:23" s="12" customFormat="1" x14ac:dyDescent="0.35">
      <c r="L1220" s="11"/>
      <c r="M1220" s="11"/>
      <c r="N1220" s="11"/>
      <c r="O1220" s="11"/>
      <c r="P1220" s="11"/>
      <c r="Q1220" s="11"/>
      <c r="R1220" s="36"/>
      <c r="S1220" s="36"/>
      <c r="T1220" s="38"/>
      <c r="U1220" s="38"/>
      <c r="V1220" s="38"/>
      <c r="W1220" s="38"/>
    </row>
    <row r="1221" spans="12:23" s="12" customFormat="1" x14ac:dyDescent="0.35">
      <c r="L1221" s="11"/>
      <c r="M1221" s="11"/>
      <c r="N1221" s="11"/>
      <c r="O1221" s="11"/>
      <c r="P1221" s="11"/>
      <c r="Q1221" s="11"/>
      <c r="R1221" s="36"/>
      <c r="S1221" s="36"/>
      <c r="T1221" s="38"/>
      <c r="U1221" s="38"/>
      <c r="V1221" s="38"/>
      <c r="W1221" s="38"/>
    </row>
    <row r="1222" spans="12:23" s="12" customFormat="1" x14ac:dyDescent="0.35">
      <c r="L1222" s="11"/>
      <c r="M1222" s="11"/>
      <c r="N1222" s="11"/>
      <c r="O1222" s="11"/>
      <c r="P1222" s="11"/>
      <c r="Q1222" s="11"/>
      <c r="R1222" s="36"/>
      <c r="S1222" s="36"/>
      <c r="T1222" s="38"/>
      <c r="U1222" s="38"/>
      <c r="V1222" s="38"/>
      <c r="W1222" s="38"/>
    </row>
    <row r="1223" spans="12:23" s="12" customFormat="1" x14ac:dyDescent="0.35">
      <c r="L1223" s="11"/>
      <c r="M1223" s="11"/>
      <c r="N1223" s="11"/>
      <c r="O1223" s="11"/>
      <c r="P1223" s="11"/>
      <c r="Q1223" s="11"/>
      <c r="R1223" s="36"/>
      <c r="S1223" s="36"/>
      <c r="T1223" s="38"/>
      <c r="U1223" s="38"/>
      <c r="V1223" s="38"/>
      <c r="W1223" s="38"/>
    </row>
    <row r="1224" spans="12:23" s="12" customFormat="1" x14ac:dyDescent="0.35">
      <c r="L1224" s="11"/>
      <c r="M1224" s="11"/>
      <c r="N1224" s="11"/>
      <c r="O1224" s="11"/>
      <c r="P1224" s="11"/>
      <c r="Q1224" s="11"/>
      <c r="R1224" s="36"/>
      <c r="S1224" s="36"/>
      <c r="T1224" s="38"/>
      <c r="U1224" s="38"/>
      <c r="V1224" s="38"/>
      <c r="W1224" s="38"/>
    </row>
    <row r="1225" spans="12:23" s="12" customFormat="1" x14ac:dyDescent="0.35">
      <c r="L1225" s="11"/>
      <c r="M1225" s="11"/>
      <c r="N1225" s="11"/>
      <c r="O1225" s="11"/>
      <c r="P1225" s="11"/>
      <c r="Q1225" s="11"/>
      <c r="R1225" s="36"/>
      <c r="S1225" s="36"/>
      <c r="T1225" s="38"/>
      <c r="U1225" s="38"/>
      <c r="V1225" s="38"/>
      <c r="W1225" s="38"/>
    </row>
    <row r="1226" spans="12:23" s="12" customFormat="1" x14ac:dyDescent="0.35">
      <c r="L1226" s="11"/>
      <c r="M1226" s="11"/>
      <c r="N1226" s="11"/>
      <c r="O1226" s="11"/>
      <c r="P1226" s="11"/>
      <c r="Q1226" s="11"/>
      <c r="R1226" s="36"/>
      <c r="S1226" s="36"/>
      <c r="T1226" s="38"/>
      <c r="U1226" s="38"/>
      <c r="V1226" s="38"/>
      <c r="W1226" s="38"/>
    </row>
    <row r="1227" spans="12:23" s="12" customFormat="1" x14ac:dyDescent="0.35">
      <c r="L1227" s="11"/>
      <c r="M1227" s="11"/>
      <c r="N1227" s="11"/>
      <c r="O1227" s="11"/>
      <c r="P1227" s="11"/>
      <c r="Q1227" s="11"/>
      <c r="R1227" s="36"/>
      <c r="S1227" s="36"/>
      <c r="T1227" s="38"/>
      <c r="U1227" s="38"/>
      <c r="V1227" s="38"/>
      <c r="W1227" s="38"/>
    </row>
    <row r="1228" spans="12:23" s="12" customFormat="1" x14ac:dyDescent="0.35">
      <c r="L1228" s="11"/>
      <c r="M1228" s="11"/>
      <c r="N1228" s="11"/>
      <c r="O1228" s="11"/>
      <c r="P1228" s="11"/>
      <c r="Q1228" s="11"/>
      <c r="R1228" s="36"/>
      <c r="S1228" s="36"/>
      <c r="T1228" s="38"/>
      <c r="U1228" s="38"/>
      <c r="V1228" s="38"/>
      <c r="W1228" s="38"/>
    </row>
    <row r="1229" spans="12:23" s="12" customFormat="1" x14ac:dyDescent="0.35">
      <c r="L1229" s="11"/>
      <c r="M1229" s="11"/>
      <c r="N1229" s="11"/>
      <c r="O1229" s="11"/>
      <c r="P1229" s="11"/>
      <c r="Q1229" s="11"/>
      <c r="R1229" s="36"/>
      <c r="S1229" s="36"/>
      <c r="T1229" s="38"/>
      <c r="U1229" s="38"/>
      <c r="V1229" s="38"/>
      <c r="W1229" s="38"/>
    </row>
    <row r="1230" spans="12:23" s="12" customFormat="1" x14ac:dyDescent="0.35">
      <c r="L1230" s="11"/>
      <c r="M1230" s="11"/>
      <c r="N1230" s="11"/>
      <c r="O1230" s="11"/>
      <c r="P1230" s="11"/>
      <c r="Q1230" s="11"/>
      <c r="R1230" s="36"/>
      <c r="S1230" s="36"/>
      <c r="T1230" s="38"/>
      <c r="U1230" s="38"/>
      <c r="V1230" s="38"/>
      <c r="W1230" s="38"/>
    </row>
    <row r="1231" spans="12:23" s="12" customFormat="1" x14ac:dyDescent="0.35">
      <c r="L1231" s="11"/>
      <c r="M1231" s="11"/>
      <c r="N1231" s="11"/>
      <c r="O1231" s="11"/>
      <c r="P1231" s="11"/>
      <c r="Q1231" s="11"/>
      <c r="R1231" s="36"/>
      <c r="S1231" s="36"/>
      <c r="T1231" s="38"/>
      <c r="U1231" s="38"/>
      <c r="V1231" s="38"/>
      <c r="W1231" s="38"/>
    </row>
    <row r="1232" spans="12:23" s="12" customFormat="1" x14ac:dyDescent="0.35">
      <c r="L1232" s="11"/>
      <c r="M1232" s="11"/>
      <c r="N1232" s="11"/>
      <c r="O1232" s="11"/>
      <c r="P1232" s="11"/>
      <c r="Q1232" s="11"/>
      <c r="R1232" s="36"/>
      <c r="S1232" s="36"/>
      <c r="T1232" s="38"/>
      <c r="U1232" s="38"/>
      <c r="V1232" s="38"/>
      <c r="W1232" s="38"/>
    </row>
    <row r="1233" spans="12:23" s="12" customFormat="1" x14ac:dyDescent="0.35">
      <c r="L1233" s="11"/>
      <c r="M1233" s="11"/>
      <c r="N1233" s="11"/>
      <c r="O1233" s="11"/>
      <c r="P1233" s="11"/>
      <c r="Q1233" s="11"/>
      <c r="R1233" s="36"/>
      <c r="S1233" s="36"/>
      <c r="T1233" s="38"/>
      <c r="U1233" s="38"/>
      <c r="V1233" s="38"/>
      <c r="W1233" s="38"/>
    </row>
    <row r="1234" spans="12:23" s="12" customFormat="1" x14ac:dyDescent="0.35">
      <c r="L1234" s="11"/>
      <c r="M1234" s="11"/>
      <c r="N1234" s="11"/>
      <c r="O1234" s="11"/>
      <c r="P1234" s="11"/>
      <c r="Q1234" s="11"/>
      <c r="R1234" s="36"/>
      <c r="S1234" s="36"/>
      <c r="T1234" s="38"/>
      <c r="U1234" s="38"/>
      <c r="V1234" s="38"/>
      <c r="W1234" s="38"/>
    </row>
    <row r="1235" spans="12:23" s="12" customFormat="1" x14ac:dyDescent="0.35">
      <c r="L1235" s="11"/>
      <c r="M1235" s="11"/>
      <c r="N1235" s="11"/>
      <c r="O1235" s="11"/>
      <c r="P1235" s="11"/>
      <c r="Q1235" s="11"/>
      <c r="R1235" s="36"/>
      <c r="S1235" s="36"/>
      <c r="T1235" s="38"/>
      <c r="U1235" s="38"/>
      <c r="V1235" s="38"/>
      <c r="W1235" s="38"/>
    </row>
    <row r="1236" spans="12:23" s="12" customFormat="1" x14ac:dyDescent="0.35">
      <c r="L1236" s="11"/>
      <c r="M1236" s="11"/>
      <c r="N1236" s="11"/>
      <c r="O1236" s="11"/>
      <c r="P1236" s="11"/>
      <c r="Q1236" s="11"/>
      <c r="R1236" s="36"/>
      <c r="S1236" s="36"/>
      <c r="T1236" s="38"/>
      <c r="U1236" s="38"/>
      <c r="V1236" s="38"/>
      <c r="W1236" s="38"/>
    </row>
    <row r="1237" spans="12:23" s="12" customFormat="1" x14ac:dyDescent="0.35">
      <c r="L1237" s="11"/>
      <c r="M1237" s="11"/>
      <c r="N1237" s="11"/>
      <c r="O1237" s="11"/>
      <c r="P1237" s="11"/>
      <c r="Q1237" s="11"/>
      <c r="R1237" s="36"/>
      <c r="S1237" s="36"/>
      <c r="T1237" s="38"/>
      <c r="U1237" s="38"/>
      <c r="V1237" s="38"/>
      <c r="W1237" s="38"/>
    </row>
    <row r="1238" spans="12:23" s="12" customFormat="1" x14ac:dyDescent="0.35">
      <c r="L1238" s="11"/>
      <c r="M1238" s="11"/>
      <c r="N1238" s="11"/>
      <c r="O1238" s="11"/>
      <c r="P1238" s="11"/>
      <c r="Q1238" s="11"/>
      <c r="R1238" s="36"/>
      <c r="S1238" s="36"/>
      <c r="T1238" s="38"/>
      <c r="U1238" s="38"/>
      <c r="V1238" s="38"/>
      <c r="W1238" s="38"/>
    </row>
    <row r="1239" spans="12:23" s="12" customFormat="1" x14ac:dyDescent="0.35">
      <c r="L1239" s="11"/>
      <c r="M1239" s="11"/>
      <c r="N1239" s="11"/>
      <c r="O1239" s="11"/>
      <c r="P1239" s="11"/>
      <c r="Q1239" s="11"/>
      <c r="R1239" s="36"/>
      <c r="S1239" s="36"/>
      <c r="T1239" s="38"/>
      <c r="U1239" s="38"/>
      <c r="V1239" s="38"/>
      <c r="W1239" s="38"/>
    </row>
    <row r="1240" spans="12:23" s="12" customFormat="1" x14ac:dyDescent="0.35">
      <c r="L1240" s="11"/>
      <c r="M1240" s="11"/>
      <c r="N1240" s="11"/>
      <c r="O1240" s="11"/>
      <c r="P1240" s="11"/>
      <c r="Q1240" s="11"/>
      <c r="R1240" s="36"/>
      <c r="S1240" s="36"/>
      <c r="T1240" s="38"/>
      <c r="U1240" s="38"/>
      <c r="V1240" s="38"/>
      <c r="W1240" s="38"/>
    </row>
    <row r="1241" spans="12:23" s="12" customFormat="1" x14ac:dyDescent="0.35">
      <c r="L1241" s="11"/>
      <c r="M1241" s="11"/>
      <c r="N1241" s="11"/>
      <c r="O1241" s="11"/>
      <c r="P1241" s="11"/>
      <c r="Q1241" s="11"/>
      <c r="R1241" s="36"/>
      <c r="S1241" s="36"/>
      <c r="T1241" s="38"/>
      <c r="U1241" s="38"/>
      <c r="V1241" s="38"/>
      <c r="W1241" s="38"/>
    </row>
    <row r="1242" spans="12:23" s="12" customFormat="1" x14ac:dyDescent="0.35">
      <c r="L1242" s="11"/>
      <c r="M1242" s="11"/>
      <c r="N1242" s="11"/>
      <c r="O1242" s="11"/>
      <c r="P1242" s="11"/>
      <c r="Q1242" s="11"/>
      <c r="R1242" s="36"/>
      <c r="S1242" s="36"/>
      <c r="T1242" s="38"/>
      <c r="U1242" s="38"/>
      <c r="V1242" s="38"/>
      <c r="W1242" s="38"/>
    </row>
    <row r="1243" spans="12:23" s="12" customFormat="1" x14ac:dyDescent="0.35">
      <c r="L1243" s="11"/>
      <c r="M1243" s="11"/>
      <c r="N1243" s="11"/>
      <c r="O1243" s="11"/>
      <c r="P1243" s="11"/>
      <c r="Q1243" s="11"/>
      <c r="R1243" s="36"/>
      <c r="S1243" s="36"/>
      <c r="T1243" s="38"/>
      <c r="U1243" s="38"/>
      <c r="V1243" s="38"/>
      <c r="W1243" s="38"/>
    </row>
    <row r="1244" spans="12:23" s="12" customFormat="1" x14ac:dyDescent="0.35">
      <c r="L1244" s="11"/>
      <c r="M1244" s="11"/>
      <c r="N1244" s="11"/>
      <c r="O1244" s="11"/>
      <c r="P1244" s="11"/>
      <c r="Q1244" s="11"/>
      <c r="R1244" s="36"/>
      <c r="S1244" s="36"/>
      <c r="T1244" s="38"/>
      <c r="U1244" s="38"/>
      <c r="V1244" s="38"/>
      <c r="W1244" s="38"/>
    </row>
    <row r="1245" spans="12:23" s="12" customFormat="1" x14ac:dyDescent="0.35">
      <c r="L1245" s="11"/>
      <c r="M1245" s="11"/>
      <c r="N1245" s="11"/>
      <c r="O1245" s="11"/>
      <c r="P1245" s="11"/>
      <c r="Q1245" s="11"/>
      <c r="R1245" s="36"/>
      <c r="S1245" s="36"/>
      <c r="T1245" s="38"/>
      <c r="U1245" s="38"/>
      <c r="V1245" s="38"/>
      <c r="W1245" s="38"/>
    </row>
    <row r="1246" spans="12:23" s="12" customFormat="1" x14ac:dyDescent="0.35">
      <c r="L1246" s="11"/>
      <c r="M1246" s="11"/>
      <c r="N1246" s="11"/>
      <c r="O1246" s="11"/>
      <c r="P1246" s="11"/>
      <c r="Q1246" s="11"/>
      <c r="R1246" s="36"/>
      <c r="S1246" s="36"/>
      <c r="T1246" s="38"/>
      <c r="U1246" s="38"/>
      <c r="V1246" s="38"/>
      <c r="W1246" s="38"/>
    </row>
    <row r="1247" spans="12:23" s="12" customFormat="1" x14ac:dyDescent="0.35">
      <c r="L1247" s="11"/>
      <c r="M1247" s="11"/>
      <c r="N1247" s="11"/>
      <c r="O1247" s="11"/>
      <c r="P1247" s="11"/>
      <c r="Q1247" s="11"/>
      <c r="R1247" s="36"/>
      <c r="S1247" s="36"/>
      <c r="T1247" s="38"/>
      <c r="U1247" s="38"/>
      <c r="V1247" s="38"/>
      <c r="W1247" s="38"/>
    </row>
    <row r="1248" spans="12:23" s="12" customFormat="1" x14ac:dyDescent="0.35">
      <c r="L1248" s="11"/>
      <c r="M1248" s="11"/>
      <c r="N1248" s="11"/>
      <c r="O1248" s="11"/>
      <c r="P1248" s="11"/>
      <c r="Q1248" s="11"/>
      <c r="R1248" s="36"/>
      <c r="S1248" s="36"/>
      <c r="T1248" s="38"/>
      <c r="U1248" s="38"/>
      <c r="V1248" s="38"/>
      <c r="W1248" s="38"/>
    </row>
    <row r="1249" spans="12:23" s="12" customFormat="1" x14ac:dyDescent="0.35">
      <c r="L1249" s="11"/>
      <c r="M1249" s="11"/>
      <c r="N1249" s="11"/>
      <c r="O1249" s="11"/>
      <c r="P1249" s="11"/>
      <c r="Q1249" s="11"/>
      <c r="R1249" s="36"/>
      <c r="S1249" s="36"/>
      <c r="T1249" s="38"/>
      <c r="U1249" s="38"/>
      <c r="V1249" s="38"/>
      <c r="W1249" s="38"/>
    </row>
    <row r="1250" spans="12:23" s="12" customFormat="1" x14ac:dyDescent="0.35">
      <c r="L1250" s="11"/>
      <c r="M1250" s="11"/>
      <c r="N1250" s="11"/>
      <c r="O1250" s="11"/>
      <c r="P1250" s="11"/>
      <c r="Q1250" s="11"/>
      <c r="R1250" s="36"/>
      <c r="S1250" s="36"/>
      <c r="T1250" s="38"/>
      <c r="U1250" s="38"/>
      <c r="V1250" s="38"/>
      <c r="W1250" s="38"/>
    </row>
    <row r="1251" spans="12:23" s="12" customFormat="1" x14ac:dyDescent="0.35">
      <c r="L1251" s="11"/>
      <c r="M1251" s="11"/>
      <c r="N1251" s="11"/>
      <c r="O1251" s="11"/>
      <c r="P1251" s="11"/>
      <c r="Q1251" s="11"/>
      <c r="R1251" s="36"/>
      <c r="S1251" s="36"/>
      <c r="T1251" s="38"/>
      <c r="U1251" s="38"/>
      <c r="V1251" s="38"/>
      <c r="W1251" s="38"/>
    </row>
    <row r="1252" spans="12:23" s="12" customFormat="1" x14ac:dyDescent="0.35">
      <c r="L1252" s="11"/>
      <c r="M1252" s="11"/>
      <c r="N1252" s="11"/>
      <c r="O1252" s="11"/>
      <c r="P1252" s="11"/>
      <c r="Q1252" s="11"/>
      <c r="R1252" s="36"/>
      <c r="S1252" s="36"/>
      <c r="T1252" s="38"/>
      <c r="U1252" s="38"/>
      <c r="V1252" s="38"/>
      <c r="W1252" s="38"/>
    </row>
    <row r="1253" spans="12:23" s="12" customFormat="1" x14ac:dyDescent="0.35">
      <c r="L1253" s="11"/>
      <c r="M1253" s="11"/>
      <c r="N1253" s="11"/>
      <c r="O1253" s="11"/>
      <c r="P1253" s="11"/>
      <c r="Q1253" s="11"/>
      <c r="R1253" s="36"/>
      <c r="S1253" s="36"/>
      <c r="T1253" s="38"/>
      <c r="U1253" s="38"/>
      <c r="V1253" s="38"/>
      <c r="W1253" s="38"/>
    </row>
    <row r="1254" spans="12:23" s="12" customFormat="1" x14ac:dyDescent="0.35">
      <c r="L1254" s="11"/>
      <c r="M1254" s="11"/>
      <c r="N1254" s="11"/>
      <c r="O1254" s="11"/>
      <c r="P1254" s="11"/>
      <c r="Q1254" s="11"/>
      <c r="R1254" s="36"/>
      <c r="S1254" s="36"/>
      <c r="T1254" s="38"/>
      <c r="U1254" s="38"/>
      <c r="V1254" s="38"/>
      <c r="W1254" s="38"/>
    </row>
    <row r="1255" spans="12:23" s="12" customFormat="1" x14ac:dyDescent="0.35">
      <c r="L1255" s="11"/>
      <c r="M1255" s="11"/>
      <c r="N1255" s="11"/>
      <c r="O1255" s="11"/>
      <c r="P1255" s="11"/>
      <c r="Q1255" s="11"/>
      <c r="R1255" s="36"/>
      <c r="S1255" s="36"/>
      <c r="T1255" s="38"/>
      <c r="U1255" s="38"/>
      <c r="V1255" s="38"/>
      <c r="W1255" s="38"/>
    </row>
    <row r="1256" spans="12:23" s="12" customFormat="1" x14ac:dyDescent="0.35">
      <c r="L1256" s="11"/>
      <c r="M1256" s="11"/>
      <c r="N1256" s="11"/>
      <c r="O1256" s="11"/>
      <c r="P1256" s="11"/>
      <c r="Q1256" s="11"/>
      <c r="R1256" s="36"/>
      <c r="S1256" s="36"/>
      <c r="T1256" s="38"/>
      <c r="U1256" s="38"/>
      <c r="V1256" s="38"/>
      <c r="W1256" s="38"/>
    </row>
    <row r="1257" spans="12:23" s="12" customFormat="1" x14ac:dyDescent="0.35">
      <c r="L1257" s="11"/>
      <c r="M1257" s="11"/>
      <c r="N1257" s="11"/>
      <c r="O1257" s="11"/>
      <c r="P1257" s="11"/>
      <c r="Q1257" s="11"/>
      <c r="R1257" s="36"/>
      <c r="S1257" s="36"/>
      <c r="T1257" s="38"/>
      <c r="U1257" s="38"/>
      <c r="V1257" s="38"/>
      <c r="W1257" s="38"/>
    </row>
    <row r="1258" spans="12:23" s="12" customFormat="1" x14ac:dyDescent="0.35">
      <c r="L1258" s="11"/>
      <c r="M1258" s="11"/>
      <c r="N1258" s="11"/>
      <c r="O1258" s="11"/>
      <c r="P1258" s="11"/>
      <c r="Q1258" s="11"/>
      <c r="R1258" s="36"/>
      <c r="S1258" s="36"/>
      <c r="T1258" s="38"/>
      <c r="U1258" s="38"/>
      <c r="V1258" s="38"/>
      <c r="W1258" s="38"/>
    </row>
    <row r="1259" spans="12:23" s="12" customFormat="1" x14ac:dyDescent="0.35">
      <c r="L1259" s="11"/>
      <c r="M1259" s="11"/>
      <c r="N1259" s="11"/>
      <c r="O1259" s="11"/>
      <c r="P1259" s="11"/>
      <c r="Q1259" s="11"/>
      <c r="R1259" s="36"/>
      <c r="S1259" s="36"/>
      <c r="T1259" s="38"/>
      <c r="U1259" s="38"/>
      <c r="V1259" s="38"/>
      <c r="W1259" s="38"/>
    </row>
    <row r="1260" spans="12:23" s="12" customFormat="1" x14ac:dyDescent="0.35">
      <c r="L1260" s="11"/>
      <c r="M1260" s="11"/>
      <c r="N1260" s="11"/>
      <c r="O1260" s="11"/>
      <c r="P1260" s="11"/>
      <c r="Q1260" s="11"/>
      <c r="R1260" s="36"/>
      <c r="S1260" s="36"/>
      <c r="T1260" s="38"/>
      <c r="U1260" s="38"/>
      <c r="V1260" s="38"/>
      <c r="W1260" s="38"/>
    </row>
    <row r="1261" spans="12:23" s="12" customFormat="1" x14ac:dyDescent="0.35">
      <c r="L1261" s="11"/>
      <c r="M1261" s="11"/>
      <c r="N1261" s="11"/>
      <c r="O1261" s="11"/>
      <c r="P1261" s="11"/>
      <c r="Q1261" s="11"/>
      <c r="R1261" s="36"/>
      <c r="S1261" s="36"/>
      <c r="T1261" s="38"/>
      <c r="U1261" s="38"/>
      <c r="V1261" s="38"/>
      <c r="W1261" s="38"/>
    </row>
    <row r="1262" spans="12:23" s="12" customFormat="1" x14ac:dyDescent="0.35">
      <c r="L1262" s="11"/>
      <c r="M1262" s="11"/>
      <c r="N1262" s="11"/>
      <c r="O1262" s="11"/>
      <c r="P1262" s="11"/>
      <c r="Q1262" s="11"/>
      <c r="R1262" s="36"/>
      <c r="S1262" s="36"/>
      <c r="T1262" s="38"/>
      <c r="U1262" s="38"/>
      <c r="V1262" s="38"/>
      <c r="W1262" s="38"/>
    </row>
    <row r="1263" spans="12:23" s="12" customFormat="1" x14ac:dyDescent="0.35">
      <c r="L1263" s="11"/>
      <c r="M1263" s="11"/>
      <c r="N1263" s="11"/>
      <c r="O1263" s="11"/>
      <c r="P1263" s="11"/>
      <c r="Q1263" s="11"/>
      <c r="R1263" s="36"/>
      <c r="S1263" s="36"/>
      <c r="T1263" s="38"/>
      <c r="U1263" s="38"/>
      <c r="V1263" s="38"/>
      <c r="W1263" s="38"/>
    </row>
    <row r="1264" spans="12:23" s="12" customFormat="1" x14ac:dyDescent="0.35">
      <c r="L1264" s="11"/>
      <c r="M1264" s="11"/>
      <c r="N1264" s="11"/>
      <c r="O1264" s="11"/>
      <c r="P1264" s="11"/>
      <c r="Q1264" s="11"/>
      <c r="R1264" s="36"/>
      <c r="S1264" s="36"/>
      <c r="T1264" s="38"/>
      <c r="U1264" s="38"/>
      <c r="V1264" s="38"/>
      <c r="W1264" s="38"/>
    </row>
    <row r="1265" spans="12:23" s="12" customFormat="1" x14ac:dyDescent="0.35">
      <c r="L1265" s="11"/>
      <c r="M1265" s="11"/>
      <c r="N1265" s="11"/>
      <c r="O1265" s="11"/>
      <c r="P1265" s="11"/>
      <c r="Q1265" s="11"/>
      <c r="R1265" s="36"/>
      <c r="S1265" s="36"/>
      <c r="T1265" s="38"/>
      <c r="U1265" s="38"/>
      <c r="V1265" s="38"/>
      <c r="W1265" s="38"/>
    </row>
    <row r="1266" spans="12:23" s="12" customFormat="1" x14ac:dyDescent="0.35">
      <c r="L1266" s="11"/>
      <c r="M1266" s="11"/>
      <c r="N1266" s="11"/>
      <c r="O1266" s="11"/>
      <c r="P1266" s="11"/>
      <c r="Q1266" s="11"/>
      <c r="R1266" s="36"/>
      <c r="S1266" s="36"/>
      <c r="T1266" s="38"/>
      <c r="U1266" s="38"/>
      <c r="V1266" s="38"/>
      <c r="W1266" s="38"/>
    </row>
    <row r="1267" spans="12:23" s="12" customFormat="1" x14ac:dyDescent="0.35">
      <c r="L1267" s="11"/>
      <c r="M1267" s="11"/>
      <c r="N1267" s="11"/>
      <c r="O1267" s="11"/>
      <c r="P1267" s="11"/>
      <c r="Q1267" s="11"/>
      <c r="R1267" s="36"/>
      <c r="S1267" s="36"/>
      <c r="T1267" s="38"/>
      <c r="U1267" s="38"/>
      <c r="V1267" s="38"/>
      <c r="W1267" s="38"/>
    </row>
    <row r="1268" spans="12:23" s="12" customFormat="1" x14ac:dyDescent="0.35">
      <c r="L1268" s="11"/>
      <c r="M1268" s="11"/>
      <c r="N1268" s="11"/>
      <c r="O1268" s="11"/>
      <c r="P1268" s="11"/>
      <c r="Q1268" s="11"/>
      <c r="R1268" s="36"/>
      <c r="S1268" s="36"/>
      <c r="T1268" s="38"/>
      <c r="U1268" s="38"/>
      <c r="V1268" s="38"/>
      <c r="W1268" s="38"/>
    </row>
    <row r="1269" spans="12:23" s="12" customFormat="1" x14ac:dyDescent="0.35">
      <c r="L1269" s="11"/>
      <c r="M1269" s="11"/>
      <c r="N1269" s="11"/>
      <c r="O1269" s="11"/>
      <c r="P1269" s="11"/>
      <c r="Q1269" s="11"/>
      <c r="R1269" s="36"/>
      <c r="S1269" s="36"/>
      <c r="T1269" s="38"/>
      <c r="U1269" s="38"/>
      <c r="V1269" s="38"/>
      <c r="W1269" s="38"/>
    </row>
    <row r="1270" spans="12:23" s="12" customFormat="1" x14ac:dyDescent="0.35">
      <c r="L1270" s="11"/>
      <c r="M1270" s="11"/>
      <c r="N1270" s="11"/>
      <c r="O1270" s="11"/>
      <c r="P1270" s="11"/>
      <c r="Q1270" s="11"/>
      <c r="R1270" s="36"/>
      <c r="S1270" s="36"/>
      <c r="T1270" s="38"/>
      <c r="U1270" s="38"/>
      <c r="V1270" s="38"/>
      <c r="W1270" s="38"/>
    </row>
    <row r="1271" spans="12:23" s="12" customFormat="1" x14ac:dyDescent="0.35">
      <c r="L1271" s="11"/>
      <c r="M1271" s="11"/>
      <c r="N1271" s="11"/>
      <c r="O1271" s="11"/>
      <c r="P1271" s="11"/>
      <c r="Q1271" s="11"/>
      <c r="R1271" s="36"/>
      <c r="S1271" s="36"/>
      <c r="T1271" s="38"/>
      <c r="U1271" s="38"/>
      <c r="V1271" s="38"/>
      <c r="W1271" s="38"/>
    </row>
    <row r="1272" spans="12:23" s="12" customFormat="1" x14ac:dyDescent="0.35">
      <c r="L1272" s="11"/>
      <c r="M1272" s="11"/>
      <c r="N1272" s="11"/>
      <c r="O1272" s="11"/>
      <c r="P1272" s="11"/>
      <c r="Q1272" s="11"/>
      <c r="R1272" s="36"/>
      <c r="S1272" s="36"/>
      <c r="T1272" s="38"/>
      <c r="U1272" s="38"/>
      <c r="V1272" s="38"/>
      <c r="W1272" s="38"/>
    </row>
    <row r="1273" spans="12:23" s="12" customFormat="1" x14ac:dyDescent="0.35">
      <c r="L1273" s="11"/>
      <c r="M1273" s="11"/>
      <c r="N1273" s="11"/>
      <c r="O1273" s="11"/>
      <c r="P1273" s="11"/>
      <c r="Q1273" s="11"/>
      <c r="R1273" s="36"/>
      <c r="S1273" s="36"/>
      <c r="T1273" s="38"/>
      <c r="U1273" s="38"/>
      <c r="V1273" s="38"/>
      <c r="W1273" s="38"/>
    </row>
    <row r="1274" spans="12:23" s="12" customFormat="1" x14ac:dyDescent="0.35">
      <c r="L1274" s="11"/>
      <c r="M1274" s="11"/>
      <c r="N1274" s="11"/>
      <c r="O1274" s="11"/>
      <c r="P1274" s="11"/>
      <c r="Q1274" s="11"/>
      <c r="R1274" s="36"/>
      <c r="S1274" s="36"/>
      <c r="T1274" s="38"/>
      <c r="U1274" s="38"/>
      <c r="V1274" s="38"/>
      <c r="W1274" s="38"/>
    </row>
    <row r="1275" spans="12:23" s="12" customFormat="1" x14ac:dyDescent="0.35">
      <c r="L1275" s="11"/>
      <c r="M1275" s="11"/>
      <c r="N1275" s="11"/>
      <c r="O1275" s="11"/>
      <c r="P1275" s="11"/>
      <c r="Q1275" s="11"/>
      <c r="R1275" s="36"/>
      <c r="S1275" s="36"/>
      <c r="T1275" s="38"/>
      <c r="U1275" s="38"/>
      <c r="V1275" s="38"/>
      <c r="W1275" s="38"/>
    </row>
    <row r="1276" spans="12:23" s="12" customFormat="1" x14ac:dyDescent="0.35">
      <c r="L1276" s="11"/>
      <c r="M1276" s="11"/>
      <c r="N1276" s="11"/>
      <c r="O1276" s="11"/>
      <c r="P1276" s="11"/>
      <c r="Q1276" s="11"/>
      <c r="R1276" s="36"/>
      <c r="S1276" s="36"/>
      <c r="T1276" s="38"/>
      <c r="U1276" s="38"/>
      <c r="V1276" s="38"/>
      <c r="W1276" s="38"/>
    </row>
    <row r="1277" spans="12:23" s="12" customFormat="1" x14ac:dyDescent="0.35">
      <c r="L1277" s="11"/>
      <c r="M1277" s="11"/>
      <c r="N1277" s="11"/>
      <c r="O1277" s="11"/>
      <c r="P1277" s="11"/>
      <c r="Q1277" s="11"/>
      <c r="R1277" s="36"/>
      <c r="S1277" s="36"/>
      <c r="T1277" s="38"/>
      <c r="U1277" s="38"/>
      <c r="V1277" s="38"/>
      <c r="W1277" s="38"/>
    </row>
    <row r="1278" spans="12:23" s="12" customFormat="1" x14ac:dyDescent="0.35">
      <c r="L1278" s="11"/>
      <c r="M1278" s="11"/>
      <c r="N1278" s="11"/>
      <c r="O1278" s="11"/>
      <c r="P1278" s="11"/>
      <c r="Q1278" s="11"/>
      <c r="R1278" s="36"/>
      <c r="S1278" s="36"/>
      <c r="T1278" s="38"/>
      <c r="U1278" s="38"/>
      <c r="V1278" s="38"/>
      <c r="W1278" s="38"/>
    </row>
    <row r="1279" spans="12:23" s="12" customFormat="1" x14ac:dyDescent="0.35">
      <c r="L1279" s="11"/>
      <c r="M1279" s="11"/>
      <c r="N1279" s="11"/>
      <c r="O1279" s="11"/>
      <c r="P1279" s="11"/>
      <c r="Q1279" s="11"/>
      <c r="R1279" s="36"/>
      <c r="S1279" s="36"/>
      <c r="T1279" s="38"/>
      <c r="U1279" s="38"/>
      <c r="V1279" s="38"/>
      <c r="W1279" s="38"/>
    </row>
    <row r="1280" spans="12:23" s="12" customFormat="1" x14ac:dyDescent="0.35">
      <c r="L1280" s="11"/>
      <c r="M1280" s="11"/>
      <c r="N1280" s="11"/>
      <c r="O1280" s="11"/>
      <c r="P1280" s="11"/>
      <c r="Q1280" s="11"/>
      <c r="R1280" s="36"/>
      <c r="S1280" s="36"/>
      <c r="T1280" s="38"/>
      <c r="U1280" s="38"/>
      <c r="V1280" s="38"/>
      <c r="W1280" s="38"/>
    </row>
    <row r="1281" spans="12:23" s="12" customFormat="1" x14ac:dyDescent="0.35">
      <c r="L1281" s="11"/>
      <c r="M1281" s="11"/>
      <c r="N1281" s="11"/>
      <c r="O1281" s="11"/>
      <c r="P1281" s="11"/>
      <c r="Q1281" s="11"/>
      <c r="R1281" s="36"/>
      <c r="S1281" s="36"/>
      <c r="T1281" s="38"/>
      <c r="U1281" s="38"/>
      <c r="V1281" s="38"/>
      <c r="W1281" s="38"/>
    </row>
    <row r="1282" spans="12:23" s="12" customFormat="1" x14ac:dyDescent="0.35">
      <c r="L1282" s="11"/>
      <c r="M1282" s="11"/>
      <c r="N1282" s="11"/>
      <c r="O1282" s="11"/>
      <c r="P1282" s="11"/>
      <c r="Q1282" s="11"/>
      <c r="R1282" s="36"/>
      <c r="S1282" s="36"/>
      <c r="T1282" s="38"/>
      <c r="U1282" s="38"/>
      <c r="V1282" s="38"/>
      <c r="W1282" s="38"/>
    </row>
    <row r="1283" spans="12:23" s="12" customFormat="1" x14ac:dyDescent="0.35">
      <c r="L1283" s="11"/>
      <c r="M1283" s="11"/>
      <c r="N1283" s="11"/>
      <c r="O1283" s="11"/>
      <c r="P1283" s="11"/>
      <c r="Q1283" s="11"/>
      <c r="R1283" s="36"/>
      <c r="S1283" s="36"/>
      <c r="T1283" s="38"/>
      <c r="U1283" s="38"/>
      <c r="V1283" s="38"/>
      <c r="W1283" s="38"/>
    </row>
    <row r="1284" spans="12:23" s="12" customFormat="1" x14ac:dyDescent="0.35">
      <c r="L1284" s="11"/>
      <c r="M1284" s="11"/>
      <c r="N1284" s="11"/>
      <c r="O1284" s="11"/>
      <c r="P1284" s="11"/>
      <c r="Q1284" s="11"/>
      <c r="R1284" s="36"/>
      <c r="S1284" s="36"/>
      <c r="T1284" s="38"/>
      <c r="U1284" s="38"/>
      <c r="V1284" s="38"/>
      <c r="W1284" s="38"/>
    </row>
    <row r="1285" spans="12:23" s="12" customFormat="1" x14ac:dyDescent="0.35">
      <c r="L1285" s="11"/>
      <c r="M1285" s="11"/>
      <c r="N1285" s="11"/>
      <c r="O1285" s="11"/>
      <c r="P1285" s="11"/>
      <c r="Q1285" s="11"/>
      <c r="R1285" s="36"/>
      <c r="S1285" s="36"/>
      <c r="T1285" s="38"/>
      <c r="U1285" s="38"/>
      <c r="V1285" s="38"/>
      <c r="W1285" s="38"/>
    </row>
    <row r="1286" spans="12:23" s="12" customFormat="1" x14ac:dyDescent="0.35">
      <c r="L1286" s="11"/>
      <c r="M1286" s="11"/>
      <c r="N1286" s="11"/>
      <c r="O1286" s="11"/>
      <c r="P1286" s="11"/>
      <c r="Q1286" s="11"/>
      <c r="R1286" s="36"/>
      <c r="S1286" s="36"/>
      <c r="T1286" s="38"/>
      <c r="U1286" s="38"/>
      <c r="V1286" s="38"/>
      <c r="W1286" s="38"/>
    </row>
    <row r="1287" spans="12:23" s="12" customFormat="1" x14ac:dyDescent="0.35">
      <c r="L1287" s="11"/>
      <c r="M1287" s="11"/>
      <c r="N1287" s="11"/>
      <c r="O1287" s="11"/>
      <c r="P1287" s="11"/>
      <c r="Q1287" s="11"/>
      <c r="R1287" s="36"/>
      <c r="S1287" s="36"/>
      <c r="T1287" s="38"/>
      <c r="U1287" s="38"/>
      <c r="V1287" s="38"/>
      <c r="W1287" s="38"/>
    </row>
    <row r="1288" spans="12:23" s="12" customFormat="1" x14ac:dyDescent="0.35">
      <c r="L1288" s="11"/>
      <c r="M1288" s="11"/>
      <c r="N1288" s="11"/>
      <c r="O1288" s="11"/>
      <c r="P1288" s="11"/>
      <c r="Q1288" s="11"/>
      <c r="R1288" s="36"/>
      <c r="S1288" s="36"/>
      <c r="T1288" s="38"/>
      <c r="U1288" s="38"/>
      <c r="V1288" s="38"/>
      <c r="W1288" s="38"/>
    </row>
    <row r="1289" spans="12:23" s="12" customFormat="1" x14ac:dyDescent="0.35">
      <c r="L1289" s="11"/>
      <c r="M1289" s="11"/>
      <c r="N1289" s="11"/>
      <c r="O1289" s="11"/>
      <c r="P1289" s="11"/>
      <c r="Q1289" s="11"/>
      <c r="R1289" s="36"/>
      <c r="S1289" s="36"/>
      <c r="T1289" s="38"/>
      <c r="U1289" s="38"/>
      <c r="V1289" s="38"/>
      <c r="W1289" s="38"/>
    </row>
    <row r="1290" spans="12:23" s="12" customFormat="1" x14ac:dyDescent="0.35">
      <c r="L1290" s="11"/>
      <c r="M1290" s="11"/>
      <c r="N1290" s="11"/>
      <c r="O1290" s="11"/>
      <c r="P1290" s="11"/>
      <c r="Q1290" s="11"/>
      <c r="R1290" s="36"/>
      <c r="S1290" s="36"/>
      <c r="T1290" s="38"/>
      <c r="U1290" s="38"/>
      <c r="V1290" s="38"/>
      <c r="W1290" s="38"/>
    </row>
    <row r="1291" spans="12:23" s="12" customFormat="1" x14ac:dyDescent="0.35">
      <c r="L1291" s="11"/>
      <c r="M1291" s="11"/>
      <c r="N1291" s="11"/>
      <c r="O1291" s="11"/>
      <c r="P1291" s="11"/>
      <c r="Q1291" s="11"/>
      <c r="R1291" s="36"/>
      <c r="S1291" s="36"/>
      <c r="T1291" s="38"/>
      <c r="U1291" s="38"/>
      <c r="V1291" s="38"/>
      <c r="W1291" s="38"/>
    </row>
    <row r="1292" spans="12:23" s="12" customFormat="1" x14ac:dyDescent="0.35">
      <c r="L1292" s="11"/>
      <c r="M1292" s="11"/>
      <c r="N1292" s="11"/>
      <c r="O1292" s="11"/>
      <c r="P1292" s="11"/>
      <c r="Q1292" s="11"/>
      <c r="R1292" s="36"/>
      <c r="S1292" s="36"/>
      <c r="T1292" s="38"/>
      <c r="U1292" s="38"/>
      <c r="V1292" s="38"/>
      <c r="W1292" s="38"/>
    </row>
    <row r="1293" spans="12:23" s="12" customFormat="1" x14ac:dyDescent="0.35">
      <c r="L1293" s="11"/>
      <c r="M1293" s="11"/>
      <c r="N1293" s="11"/>
      <c r="O1293" s="11"/>
      <c r="P1293" s="11"/>
      <c r="Q1293" s="11"/>
      <c r="R1293" s="36"/>
      <c r="S1293" s="36"/>
      <c r="T1293" s="38"/>
      <c r="U1293" s="38"/>
      <c r="V1293" s="38"/>
      <c r="W1293" s="38"/>
    </row>
    <row r="1294" spans="12:23" s="12" customFormat="1" x14ac:dyDescent="0.35">
      <c r="L1294" s="11"/>
      <c r="M1294" s="11"/>
      <c r="N1294" s="11"/>
      <c r="O1294" s="11"/>
      <c r="P1294" s="11"/>
      <c r="Q1294" s="11"/>
      <c r="R1294" s="36"/>
      <c r="S1294" s="36"/>
      <c r="T1294" s="38"/>
      <c r="U1294" s="38"/>
      <c r="V1294" s="38"/>
      <c r="W1294" s="38"/>
    </row>
    <row r="1295" spans="12:23" s="12" customFormat="1" x14ac:dyDescent="0.35">
      <c r="L1295" s="11"/>
      <c r="M1295" s="11"/>
      <c r="N1295" s="11"/>
      <c r="O1295" s="11"/>
      <c r="P1295" s="11"/>
      <c r="Q1295" s="11"/>
      <c r="R1295" s="36"/>
      <c r="S1295" s="36"/>
      <c r="T1295" s="38"/>
      <c r="U1295" s="38"/>
      <c r="V1295" s="38"/>
      <c r="W1295" s="38"/>
    </row>
    <row r="1296" spans="12:23" s="12" customFormat="1" x14ac:dyDescent="0.35">
      <c r="L1296" s="11"/>
      <c r="M1296" s="11"/>
      <c r="N1296" s="11"/>
      <c r="O1296" s="11"/>
      <c r="P1296" s="11"/>
      <c r="Q1296" s="11"/>
      <c r="R1296" s="36"/>
      <c r="S1296" s="36"/>
      <c r="T1296" s="38"/>
      <c r="U1296" s="38"/>
      <c r="V1296" s="38"/>
      <c r="W1296" s="38"/>
    </row>
    <row r="1297" spans="12:23" s="12" customFormat="1" x14ac:dyDescent="0.35">
      <c r="L1297" s="11"/>
      <c r="M1297" s="11"/>
      <c r="N1297" s="11"/>
      <c r="O1297" s="11"/>
      <c r="P1297" s="11"/>
      <c r="Q1297" s="11"/>
      <c r="R1297" s="36"/>
      <c r="S1297" s="36"/>
      <c r="T1297" s="38"/>
      <c r="U1297" s="38"/>
      <c r="V1297" s="38"/>
      <c r="W1297" s="38"/>
    </row>
    <row r="1298" spans="12:23" s="12" customFormat="1" x14ac:dyDescent="0.35">
      <c r="L1298" s="11"/>
      <c r="M1298" s="11"/>
      <c r="N1298" s="11"/>
      <c r="O1298" s="11"/>
      <c r="P1298" s="11"/>
      <c r="Q1298" s="11"/>
      <c r="R1298" s="36"/>
      <c r="S1298" s="36"/>
      <c r="T1298" s="38"/>
      <c r="U1298" s="38"/>
      <c r="V1298" s="38"/>
      <c r="W1298" s="38"/>
    </row>
    <row r="1299" spans="12:23" s="12" customFormat="1" x14ac:dyDescent="0.35">
      <c r="L1299" s="11"/>
      <c r="M1299" s="11"/>
      <c r="N1299" s="11"/>
      <c r="O1299" s="11"/>
      <c r="P1299" s="11"/>
      <c r="Q1299" s="11"/>
      <c r="R1299" s="36"/>
      <c r="S1299" s="36"/>
      <c r="T1299" s="38"/>
      <c r="U1299" s="38"/>
      <c r="V1299" s="38"/>
      <c r="W1299" s="38"/>
    </row>
    <row r="1300" spans="12:23" s="12" customFormat="1" x14ac:dyDescent="0.35">
      <c r="L1300" s="11"/>
      <c r="M1300" s="11"/>
      <c r="N1300" s="11"/>
      <c r="O1300" s="11"/>
      <c r="P1300" s="11"/>
      <c r="Q1300" s="11"/>
      <c r="R1300" s="36"/>
      <c r="S1300" s="36"/>
      <c r="T1300" s="38"/>
      <c r="U1300" s="38"/>
      <c r="V1300" s="38"/>
      <c r="W1300" s="38"/>
    </row>
    <row r="1301" spans="12:23" s="12" customFormat="1" x14ac:dyDescent="0.35">
      <c r="L1301" s="11"/>
      <c r="M1301" s="11"/>
      <c r="N1301" s="11"/>
      <c r="O1301" s="11"/>
      <c r="P1301" s="11"/>
      <c r="Q1301" s="11"/>
      <c r="R1301" s="36"/>
      <c r="S1301" s="36"/>
      <c r="T1301" s="38"/>
      <c r="U1301" s="38"/>
      <c r="V1301" s="38"/>
      <c r="W1301" s="38"/>
    </row>
    <row r="1302" spans="12:23" s="12" customFormat="1" x14ac:dyDescent="0.35">
      <c r="L1302" s="11"/>
      <c r="M1302" s="11"/>
      <c r="N1302" s="11"/>
      <c r="O1302" s="11"/>
      <c r="P1302" s="11"/>
      <c r="Q1302" s="11"/>
      <c r="R1302" s="36"/>
      <c r="S1302" s="36"/>
      <c r="T1302" s="38"/>
      <c r="U1302" s="38"/>
      <c r="V1302" s="38"/>
      <c r="W1302" s="38"/>
    </row>
    <row r="1303" spans="12:23" s="12" customFormat="1" x14ac:dyDescent="0.35">
      <c r="L1303" s="11"/>
      <c r="M1303" s="11"/>
      <c r="N1303" s="11"/>
      <c r="O1303" s="11"/>
      <c r="P1303" s="11"/>
      <c r="Q1303" s="11"/>
      <c r="R1303" s="36"/>
      <c r="S1303" s="36"/>
      <c r="T1303" s="38"/>
      <c r="U1303" s="38"/>
      <c r="V1303" s="38"/>
      <c r="W1303" s="38"/>
    </row>
    <row r="1304" spans="12:23" s="12" customFormat="1" x14ac:dyDescent="0.35">
      <c r="L1304" s="11"/>
      <c r="M1304" s="11"/>
      <c r="N1304" s="11"/>
      <c r="O1304" s="11"/>
      <c r="P1304" s="11"/>
      <c r="Q1304" s="11"/>
      <c r="R1304" s="36"/>
      <c r="S1304" s="36"/>
      <c r="T1304" s="38"/>
      <c r="U1304" s="38"/>
      <c r="V1304" s="38"/>
      <c r="W1304" s="38"/>
    </row>
    <row r="1305" spans="12:23" s="12" customFormat="1" x14ac:dyDescent="0.35">
      <c r="L1305" s="11"/>
      <c r="M1305" s="11"/>
      <c r="N1305" s="11"/>
      <c r="O1305" s="11"/>
      <c r="P1305" s="11"/>
      <c r="Q1305" s="11"/>
      <c r="R1305" s="36"/>
      <c r="S1305" s="36"/>
      <c r="T1305" s="38"/>
      <c r="U1305" s="38"/>
      <c r="V1305" s="38"/>
      <c r="W1305" s="38"/>
    </row>
    <row r="1306" spans="12:23" s="12" customFormat="1" x14ac:dyDescent="0.35">
      <c r="L1306" s="11"/>
      <c r="M1306" s="11"/>
      <c r="N1306" s="11"/>
      <c r="O1306" s="11"/>
      <c r="P1306" s="11"/>
      <c r="Q1306" s="11"/>
      <c r="R1306" s="36"/>
      <c r="S1306" s="36"/>
      <c r="T1306" s="38"/>
      <c r="U1306" s="38"/>
      <c r="V1306" s="38"/>
      <c r="W1306" s="38"/>
    </row>
    <row r="1307" spans="12:23" s="12" customFormat="1" x14ac:dyDescent="0.35">
      <c r="L1307" s="11"/>
      <c r="M1307" s="11"/>
      <c r="N1307" s="11"/>
      <c r="O1307" s="11"/>
      <c r="P1307" s="11"/>
      <c r="Q1307" s="11"/>
      <c r="R1307" s="36"/>
      <c r="S1307" s="36"/>
      <c r="T1307" s="38"/>
      <c r="U1307" s="38"/>
      <c r="V1307" s="38"/>
      <c r="W1307" s="38"/>
    </row>
    <row r="1308" spans="12:23" s="12" customFormat="1" x14ac:dyDescent="0.35">
      <c r="L1308" s="11"/>
      <c r="M1308" s="11"/>
      <c r="N1308" s="11"/>
      <c r="O1308" s="11"/>
      <c r="P1308" s="11"/>
      <c r="Q1308" s="11"/>
      <c r="R1308" s="36"/>
      <c r="S1308" s="36"/>
      <c r="T1308" s="38"/>
      <c r="U1308" s="38"/>
      <c r="V1308" s="38"/>
      <c r="W1308" s="38"/>
    </row>
    <row r="1309" spans="12:23" s="12" customFormat="1" x14ac:dyDescent="0.35">
      <c r="L1309" s="11"/>
      <c r="M1309" s="11"/>
      <c r="N1309" s="11"/>
      <c r="O1309" s="11"/>
      <c r="P1309" s="11"/>
      <c r="Q1309" s="11"/>
      <c r="R1309" s="36"/>
      <c r="S1309" s="36"/>
      <c r="T1309" s="38"/>
      <c r="U1309" s="38"/>
      <c r="V1309" s="38"/>
      <c r="W1309" s="38"/>
    </row>
    <row r="1310" spans="12:23" s="12" customFormat="1" x14ac:dyDescent="0.35">
      <c r="L1310" s="11"/>
      <c r="M1310" s="11"/>
      <c r="N1310" s="11"/>
      <c r="O1310" s="11"/>
      <c r="P1310" s="11"/>
      <c r="Q1310" s="11"/>
      <c r="R1310" s="36"/>
      <c r="S1310" s="36"/>
      <c r="T1310" s="38"/>
      <c r="U1310" s="38"/>
      <c r="V1310" s="38"/>
      <c r="W1310" s="38"/>
    </row>
    <row r="1311" spans="12:23" s="12" customFormat="1" x14ac:dyDescent="0.35">
      <c r="L1311" s="11"/>
      <c r="M1311" s="11"/>
      <c r="N1311" s="11"/>
      <c r="O1311" s="11"/>
      <c r="P1311" s="11"/>
      <c r="Q1311" s="11"/>
      <c r="R1311" s="36"/>
      <c r="S1311" s="36"/>
      <c r="T1311" s="38"/>
      <c r="U1311" s="38"/>
      <c r="V1311" s="38"/>
      <c r="W1311" s="38"/>
    </row>
    <row r="1312" spans="12:23" s="12" customFormat="1" x14ac:dyDescent="0.35">
      <c r="L1312" s="11"/>
      <c r="M1312" s="11"/>
      <c r="N1312" s="11"/>
      <c r="O1312" s="11"/>
      <c r="P1312" s="11"/>
      <c r="Q1312" s="11"/>
      <c r="R1312" s="36"/>
      <c r="S1312" s="36"/>
      <c r="T1312" s="38"/>
      <c r="U1312" s="38"/>
      <c r="V1312" s="38"/>
      <c r="W1312" s="38"/>
    </row>
    <row r="1313" spans="12:23" s="12" customFormat="1" x14ac:dyDescent="0.35">
      <c r="L1313" s="11"/>
      <c r="M1313" s="11"/>
      <c r="N1313" s="11"/>
      <c r="O1313" s="11"/>
      <c r="P1313" s="11"/>
      <c r="Q1313" s="11"/>
      <c r="R1313" s="36"/>
      <c r="S1313" s="36"/>
      <c r="T1313" s="38"/>
      <c r="U1313" s="38"/>
      <c r="V1313" s="38"/>
      <c r="W1313" s="38"/>
    </row>
    <row r="1314" spans="12:23" s="12" customFormat="1" x14ac:dyDescent="0.35">
      <c r="L1314" s="11"/>
      <c r="M1314" s="11"/>
      <c r="N1314" s="11"/>
      <c r="O1314" s="11"/>
      <c r="P1314" s="11"/>
      <c r="Q1314" s="11"/>
      <c r="R1314" s="36"/>
      <c r="S1314" s="36"/>
      <c r="T1314" s="38"/>
      <c r="U1314" s="38"/>
      <c r="V1314" s="38"/>
      <c r="W1314" s="38"/>
    </row>
    <row r="1315" spans="12:23" s="12" customFormat="1" x14ac:dyDescent="0.35">
      <c r="L1315" s="11"/>
      <c r="M1315" s="11"/>
      <c r="N1315" s="11"/>
      <c r="O1315" s="11"/>
      <c r="P1315" s="11"/>
      <c r="Q1315" s="11"/>
      <c r="R1315" s="36"/>
      <c r="S1315" s="36"/>
      <c r="T1315" s="38"/>
      <c r="U1315" s="38"/>
      <c r="V1315" s="38"/>
      <c r="W1315" s="38"/>
    </row>
    <row r="1316" spans="12:23" s="12" customFormat="1" x14ac:dyDescent="0.35">
      <c r="L1316" s="11"/>
      <c r="M1316" s="11"/>
      <c r="N1316" s="11"/>
      <c r="O1316" s="11"/>
      <c r="P1316" s="11"/>
      <c r="Q1316" s="11"/>
      <c r="R1316" s="36"/>
      <c r="S1316" s="36"/>
      <c r="T1316" s="38"/>
      <c r="U1316" s="38"/>
      <c r="V1316" s="38"/>
      <c r="W1316" s="38"/>
    </row>
    <row r="1317" spans="12:23" s="12" customFormat="1" x14ac:dyDescent="0.35">
      <c r="L1317" s="11"/>
      <c r="M1317" s="11"/>
      <c r="N1317" s="11"/>
      <c r="O1317" s="11"/>
      <c r="P1317" s="11"/>
      <c r="Q1317" s="11"/>
      <c r="R1317" s="36"/>
      <c r="S1317" s="36"/>
      <c r="T1317" s="38"/>
      <c r="U1317" s="38"/>
      <c r="V1317" s="38"/>
      <c r="W1317" s="38"/>
    </row>
    <row r="1318" spans="12:23" s="12" customFormat="1" x14ac:dyDescent="0.35">
      <c r="L1318" s="11"/>
      <c r="M1318" s="11"/>
      <c r="N1318" s="11"/>
      <c r="O1318" s="11"/>
      <c r="P1318" s="11"/>
      <c r="Q1318" s="11"/>
      <c r="R1318" s="36"/>
      <c r="S1318" s="36"/>
      <c r="T1318" s="38"/>
      <c r="U1318" s="38"/>
      <c r="V1318" s="38"/>
      <c r="W1318" s="38"/>
    </row>
    <row r="1319" spans="12:23" s="12" customFormat="1" x14ac:dyDescent="0.35">
      <c r="L1319" s="11"/>
      <c r="M1319" s="11"/>
      <c r="N1319" s="11"/>
      <c r="O1319" s="11"/>
      <c r="P1319" s="11"/>
      <c r="Q1319" s="11"/>
      <c r="R1319" s="36"/>
      <c r="S1319" s="36"/>
      <c r="T1319" s="38"/>
      <c r="U1319" s="38"/>
      <c r="V1319" s="38"/>
      <c r="W1319" s="38"/>
    </row>
    <row r="1320" spans="12:23" s="12" customFormat="1" x14ac:dyDescent="0.35">
      <c r="L1320" s="11"/>
      <c r="M1320" s="11"/>
      <c r="N1320" s="11"/>
      <c r="O1320" s="11"/>
      <c r="P1320" s="11"/>
      <c r="Q1320" s="11"/>
      <c r="R1320" s="36"/>
      <c r="S1320" s="36"/>
      <c r="T1320" s="38"/>
      <c r="U1320" s="38"/>
      <c r="V1320" s="38"/>
      <c r="W1320" s="38"/>
    </row>
    <row r="1321" spans="12:23" s="12" customFormat="1" x14ac:dyDescent="0.35">
      <c r="L1321" s="11"/>
      <c r="M1321" s="11"/>
      <c r="N1321" s="11"/>
      <c r="O1321" s="11"/>
      <c r="P1321" s="11"/>
      <c r="Q1321" s="11"/>
      <c r="R1321" s="36"/>
      <c r="S1321" s="36"/>
      <c r="T1321" s="38"/>
      <c r="U1321" s="38"/>
      <c r="V1321" s="38"/>
      <c r="W1321" s="38"/>
    </row>
    <row r="1322" spans="12:23" s="12" customFormat="1" x14ac:dyDescent="0.35">
      <c r="L1322" s="11"/>
      <c r="M1322" s="11"/>
      <c r="N1322" s="11"/>
      <c r="O1322" s="11"/>
      <c r="P1322" s="11"/>
      <c r="Q1322" s="11"/>
      <c r="R1322" s="36"/>
      <c r="S1322" s="36"/>
      <c r="T1322" s="38"/>
      <c r="U1322" s="38"/>
      <c r="V1322" s="38"/>
      <c r="W1322" s="38"/>
    </row>
    <row r="1323" spans="12:23" s="12" customFormat="1" x14ac:dyDescent="0.35">
      <c r="L1323" s="11"/>
      <c r="M1323" s="11"/>
      <c r="N1323" s="11"/>
      <c r="O1323" s="11"/>
      <c r="P1323" s="11"/>
      <c r="Q1323" s="11"/>
      <c r="R1323" s="36"/>
      <c r="S1323" s="36"/>
      <c r="T1323" s="38"/>
      <c r="U1323" s="38"/>
      <c r="V1323" s="38"/>
      <c r="W1323" s="38"/>
    </row>
    <row r="1324" spans="12:23" s="12" customFormat="1" x14ac:dyDescent="0.35">
      <c r="L1324" s="11"/>
      <c r="M1324" s="11"/>
      <c r="N1324" s="11"/>
      <c r="O1324" s="11"/>
      <c r="P1324" s="11"/>
      <c r="Q1324" s="11"/>
      <c r="R1324" s="36"/>
      <c r="S1324" s="36"/>
      <c r="T1324" s="38"/>
      <c r="U1324" s="38"/>
      <c r="V1324" s="38"/>
      <c r="W1324" s="38"/>
    </row>
    <row r="1325" spans="12:23" s="12" customFormat="1" x14ac:dyDescent="0.35">
      <c r="L1325" s="11"/>
      <c r="M1325" s="11"/>
      <c r="N1325" s="11"/>
      <c r="O1325" s="11"/>
      <c r="P1325" s="11"/>
      <c r="Q1325" s="11"/>
      <c r="R1325" s="36"/>
      <c r="S1325" s="36"/>
      <c r="T1325" s="38"/>
      <c r="U1325" s="38"/>
      <c r="V1325" s="38"/>
      <c r="W1325" s="38"/>
    </row>
    <row r="1326" spans="12:23" s="12" customFormat="1" x14ac:dyDescent="0.35">
      <c r="L1326" s="11"/>
      <c r="M1326" s="11"/>
      <c r="N1326" s="11"/>
      <c r="O1326" s="11"/>
      <c r="P1326" s="11"/>
      <c r="Q1326" s="11"/>
      <c r="R1326" s="36"/>
      <c r="S1326" s="36"/>
      <c r="T1326" s="38"/>
      <c r="U1326" s="38"/>
      <c r="V1326" s="38"/>
      <c r="W1326" s="38"/>
    </row>
    <row r="1327" spans="12:23" s="12" customFormat="1" x14ac:dyDescent="0.35">
      <c r="L1327" s="11"/>
      <c r="M1327" s="11"/>
      <c r="N1327" s="11"/>
      <c r="O1327" s="11"/>
      <c r="P1327" s="11"/>
      <c r="Q1327" s="11"/>
      <c r="R1327" s="36"/>
      <c r="S1327" s="36"/>
      <c r="T1327" s="38"/>
      <c r="U1327" s="38"/>
      <c r="V1327" s="38"/>
      <c r="W1327" s="38"/>
    </row>
    <row r="1328" spans="12:23" s="12" customFormat="1" x14ac:dyDescent="0.35">
      <c r="L1328" s="11"/>
      <c r="M1328" s="11"/>
      <c r="N1328" s="11"/>
      <c r="O1328" s="11"/>
      <c r="P1328" s="11"/>
      <c r="Q1328" s="11"/>
      <c r="R1328" s="36"/>
      <c r="S1328" s="36"/>
      <c r="T1328" s="38"/>
      <c r="U1328" s="38"/>
      <c r="V1328" s="38"/>
      <c r="W1328" s="38"/>
    </row>
    <row r="1329" spans="12:23" s="12" customFormat="1" x14ac:dyDescent="0.35">
      <c r="L1329" s="11"/>
      <c r="M1329" s="11"/>
      <c r="N1329" s="11"/>
      <c r="O1329" s="11"/>
      <c r="P1329" s="11"/>
      <c r="Q1329" s="11"/>
      <c r="R1329" s="36"/>
      <c r="S1329" s="36"/>
      <c r="T1329" s="38"/>
      <c r="U1329" s="38"/>
      <c r="V1329" s="38"/>
      <c r="W1329" s="38"/>
    </row>
    <row r="1330" spans="12:23" s="12" customFormat="1" x14ac:dyDescent="0.35">
      <c r="L1330" s="11"/>
      <c r="M1330" s="11"/>
      <c r="N1330" s="11"/>
      <c r="O1330" s="11"/>
      <c r="P1330" s="11"/>
      <c r="Q1330" s="11"/>
      <c r="R1330" s="36"/>
      <c r="S1330" s="36"/>
      <c r="T1330" s="38"/>
      <c r="U1330" s="38"/>
      <c r="V1330" s="38"/>
      <c r="W1330" s="38"/>
    </row>
    <row r="1331" spans="12:23" s="12" customFormat="1" x14ac:dyDescent="0.35">
      <c r="L1331" s="11"/>
      <c r="M1331" s="11"/>
      <c r="N1331" s="11"/>
      <c r="O1331" s="11"/>
      <c r="P1331" s="11"/>
      <c r="Q1331" s="11"/>
      <c r="R1331" s="36"/>
      <c r="S1331" s="36"/>
      <c r="T1331" s="38"/>
      <c r="U1331" s="38"/>
      <c r="V1331" s="38"/>
      <c r="W1331" s="38"/>
    </row>
    <row r="1332" spans="12:23" s="12" customFormat="1" x14ac:dyDescent="0.35">
      <c r="L1332" s="11"/>
      <c r="M1332" s="11"/>
      <c r="N1332" s="11"/>
      <c r="O1332" s="11"/>
      <c r="P1332" s="11"/>
      <c r="Q1332" s="11"/>
      <c r="R1332" s="36"/>
      <c r="S1332" s="36"/>
      <c r="T1332" s="38"/>
      <c r="U1332" s="38"/>
      <c r="V1332" s="38"/>
      <c r="W1332" s="38"/>
    </row>
    <row r="1333" spans="12:23" s="12" customFormat="1" x14ac:dyDescent="0.35">
      <c r="L1333" s="11"/>
      <c r="M1333" s="11"/>
      <c r="N1333" s="11"/>
      <c r="O1333" s="11"/>
      <c r="P1333" s="11"/>
      <c r="Q1333" s="11"/>
      <c r="R1333" s="36"/>
      <c r="S1333" s="36"/>
      <c r="T1333" s="38"/>
      <c r="U1333" s="38"/>
      <c r="V1333" s="38"/>
      <c r="W1333" s="38"/>
    </row>
    <row r="1334" spans="12:23" s="12" customFormat="1" x14ac:dyDescent="0.35">
      <c r="L1334" s="11"/>
      <c r="M1334" s="11"/>
      <c r="N1334" s="11"/>
      <c r="O1334" s="11"/>
      <c r="P1334" s="11"/>
      <c r="Q1334" s="11"/>
      <c r="R1334" s="36"/>
      <c r="S1334" s="36"/>
      <c r="T1334" s="38"/>
      <c r="U1334" s="38"/>
      <c r="V1334" s="38"/>
      <c r="W1334" s="38"/>
    </row>
    <row r="1335" spans="12:23" s="12" customFormat="1" x14ac:dyDescent="0.35">
      <c r="L1335" s="11"/>
      <c r="M1335" s="11"/>
      <c r="N1335" s="11"/>
      <c r="O1335" s="11"/>
      <c r="P1335" s="11"/>
      <c r="Q1335" s="11"/>
      <c r="R1335" s="36"/>
      <c r="S1335" s="36"/>
      <c r="T1335" s="38"/>
      <c r="U1335" s="38"/>
      <c r="V1335" s="38"/>
      <c r="W1335" s="38"/>
    </row>
    <row r="1336" spans="12:23" s="12" customFormat="1" x14ac:dyDescent="0.35">
      <c r="L1336" s="11"/>
      <c r="M1336" s="11"/>
      <c r="N1336" s="11"/>
      <c r="O1336" s="11"/>
      <c r="P1336" s="11"/>
      <c r="Q1336" s="11"/>
      <c r="R1336" s="36"/>
      <c r="S1336" s="36"/>
      <c r="T1336" s="38"/>
      <c r="U1336" s="38"/>
      <c r="V1336" s="38"/>
      <c r="W1336" s="38"/>
    </row>
    <row r="1337" spans="12:23" s="12" customFormat="1" x14ac:dyDescent="0.35">
      <c r="L1337" s="11"/>
      <c r="M1337" s="11"/>
      <c r="N1337" s="11"/>
      <c r="O1337" s="11"/>
      <c r="P1337" s="11"/>
      <c r="Q1337" s="11"/>
      <c r="R1337" s="36"/>
      <c r="S1337" s="36"/>
      <c r="T1337" s="38"/>
      <c r="U1337" s="38"/>
      <c r="V1337" s="38"/>
      <c r="W1337" s="38"/>
    </row>
    <row r="1338" spans="12:23" s="12" customFormat="1" x14ac:dyDescent="0.35">
      <c r="L1338" s="11"/>
      <c r="M1338" s="11"/>
      <c r="N1338" s="11"/>
      <c r="O1338" s="11"/>
      <c r="P1338" s="11"/>
      <c r="Q1338" s="11"/>
      <c r="R1338" s="36"/>
      <c r="S1338" s="36"/>
      <c r="T1338" s="38"/>
      <c r="U1338" s="38"/>
      <c r="V1338" s="38"/>
      <c r="W1338" s="38"/>
    </row>
    <row r="1339" spans="12:23" s="12" customFormat="1" x14ac:dyDescent="0.35">
      <c r="L1339" s="11"/>
      <c r="M1339" s="11"/>
      <c r="N1339" s="11"/>
      <c r="O1339" s="11"/>
      <c r="P1339" s="11"/>
      <c r="Q1339" s="11"/>
      <c r="R1339" s="36"/>
      <c r="S1339" s="36"/>
      <c r="T1339" s="38"/>
      <c r="U1339" s="38"/>
      <c r="V1339" s="38"/>
      <c r="W1339" s="38"/>
    </row>
    <row r="1340" spans="12:23" s="12" customFormat="1" x14ac:dyDescent="0.35">
      <c r="L1340" s="11"/>
      <c r="M1340" s="11"/>
      <c r="N1340" s="11"/>
      <c r="O1340" s="11"/>
      <c r="P1340" s="11"/>
      <c r="Q1340" s="11"/>
      <c r="R1340" s="36"/>
      <c r="S1340" s="36"/>
      <c r="T1340" s="38"/>
      <c r="U1340" s="38"/>
      <c r="V1340" s="38"/>
      <c r="W1340" s="38"/>
    </row>
    <row r="1341" spans="12:23" s="12" customFormat="1" x14ac:dyDescent="0.35">
      <c r="L1341" s="11"/>
      <c r="M1341" s="11"/>
      <c r="N1341" s="11"/>
      <c r="O1341" s="11"/>
      <c r="P1341" s="11"/>
      <c r="Q1341" s="11"/>
      <c r="R1341" s="36"/>
      <c r="S1341" s="36"/>
      <c r="T1341" s="38"/>
      <c r="U1341" s="38"/>
      <c r="V1341" s="38"/>
      <c r="W1341" s="38"/>
    </row>
    <row r="1342" spans="12:23" s="12" customFormat="1" x14ac:dyDescent="0.35">
      <c r="L1342" s="11"/>
      <c r="M1342" s="11"/>
      <c r="N1342" s="11"/>
      <c r="O1342" s="11"/>
      <c r="P1342" s="11"/>
      <c r="Q1342" s="11"/>
      <c r="R1342" s="36"/>
      <c r="S1342" s="36"/>
      <c r="T1342" s="38"/>
      <c r="U1342" s="38"/>
      <c r="V1342" s="38"/>
      <c r="W1342" s="38"/>
    </row>
    <row r="1343" spans="12:23" s="12" customFormat="1" x14ac:dyDescent="0.35">
      <c r="L1343" s="11"/>
      <c r="M1343" s="11"/>
      <c r="N1343" s="11"/>
      <c r="O1343" s="11"/>
      <c r="P1343" s="11"/>
      <c r="Q1343" s="11"/>
      <c r="R1343" s="36"/>
      <c r="S1343" s="36"/>
      <c r="T1343" s="38"/>
      <c r="U1343" s="38"/>
      <c r="V1343" s="38"/>
      <c r="W1343" s="38"/>
    </row>
    <row r="1344" spans="12:23" s="12" customFormat="1" x14ac:dyDescent="0.35">
      <c r="L1344" s="11"/>
      <c r="M1344" s="11"/>
      <c r="N1344" s="11"/>
      <c r="O1344" s="11"/>
      <c r="P1344" s="11"/>
      <c r="Q1344" s="11"/>
      <c r="R1344" s="36"/>
      <c r="S1344" s="36"/>
      <c r="T1344" s="38"/>
      <c r="U1344" s="38"/>
      <c r="V1344" s="38"/>
      <c r="W1344" s="38"/>
    </row>
    <row r="1345" spans="12:23" s="12" customFormat="1" x14ac:dyDescent="0.35">
      <c r="L1345" s="11"/>
      <c r="M1345" s="11"/>
      <c r="N1345" s="11"/>
      <c r="O1345" s="11"/>
      <c r="P1345" s="11"/>
      <c r="Q1345" s="11"/>
      <c r="R1345" s="36"/>
      <c r="S1345" s="36"/>
      <c r="T1345" s="38"/>
      <c r="U1345" s="38"/>
      <c r="V1345" s="38"/>
      <c r="W1345" s="38"/>
    </row>
    <row r="1346" spans="12:23" s="12" customFormat="1" x14ac:dyDescent="0.35">
      <c r="L1346" s="11"/>
      <c r="M1346" s="11"/>
      <c r="N1346" s="11"/>
      <c r="O1346" s="11"/>
      <c r="P1346" s="11"/>
      <c r="Q1346" s="11"/>
      <c r="R1346" s="36"/>
      <c r="S1346" s="36"/>
      <c r="T1346" s="38"/>
      <c r="U1346" s="38"/>
      <c r="V1346" s="38"/>
      <c r="W1346" s="38"/>
    </row>
    <row r="1347" spans="12:23" s="12" customFormat="1" x14ac:dyDescent="0.35">
      <c r="L1347" s="11"/>
      <c r="M1347" s="11"/>
      <c r="N1347" s="11"/>
      <c r="O1347" s="11"/>
      <c r="P1347" s="11"/>
      <c r="Q1347" s="11"/>
      <c r="R1347" s="36"/>
      <c r="S1347" s="36"/>
      <c r="T1347" s="38"/>
      <c r="U1347" s="38"/>
      <c r="V1347" s="38"/>
      <c r="W1347" s="38"/>
    </row>
    <row r="1348" spans="12:23" s="12" customFormat="1" x14ac:dyDescent="0.35">
      <c r="L1348" s="11"/>
      <c r="M1348" s="11"/>
      <c r="N1348" s="11"/>
      <c r="O1348" s="11"/>
      <c r="P1348" s="11"/>
      <c r="Q1348" s="11"/>
      <c r="R1348" s="36"/>
      <c r="S1348" s="36"/>
      <c r="T1348" s="38"/>
      <c r="U1348" s="38"/>
      <c r="V1348" s="38"/>
      <c r="W1348" s="38"/>
    </row>
    <row r="1349" spans="12:23" s="12" customFormat="1" x14ac:dyDescent="0.35">
      <c r="L1349" s="11"/>
      <c r="M1349" s="11"/>
      <c r="N1349" s="11"/>
      <c r="O1349" s="11"/>
      <c r="P1349" s="11"/>
      <c r="Q1349" s="11"/>
      <c r="R1349" s="36"/>
      <c r="S1349" s="36"/>
      <c r="T1349" s="38"/>
      <c r="U1349" s="38"/>
      <c r="V1349" s="38"/>
      <c r="W1349" s="38"/>
    </row>
    <row r="1350" spans="12:23" s="12" customFormat="1" x14ac:dyDescent="0.35">
      <c r="L1350" s="11"/>
      <c r="M1350" s="11"/>
      <c r="N1350" s="11"/>
      <c r="O1350" s="11"/>
      <c r="P1350" s="11"/>
      <c r="Q1350" s="11"/>
      <c r="R1350" s="36"/>
      <c r="S1350" s="36"/>
      <c r="T1350" s="38"/>
      <c r="U1350" s="38"/>
      <c r="V1350" s="38"/>
      <c r="W1350" s="38"/>
    </row>
    <row r="1351" spans="12:23" s="12" customFormat="1" x14ac:dyDescent="0.35">
      <c r="L1351" s="11"/>
      <c r="M1351" s="11"/>
      <c r="N1351" s="11"/>
      <c r="O1351" s="11"/>
      <c r="P1351" s="11"/>
      <c r="Q1351" s="11"/>
      <c r="R1351" s="36"/>
      <c r="S1351" s="36"/>
      <c r="T1351" s="38"/>
      <c r="U1351" s="38"/>
      <c r="V1351" s="38"/>
      <c r="W1351" s="38"/>
    </row>
    <row r="1352" spans="12:23" s="12" customFormat="1" x14ac:dyDescent="0.35">
      <c r="L1352" s="11"/>
      <c r="M1352" s="11"/>
      <c r="N1352" s="11"/>
      <c r="O1352" s="11"/>
      <c r="P1352" s="11"/>
      <c r="Q1352" s="11"/>
      <c r="R1352" s="36"/>
      <c r="S1352" s="36"/>
      <c r="T1352" s="38"/>
      <c r="U1352" s="38"/>
      <c r="V1352" s="38"/>
      <c r="W1352" s="38"/>
    </row>
    <row r="1353" spans="12:23" s="12" customFormat="1" x14ac:dyDescent="0.35">
      <c r="L1353" s="11"/>
      <c r="M1353" s="11"/>
      <c r="N1353" s="11"/>
      <c r="O1353" s="11"/>
      <c r="P1353" s="11"/>
      <c r="Q1353" s="11"/>
      <c r="R1353" s="36"/>
      <c r="S1353" s="36"/>
      <c r="T1353" s="38"/>
      <c r="U1353" s="38"/>
      <c r="V1353" s="38"/>
      <c r="W1353" s="38"/>
    </row>
    <row r="1354" spans="12:23" s="12" customFormat="1" x14ac:dyDescent="0.35">
      <c r="L1354" s="11"/>
      <c r="M1354" s="11"/>
      <c r="N1354" s="11"/>
      <c r="O1354" s="11"/>
      <c r="P1354" s="11"/>
      <c r="Q1354" s="11"/>
      <c r="R1354" s="36"/>
      <c r="S1354" s="36"/>
      <c r="T1354" s="38"/>
      <c r="U1354" s="38"/>
      <c r="V1354" s="38"/>
      <c r="W1354" s="38"/>
    </row>
    <row r="1355" spans="12:23" s="12" customFormat="1" x14ac:dyDescent="0.35">
      <c r="L1355" s="11"/>
      <c r="M1355" s="11"/>
      <c r="N1355" s="11"/>
      <c r="O1355" s="11"/>
      <c r="P1355" s="11"/>
      <c r="Q1355" s="11"/>
      <c r="R1355" s="36"/>
      <c r="S1355" s="36"/>
      <c r="T1355" s="38"/>
      <c r="U1355" s="38"/>
      <c r="V1355" s="38"/>
      <c r="W1355" s="38"/>
    </row>
    <row r="1356" spans="12:23" s="12" customFormat="1" x14ac:dyDescent="0.35">
      <c r="L1356" s="11"/>
      <c r="M1356" s="11"/>
      <c r="N1356" s="11"/>
      <c r="O1356" s="11"/>
      <c r="P1356" s="11"/>
      <c r="Q1356" s="11"/>
      <c r="R1356" s="36"/>
      <c r="S1356" s="36"/>
      <c r="T1356" s="38"/>
      <c r="U1356" s="38"/>
      <c r="V1356" s="38"/>
      <c r="W1356" s="38"/>
    </row>
    <row r="1357" spans="12:23" s="12" customFormat="1" x14ac:dyDescent="0.35">
      <c r="L1357" s="11"/>
      <c r="M1357" s="11"/>
      <c r="N1357" s="11"/>
      <c r="O1357" s="11"/>
      <c r="P1357" s="11"/>
      <c r="Q1357" s="11"/>
      <c r="R1357" s="36"/>
      <c r="S1357" s="36"/>
      <c r="T1357" s="38"/>
      <c r="U1357" s="38"/>
      <c r="V1357" s="38"/>
      <c r="W1357" s="38"/>
    </row>
    <row r="1358" spans="12:23" s="12" customFormat="1" x14ac:dyDescent="0.35">
      <c r="L1358" s="11"/>
      <c r="M1358" s="11"/>
      <c r="N1358" s="11"/>
      <c r="O1358" s="11"/>
      <c r="P1358" s="11"/>
      <c r="Q1358" s="11"/>
      <c r="R1358" s="36"/>
      <c r="S1358" s="36"/>
      <c r="T1358" s="38"/>
      <c r="U1358" s="38"/>
      <c r="V1358" s="38"/>
      <c r="W1358" s="38"/>
    </row>
    <row r="1359" spans="12:23" s="12" customFormat="1" x14ac:dyDescent="0.35">
      <c r="L1359" s="11"/>
      <c r="M1359" s="11"/>
      <c r="N1359" s="11"/>
      <c r="O1359" s="11"/>
      <c r="P1359" s="11"/>
      <c r="Q1359" s="11"/>
      <c r="R1359" s="36"/>
      <c r="S1359" s="36"/>
      <c r="T1359" s="38"/>
      <c r="U1359" s="38"/>
      <c r="V1359" s="38"/>
      <c r="W1359" s="38"/>
    </row>
    <row r="1360" spans="12:23" s="12" customFormat="1" x14ac:dyDescent="0.35">
      <c r="L1360" s="11"/>
      <c r="M1360" s="11"/>
      <c r="N1360" s="11"/>
      <c r="O1360" s="11"/>
      <c r="P1360" s="11"/>
      <c r="Q1360" s="11"/>
      <c r="R1360" s="36"/>
      <c r="S1360" s="36"/>
      <c r="T1360" s="38"/>
      <c r="U1360" s="38"/>
      <c r="V1360" s="38"/>
      <c r="W1360" s="38"/>
    </row>
    <row r="1361" spans="12:23" s="12" customFormat="1" x14ac:dyDescent="0.35">
      <c r="L1361" s="11"/>
      <c r="M1361" s="11"/>
      <c r="N1361" s="11"/>
      <c r="O1361" s="11"/>
      <c r="P1361" s="11"/>
      <c r="Q1361" s="11"/>
      <c r="R1361" s="36"/>
      <c r="S1361" s="36"/>
      <c r="T1361" s="38"/>
      <c r="U1361" s="38"/>
      <c r="V1361" s="38"/>
      <c r="W1361" s="38"/>
    </row>
    <row r="1362" spans="12:23" s="12" customFormat="1" x14ac:dyDescent="0.35">
      <c r="L1362" s="11"/>
      <c r="M1362" s="11"/>
      <c r="N1362" s="11"/>
      <c r="O1362" s="11"/>
      <c r="P1362" s="11"/>
      <c r="Q1362" s="11"/>
      <c r="R1362" s="36"/>
      <c r="S1362" s="36"/>
      <c r="T1362" s="38"/>
      <c r="U1362" s="38"/>
      <c r="V1362" s="38"/>
      <c r="W1362" s="38"/>
    </row>
    <row r="1363" spans="12:23" s="12" customFormat="1" x14ac:dyDescent="0.35">
      <c r="L1363" s="11"/>
      <c r="M1363" s="11"/>
      <c r="N1363" s="11"/>
      <c r="O1363" s="11"/>
      <c r="P1363" s="11"/>
      <c r="Q1363" s="11"/>
      <c r="R1363" s="36"/>
      <c r="S1363" s="36"/>
      <c r="T1363" s="38"/>
      <c r="U1363" s="38"/>
      <c r="V1363" s="38"/>
      <c r="W1363" s="38"/>
    </row>
    <row r="1364" spans="12:23" s="12" customFormat="1" x14ac:dyDescent="0.35">
      <c r="L1364" s="11"/>
      <c r="M1364" s="11"/>
      <c r="N1364" s="11"/>
      <c r="O1364" s="11"/>
      <c r="P1364" s="11"/>
      <c r="Q1364" s="11"/>
      <c r="R1364" s="36"/>
      <c r="S1364" s="36"/>
      <c r="T1364" s="38"/>
      <c r="U1364" s="38"/>
      <c r="V1364" s="38"/>
      <c r="W1364" s="38"/>
    </row>
    <row r="1365" spans="12:23" s="12" customFormat="1" x14ac:dyDescent="0.35">
      <c r="L1365" s="11"/>
      <c r="M1365" s="11"/>
      <c r="N1365" s="11"/>
      <c r="O1365" s="11"/>
      <c r="P1365" s="11"/>
      <c r="Q1365" s="11"/>
      <c r="R1365" s="36"/>
      <c r="S1365" s="36"/>
      <c r="T1365" s="38"/>
      <c r="U1365" s="38"/>
      <c r="V1365" s="38"/>
      <c r="W1365" s="38"/>
    </row>
    <row r="1366" spans="12:23" s="12" customFormat="1" x14ac:dyDescent="0.35">
      <c r="L1366" s="11"/>
      <c r="M1366" s="11"/>
      <c r="N1366" s="11"/>
      <c r="O1366" s="11"/>
      <c r="P1366" s="11"/>
      <c r="Q1366" s="11"/>
      <c r="R1366" s="36"/>
      <c r="S1366" s="36"/>
      <c r="T1366" s="38"/>
      <c r="U1366" s="38"/>
      <c r="V1366" s="38"/>
      <c r="W1366" s="38"/>
    </row>
    <row r="1367" spans="12:23" s="12" customFormat="1" x14ac:dyDescent="0.35">
      <c r="L1367" s="11"/>
      <c r="M1367" s="11"/>
      <c r="N1367" s="11"/>
      <c r="O1367" s="11"/>
      <c r="P1367" s="11"/>
      <c r="Q1367" s="11"/>
      <c r="R1367" s="36"/>
      <c r="S1367" s="36"/>
      <c r="T1367" s="38"/>
      <c r="U1367" s="38"/>
      <c r="V1367" s="38"/>
      <c r="W1367" s="38"/>
    </row>
    <row r="1368" spans="12:23" s="12" customFormat="1" x14ac:dyDescent="0.35">
      <c r="L1368" s="11"/>
      <c r="M1368" s="11"/>
      <c r="N1368" s="11"/>
      <c r="O1368" s="11"/>
      <c r="P1368" s="11"/>
      <c r="Q1368" s="11"/>
      <c r="R1368" s="36"/>
      <c r="S1368" s="36"/>
      <c r="T1368" s="38"/>
      <c r="U1368" s="38"/>
      <c r="V1368" s="38"/>
      <c r="W1368" s="38"/>
    </row>
    <row r="1369" spans="12:23" s="12" customFormat="1" x14ac:dyDescent="0.35">
      <c r="L1369" s="11"/>
      <c r="M1369" s="11"/>
      <c r="N1369" s="11"/>
      <c r="O1369" s="11"/>
      <c r="P1369" s="11"/>
      <c r="Q1369" s="11"/>
      <c r="R1369" s="36"/>
      <c r="S1369" s="36"/>
      <c r="T1369" s="38"/>
      <c r="U1369" s="38"/>
      <c r="V1369" s="38"/>
      <c r="W1369" s="38"/>
    </row>
    <row r="1370" spans="12:23" s="12" customFormat="1" x14ac:dyDescent="0.35">
      <c r="L1370" s="11"/>
      <c r="M1370" s="11"/>
      <c r="N1370" s="11"/>
      <c r="O1370" s="11"/>
      <c r="P1370" s="11"/>
      <c r="Q1370" s="11"/>
      <c r="R1370" s="36"/>
      <c r="S1370" s="36"/>
      <c r="T1370" s="38"/>
      <c r="U1370" s="38"/>
      <c r="V1370" s="38"/>
      <c r="W1370" s="38"/>
    </row>
    <row r="1371" spans="12:23" s="12" customFormat="1" x14ac:dyDescent="0.35">
      <c r="L1371" s="11"/>
      <c r="M1371" s="11"/>
      <c r="N1371" s="11"/>
      <c r="O1371" s="11"/>
      <c r="P1371" s="11"/>
      <c r="Q1371" s="11"/>
      <c r="R1371" s="36"/>
      <c r="S1371" s="36"/>
      <c r="T1371" s="38"/>
      <c r="U1371" s="38"/>
      <c r="V1371" s="38"/>
      <c r="W1371" s="38"/>
    </row>
    <row r="1372" spans="12:23" s="12" customFormat="1" x14ac:dyDescent="0.35">
      <c r="L1372" s="11"/>
      <c r="M1372" s="11"/>
      <c r="N1372" s="11"/>
      <c r="O1372" s="11"/>
      <c r="P1372" s="11"/>
      <c r="Q1372" s="11"/>
      <c r="R1372" s="36"/>
      <c r="S1372" s="36"/>
      <c r="T1372" s="38"/>
      <c r="U1372" s="38"/>
      <c r="V1372" s="38"/>
      <c r="W1372" s="38"/>
    </row>
    <row r="1373" spans="12:23" s="12" customFormat="1" x14ac:dyDescent="0.35">
      <c r="L1373" s="11"/>
      <c r="M1373" s="11"/>
      <c r="N1373" s="11"/>
      <c r="O1373" s="11"/>
      <c r="P1373" s="11"/>
      <c r="Q1373" s="11"/>
      <c r="R1373" s="36"/>
      <c r="S1373" s="36"/>
      <c r="T1373" s="38"/>
      <c r="U1373" s="38"/>
      <c r="V1373" s="38"/>
      <c r="W1373" s="38"/>
    </row>
    <row r="1374" spans="12:23" s="12" customFormat="1" x14ac:dyDescent="0.35">
      <c r="L1374" s="11"/>
      <c r="M1374" s="11"/>
      <c r="N1374" s="11"/>
      <c r="O1374" s="11"/>
      <c r="P1374" s="11"/>
      <c r="Q1374" s="11"/>
      <c r="R1374" s="36"/>
      <c r="S1374" s="36"/>
      <c r="T1374" s="38"/>
      <c r="U1374" s="38"/>
      <c r="V1374" s="38"/>
      <c r="W1374" s="38"/>
    </row>
    <row r="1375" spans="12:23" s="12" customFormat="1" x14ac:dyDescent="0.35">
      <c r="L1375" s="11"/>
      <c r="M1375" s="11"/>
      <c r="N1375" s="11"/>
      <c r="O1375" s="11"/>
      <c r="P1375" s="11"/>
      <c r="Q1375" s="11"/>
      <c r="R1375" s="36"/>
      <c r="S1375" s="36"/>
      <c r="T1375" s="38"/>
      <c r="U1375" s="38"/>
      <c r="V1375" s="38"/>
      <c r="W1375" s="38"/>
    </row>
    <row r="1376" spans="12:23" s="12" customFormat="1" x14ac:dyDescent="0.35">
      <c r="L1376" s="11"/>
      <c r="M1376" s="11"/>
      <c r="N1376" s="11"/>
      <c r="O1376" s="11"/>
      <c r="P1376" s="11"/>
      <c r="Q1376" s="11"/>
      <c r="R1376" s="36"/>
      <c r="S1376" s="36"/>
      <c r="T1376" s="38"/>
      <c r="U1376" s="38"/>
      <c r="V1376" s="38"/>
      <c r="W1376" s="38"/>
    </row>
    <row r="1377" spans="12:23" s="12" customFormat="1" x14ac:dyDescent="0.35">
      <c r="L1377" s="11"/>
      <c r="M1377" s="11"/>
      <c r="N1377" s="11"/>
      <c r="O1377" s="11"/>
      <c r="P1377" s="11"/>
      <c r="Q1377" s="11"/>
      <c r="R1377" s="36"/>
      <c r="S1377" s="36"/>
      <c r="T1377" s="38"/>
      <c r="U1377" s="38"/>
      <c r="V1377" s="38"/>
      <c r="W1377" s="38"/>
    </row>
    <row r="1378" spans="12:23" s="12" customFormat="1" x14ac:dyDescent="0.35">
      <c r="L1378" s="11"/>
      <c r="M1378" s="11"/>
      <c r="N1378" s="11"/>
      <c r="O1378" s="11"/>
      <c r="P1378" s="11"/>
      <c r="Q1378" s="11"/>
      <c r="R1378" s="36"/>
      <c r="S1378" s="36"/>
      <c r="T1378" s="38"/>
      <c r="U1378" s="38"/>
      <c r="V1378" s="38"/>
      <c r="W1378" s="38"/>
    </row>
    <row r="1379" spans="12:23" s="12" customFormat="1" x14ac:dyDescent="0.35">
      <c r="L1379" s="11"/>
      <c r="M1379" s="11"/>
      <c r="N1379" s="11"/>
      <c r="O1379" s="11"/>
      <c r="P1379" s="11"/>
      <c r="Q1379" s="11"/>
      <c r="R1379" s="36"/>
      <c r="S1379" s="36"/>
      <c r="T1379" s="38"/>
      <c r="U1379" s="38"/>
      <c r="V1379" s="38"/>
      <c r="W1379" s="38"/>
    </row>
    <row r="1380" spans="12:23" s="12" customFormat="1" x14ac:dyDescent="0.35">
      <c r="L1380" s="11"/>
      <c r="M1380" s="11"/>
      <c r="N1380" s="11"/>
      <c r="O1380" s="11"/>
      <c r="P1380" s="11"/>
      <c r="Q1380" s="11"/>
      <c r="R1380" s="36"/>
      <c r="S1380" s="36"/>
      <c r="T1380" s="38"/>
      <c r="U1380" s="38"/>
      <c r="V1380" s="38"/>
      <c r="W1380" s="38"/>
    </row>
    <row r="1381" spans="12:23" s="12" customFormat="1" x14ac:dyDescent="0.35">
      <c r="L1381" s="11"/>
      <c r="M1381" s="11"/>
      <c r="N1381" s="11"/>
      <c r="O1381" s="11"/>
      <c r="P1381" s="11"/>
      <c r="Q1381" s="11"/>
      <c r="R1381" s="36"/>
      <c r="S1381" s="36"/>
      <c r="T1381" s="38"/>
      <c r="U1381" s="38"/>
      <c r="V1381" s="38"/>
      <c r="W1381" s="38"/>
    </row>
    <row r="1382" spans="12:23" s="12" customFormat="1" x14ac:dyDescent="0.35">
      <c r="L1382" s="11"/>
      <c r="M1382" s="11"/>
      <c r="N1382" s="11"/>
      <c r="O1382" s="11"/>
      <c r="P1382" s="11"/>
      <c r="Q1382" s="11"/>
      <c r="R1382" s="36"/>
      <c r="S1382" s="36"/>
      <c r="T1382" s="38"/>
      <c r="U1382" s="38"/>
      <c r="V1382" s="38"/>
      <c r="W1382" s="38"/>
    </row>
    <row r="1383" spans="12:23" s="12" customFormat="1" x14ac:dyDescent="0.35">
      <c r="L1383" s="11"/>
      <c r="M1383" s="11"/>
      <c r="N1383" s="11"/>
      <c r="O1383" s="11"/>
      <c r="P1383" s="11"/>
      <c r="Q1383" s="11"/>
      <c r="R1383" s="36"/>
      <c r="S1383" s="36"/>
      <c r="T1383" s="38"/>
      <c r="U1383" s="38"/>
      <c r="V1383" s="38"/>
      <c r="W1383" s="38"/>
    </row>
    <row r="1384" spans="12:23" s="12" customFormat="1" x14ac:dyDescent="0.35">
      <c r="L1384" s="11"/>
      <c r="M1384" s="11"/>
      <c r="N1384" s="11"/>
      <c r="O1384" s="11"/>
      <c r="P1384" s="11"/>
      <c r="Q1384" s="11"/>
      <c r="R1384" s="36"/>
      <c r="S1384" s="36"/>
      <c r="T1384" s="38"/>
      <c r="U1384" s="38"/>
      <c r="V1384" s="38"/>
      <c r="W1384" s="38"/>
    </row>
    <row r="1385" spans="12:23" s="12" customFormat="1" x14ac:dyDescent="0.35">
      <c r="L1385" s="11"/>
      <c r="M1385" s="11"/>
      <c r="N1385" s="11"/>
      <c r="O1385" s="11"/>
      <c r="P1385" s="11"/>
      <c r="Q1385" s="11"/>
      <c r="R1385" s="36"/>
      <c r="S1385" s="36"/>
      <c r="T1385" s="38"/>
      <c r="U1385" s="38"/>
      <c r="V1385" s="38"/>
      <c r="W1385" s="38"/>
    </row>
    <row r="1386" spans="12:23" s="12" customFormat="1" x14ac:dyDescent="0.35">
      <c r="L1386" s="11"/>
      <c r="M1386" s="11"/>
      <c r="N1386" s="11"/>
      <c r="O1386" s="11"/>
      <c r="P1386" s="11"/>
      <c r="Q1386" s="11"/>
      <c r="R1386" s="36"/>
      <c r="S1386" s="36"/>
      <c r="T1386" s="38"/>
      <c r="U1386" s="38"/>
      <c r="V1386" s="38"/>
      <c r="W1386" s="38"/>
    </row>
    <row r="1387" spans="12:23" s="12" customFormat="1" x14ac:dyDescent="0.35">
      <c r="L1387" s="11"/>
      <c r="M1387" s="11"/>
      <c r="N1387" s="11"/>
      <c r="O1387" s="11"/>
      <c r="P1387" s="11"/>
      <c r="Q1387" s="11"/>
      <c r="R1387" s="36"/>
      <c r="S1387" s="36"/>
      <c r="T1387" s="38"/>
      <c r="U1387" s="38"/>
      <c r="V1387" s="38"/>
      <c r="W1387" s="38"/>
    </row>
    <row r="1388" spans="12:23" s="12" customFormat="1" x14ac:dyDescent="0.35">
      <c r="L1388" s="11"/>
      <c r="M1388" s="11"/>
      <c r="N1388" s="11"/>
      <c r="O1388" s="11"/>
      <c r="P1388" s="11"/>
      <c r="Q1388" s="11"/>
      <c r="R1388" s="36"/>
      <c r="S1388" s="36"/>
      <c r="T1388" s="38"/>
      <c r="U1388" s="38"/>
      <c r="V1388" s="38"/>
      <c r="W1388" s="38"/>
    </row>
    <row r="1389" spans="12:23" s="12" customFormat="1" x14ac:dyDescent="0.35">
      <c r="L1389" s="11"/>
      <c r="M1389" s="11"/>
      <c r="N1389" s="11"/>
      <c r="O1389" s="11"/>
      <c r="P1389" s="11"/>
      <c r="Q1389" s="11"/>
      <c r="R1389" s="36"/>
      <c r="S1389" s="36"/>
      <c r="T1389" s="38"/>
      <c r="U1389" s="38"/>
      <c r="V1389" s="38"/>
      <c r="W1389" s="38"/>
    </row>
    <row r="1390" spans="12:23" s="12" customFormat="1" x14ac:dyDescent="0.35">
      <c r="L1390" s="11"/>
      <c r="M1390" s="11"/>
      <c r="N1390" s="11"/>
      <c r="O1390" s="11"/>
      <c r="P1390" s="11"/>
      <c r="Q1390" s="11"/>
      <c r="R1390" s="36"/>
      <c r="S1390" s="36"/>
      <c r="T1390" s="38"/>
      <c r="U1390" s="38"/>
      <c r="V1390" s="38"/>
      <c r="W1390" s="38"/>
    </row>
    <row r="1391" spans="12:23" s="12" customFormat="1" x14ac:dyDescent="0.35">
      <c r="L1391" s="11"/>
      <c r="M1391" s="11"/>
      <c r="N1391" s="11"/>
      <c r="O1391" s="11"/>
      <c r="P1391" s="11"/>
      <c r="Q1391" s="11"/>
      <c r="R1391" s="36"/>
      <c r="S1391" s="36"/>
      <c r="T1391" s="38"/>
      <c r="U1391" s="38"/>
      <c r="V1391" s="38"/>
      <c r="W1391" s="38"/>
    </row>
    <row r="1392" spans="12:23" s="12" customFormat="1" x14ac:dyDescent="0.35">
      <c r="L1392" s="11"/>
      <c r="M1392" s="11"/>
      <c r="N1392" s="11"/>
      <c r="O1392" s="11"/>
      <c r="P1392" s="11"/>
      <c r="Q1392" s="11"/>
      <c r="R1392" s="36"/>
      <c r="S1392" s="36"/>
      <c r="T1392" s="38"/>
      <c r="U1392" s="38"/>
      <c r="V1392" s="38"/>
      <c r="W1392" s="38"/>
    </row>
    <row r="1393" spans="12:23" s="12" customFormat="1" x14ac:dyDescent="0.35">
      <c r="L1393" s="11"/>
      <c r="M1393" s="11"/>
      <c r="N1393" s="11"/>
      <c r="O1393" s="11"/>
      <c r="P1393" s="11"/>
      <c r="Q1393" s="11"/>
      <c r="R1393" s="36"/>
      <c r="S1393" s="36"/>
      <c r="T1393" s="38"/>
      <c r="U1393" s="38"/>
      <c r="V1393" s="38"/>
      <c r="W1393" s="38"/>
    </row>
    <row r="1394" spans="12:23" s="12" customFormat="1" x14ac:dyDescent="0.35">
      <c r="L1394" s="11"/>
      <c r="M1394" s="11"/>
      <c r="N1394" s="11"/>
      <c r="O1394" s="11"/>
      <c r="P1394" s="11"/>
      <c r="Q1394" s="11"/>
      <c r="R1394" s="36"/>
      <c r="S1394" s="36"/>
      <c r="T1394" s="38"/>
      <c r="U1394" s="38"/>
      <c r="V1394" s="38"/>
      <c r="W1394" s="38"/>
    </row>
    <row r="1395" spans="12:23" s="12" customFormat="1" x14ac:dyDescent="0.35">
      <c r="L1395" s="11"/>
      <c r="M1395" s="11"/>
      <c r="N1395" s="11"/>
      <c r="O1395" s="11"/>
      <c r="P1395" s="11"/>
      <c r="Q1395" s="11"/>
      <c r="R1395" s="36"/>
      <c r="S1395" s="36"/>
      <c r="T1395" s="38"/>
      <c r="U1395" s="38"/>
      <c r="V1395" s="38"/>
      <c r="W1395" s="38"/>
    </row>
    <row r="1396" spans="12:23" s="12" customFormat="1" x14ac:dyDescent="0.35">
      <c r="L1396" s="11"/>
      <c r="M1396" s="11"/>
      <c r="N1396" s="11"/>
      <c r="O1396" s="11"/>
      <c r="P1396" s="11"/>
      <c r="Q1396" s="11"/>
      <c r="R1396" s="36"/>
      <c r="S1396" s="36"/>
      <c r="T1396" s="38"/>
      <c r="U1396" s="38"/>
      <c r="V1396" s="38"/>
      <c r="W1396" s="38"/>
    </row>
    <row r="1397" spans="12:23" s="12" customFormat="1" x14ac:dyDescent="0.35">
      <c r="L1397" s="11"/>
      <c r="M1397" s="11"/>
      <c r="N1397" s="11"/>
      <c r="O1397" s="11"/>
      <c r="P1397" s="11"/>
      <c r="Q1397" s="11"/>
      <c r="R1397" s="36"/>
      <c r="S1397" s="36"/>
      <c r="T1397" s="38"/>
      <c r="U1397" s="38"/>
      <c r="V1397" s="38"/>
      <c r="W1397" s="38"/>
    </row>
    <row r="1398" spans="12:23" s="12" customFormat="1" x14ac:dyDescent="0.35">
      <c r="L1398" s="11"/>
      <c r="M1398" s="11"/>
      <c r="N1398" s="11"/>
      <c r="O1398" s="11"/>
      <c r="P1398" s="11"/>
      <c r="Q1398" s="11"/>
      <c r="R1398" s="36"/>
      <c r="S1398" s="36"/>
      <c r="T1398" s="38"/>
      <c r="U1398" s="38"/>
      <c r="V1398" s="38"/>
      <c r="W1398" s="38"/>
    </row>
    <row r="1399" spans="12:23" s="12" customFormat="1" x14ac:dyDescent="0.35">
      <c r="L1399" s="11"/>
      <c r="M1399" s="11"/>
      <c r="N1399" s="11"/>
      <c r="O1399" s="11"/>
      <c r="P1399" s="11"/>
      <c r="Q1399" s="11"/>
      <c r="R1399" s="36"/>
      <c r="S1399" s="36"/>
      <c r="T1399" s="38"/>
      <c r="U1399" s="38"/>
      <c r="V1399" s="38"/>
      <c r="W1399" s="38"/>
    </row>
    <row r="1400" spans="12:23" s="12" customFormat="1" x14ac:dyDescent="0.35">
      <c r="L1400" s="11"/>
      <c r="M1400" s="11"/>
      <c r="N1400" s="11"/>
      <c r="O1400" s="11"/>
      <c r="P1400" s="11"/>
      <c r="Q1400" s="11"/>
      <c r="R1400" s="36"/>
      <c r="S1400" s="36"/>
      <c r="T1400" s="38"/>
      <c r="U1400" s="38"/>
      <c r="V1400" s="38"/>
      <c r="W1400" s="38"/>
    </row>
    <row r="1401" spans="12:23" s="12" customFormat="1" x14ac:dyDescent="0.35">
      <c r="L1401" s="11"/>
      <c r="M1401" s="11"/>
      <c r="N1401" s="11"/>
      <c r="O1401" s="11"/>
      <c r="P1401" s="11"/>
      <c r="Q1401" s="11"/>
      <c r="R1401" s="36"/>
      <c r="S1401" s="36"/>
      <c r="T1401" s="38"/>
      <c r="U1401" s="38"/>
      <c r="V1401" s="38"/>
      <c r="W1401" s="38"/>
    </row>
    <row r="1402" spans="12:23" s="12" customFormat="1" x14ac:dyDescent="0.35">
      <c r="L1402" s="11"/>
      <c r="M1402" s="11"/>
      <c r="N1402" s="11"/>
      <c r="O1402" s="11"/>
      <c r="P1402" s="11"/>
      <c r="Q1402" s="11"/>
      <c r="R1402" s="36"/>
      <c r="S1402" s="36"/>
      <c r="T1402" s="38"/>
      <c r="U1402" s="38"/>
      <c r="V1402" s="38"/>
      <c r="W1402" s="38"/>
    </row>
    <row r="1403" spans="12:23" s="12" customFormat="1" x14ac:dyDescent="0.35">
      <c r="L1403" s="11"/>
      <c r="M1403" s="11"/>
      <c r="N1403" s="11"/>
      <c r="O1403" s="11"/>
      <c r="P1403" s="11"/>
      <c r="Q1403" s="11"/>
      <c r="R1403" s="36"/>
      <c r="S1403" s="36"/>
      <c r="T1403" s="38"/>
      <c r="U1403" s="38"/>
      <c r="V1403" s="38"/>
      <c r="W1403" s="38"/>
    </row>
    <row r="1404" spans="12:23" s="12" customFormat="1" x14ac:dyDescent="0.35">
      <c r="L1404" s="11"/>
      <c r="M1404" s="11"/>
      <c r="N1404" s="11"/>
      <c r="O1404" s="11"/>
      <c r="P1404" s="11"/>
      <c r="Q1404" s="11"/>
      <c r="R1404" s="36"/>
      <c r="S1404" s="36"/>
      <c r="T1404" s="38"/>
      <c r="U1404" s="38"/>
      <c r="V1404" s="38"/>
      <c r="W1404" s="38"/>
    </row>
    <row r="1405" spans="12:23" s="12" customFormat="1" x14ac:dyDescent="0.35">
      <c r="L1405" s="11"/>
      <c r="M1405" s="11"/>
      <c r="N1405" s="11"/>
      <c r="O1405" s="11"/>
      <c r="P1405" s="11"/>
      <c r="Q1405" s="11"/>
      <c r="R1405" s="36"/>
      <c r="S1405" s="36"/>
      <c r="T1405" s="38"/>
      <c r="U1405" s="38"/>
      <c r="V1405" s="38"/>
      <c r="W1405" s="38"/>
    </row>
    <row r="1406" spans="12:23" s="12" customFormat="1" x14ac:dyDescent="0.35">
      <c r="L1406" s="11"/>
      <c r="M1406" s="11"/>
      <c r="N1406" s="11"/>
      <c r="O1406" s="11"/>
      <c r="P1406" s="11"/>
      <c r="Q1406" s="11"/>
      <c r="R1406" s="36"/>
      <c r="S1406" s="36"/>
      <c r="T1406" s="38"/>
      <c r="U1406" s="38"/>
      <c r="V1406" s="38"/>
      <c r="W1406" s="38"/>
    </row>
    <row r="1407" spans="12:23" s="12" customFormat="1" x14ac:dyDescent="0.35">
      <c r="L1407" s="11"/>
      <c r="M1407" s="11"/>
      <c r="N1407" s="11"/>
      <c r="O1407" s="11"/>
      <c r="P1407" s="11"/>
      <c r="Q1407" s="11"/>
      <c r="R1407" s="36"/>
      <c r="S1407" s="36"/>
      <c r="T1407" s="38"/>
      <c r="U1407" s="38"/>
      <c r="V1407" s="38"/>
      <c r="W1407" s="38"/>
    </row>
    <row r="1408" spans="12:23" s="12" customFormat="1" x14ac:dyDescent="0.35">
      <c r="L1408" s="11"/>
      <c r="M1408" s="11"/>
      <c r="N1408" s="11"/>
      <c r="O1408" s="11"/>
      <c r="P1408" s="11"/>
      <c r="Q1408" s="11"/>
      <c r="R1408" s="36"/>
      <c r="S1408" s="36"/>
      <c r="T1408" s="38"/>
      <c r="U1408" s="38"/>
      <c r="V1408" s="38"/>
      <c r="W1408" s="38"/>
    </row>
    <row r="1409" spans="12:23" s="12" customFormat="1" x14ac:dyDescent="0.35">
      <c r="L1409" s="11"/>
      <c r="M1409" s="11"/>
      <c r="N1409" s="11"/>
      <c r="O1409" s="11"/>
      <c r="P1409" s="11"/>
      <c r="Q1409" s="11"/>
      <c r="R1409" s="36"/>
      <c r="S1409" s="36"/>
      <c r="T1409" s="38"/>
      <c r="U1409" s="38"/>
      <c r="V1409" s="38"/>
      <c r="W1409" s="38"/>
    </row>
    <row r="1410" spans="12:23" s="12" customFormat="1" x14ac:dyDescent="0.35">
      <c r="L1410" s="11"/>
      <c r="M1410" s="11"/>
      <c r="N1410" s="11"/>
      <c r="O1410" s="11"/>
      <c r="P1410" s="11"/>
      <c r="Q1410" s="11"/>
      <c r="R1410" s="36"/>
      <c r="S1410" s="36"/>
      <c r="T1410" s="38"/>
      <c r="U1410" s="38"/>
      <c r="V1410" s="38"/>
      <c r="W1410" s="38"/>
    </row>
    <row r="1411" spans="12:23" s="12" customFormat="1" x14ac:dyDescent="0.35">
      <c r="L1411" s="11"/>
      <c r="M1411" s="11"/>
      <c r="N1411" s="11"/>
      <c r="O1411" s="11"/>
      <c r="P1411" s="11"/>
      <c r="Q1411" s="11"/>
      <c r="R1411" s="36"/>
      <c r="S1411" s="36"/>
      <c r="T1411" s="38"/>
      <c r="U1411" s="38"/>
      <c r="V1411" s="38"/>
      <c r="W1411" s="38"/>
    </row>
    <row r="1412" spans="12:23" s="12" customFormat="1" x14ac:dyDescent="0.35">
      <c r="L1412" s="11"/>
      <c r="M1412" s="11"/>
      <c r="N1412" s="11"/>
      <c r="O1412" s="11"/>
      <c r="P1412" s="11"/>
      <c r="Q1412" s="11"/>
      <c r="R1412" s="36"/>
      <c r="S1412" s="36"/>
      <c r="T1412" s="38"/>
      <c r="U1412" s="38"/>
      <c r="V1412" s="38"/>
      <c r="W1412" s="38"/>
    </row>
    <row r="1413" spans="12:23" s="12" customFormat="1" x14ac:dyDescent="0.35">
      <c r="L1413" s="11"/>
      <c r="M1413" s="11"/>
      <c r="N1413" s="11"/>
      <c r="O1413" s="11"/>
      <c r="P1413" s="11"/>
      <c r="Q1413" s="11"/>
      <c r="R1413" s="36"/>
      <c r="S1413" s="36"/>
      <c r="T1413" s="38"/>
      <c r="U1413" s="38"/>
      <c r="V1413" s="38"/>
      <c r="W1413" s="38"/>
    </row>
    <row r="1414" spans="12:23" s="12" customFormat="1" x14ac:dyDescent="0.35">
      <c r="L1414" s="11"/>
      <c r="M1414" s="11"/>
      <c r="N1414" s="11"/>
      <c r="O1414" s="11"/>
      <c r="P1414" s="11"/>
      <c r="Q1414" s="11"/>
      <c r="R1414" s="36"/>
      <c r="S1414" s="36"/>
      <c r="T1414" s="38"/>
      <c r="U1414" s="38"/>
      <c r="V1414" s="38"/>
      <c r="W1414" s="38"/>
    </row>
    <row r="1415" spans="12:23" s="12" customFormat="1" x14ac:dyDescent="0.35">
      <c r="L1415" s="11"/>
      <c r="M1415" s="11"/>
      <c r="N1415" s="11"/>
      <c r="O1415" s="11"/>
      <c r="P1415" s="11"/>
      <c r="Q1415" s="11"/>
      <c r="R1415" s="36"/>
      <c r="S1415" s="36"/>
      <c r="T1415" s="38"/>
      <c r="U1415" s="38"/>
      <c r="V1415" s="38"/>
      <c r="W1415" s="38"/>
    </row>
    <row r="1416" spans="12:23" s="12" customFormat="1" x14ac:dyDescent="0.35">
      <c r="L1416" s="11"/>
      <c r="M1416" s="11"/>
      <c r="N1416" s="11"/>
      <c r="O1416" s="11"/>
      <c r="P1416" s="11"/>
      <c r="Q1416" s="11"/>
      <c r="R1416" s="36"/>
      <c r="S1416" s="36"/>
      <c r="T1416" s="38"/>
      <c r="U1416" s="38"/>
      <c r="V1416" s="38"/>
      <c r="W1416" s="38"/>
    </row>
    <row r="1417" spans="12:23" s="12" customFormat="1" x14ac:dyDescent="0.35">
      <c r="L1417" s="11"/>
      <c r="M1417" s="11"/>
      <c r="N1417" s="11"/>
      <c r="O1417" s="11"/>
      <c r="P1417" s="11"/>
      <c r="Q1417" s="11"/>
      <c r="R1417" s="36"/>
      <c r="S1417" s="36"/>
      <c r="T1417" s="38"/>
      <c r="U1417" s="38"/>
      <c r="V1417" s="38"/>
      <c r="W1417" s="38"/>
    </row>
    <row r="1418" spans="12:23" s="12" customFormat="1" x14ac:dyDescent="0.35">
      <c r="L1418" s="11"/>
      <c r="M1418" s="11"/>
      <c r="N1418" s="11"/>
      <c r="O1418" s="11"/>
      <c r="P1418" s="11"/>
      <c r="Q1418" s="11"/>
      <c r="R1418" s="36"/>
      <c r="S1418" s="36"/>
      <c r="T1418" s="38"/>
      <c r="U1418" s="38"/>
      <c r="V1418" s="38"/>
      <c r="W1418" s="38"/>
    </row>
    <row r="1419" spans="12:23" s="12" customFormat="1" x14ac:dyDescent="0.35">
      <c r="L1419" s="11"/>
      <c r="M1419" s="11"/>
      <c r="N1419" s="11"/>
      <c r="O1419" s="11"/>
      <c r="P1419" s="11"/>
      <c r="Q1419" s="11"/>
      <c r="R1419" s="36"/>
      <c r="S1419" s="36"/>
      <c r="T1419" s="38"/>
      <c r="U1419" s="38"/>
      <c r="V1419" s="38"/>
      <c r="W1419" s="38"/>
    </row>
    <row r="1420" spans="12:23" s="12" customFormat="1" x14ac:dyDescent="0.35">
      <c r="L1420" s="11"/>
      <c r="M1420" s="11"/>
      <c r="N1420" s="11"/>
      <c r="O1420" s="11"/>
      <c r="P1420" s="11"/>
      <c r="Q1420" s="11"/>
      <c r="R1420" s="36"/>
      <c r="S1420" s="36"/>
      <c r="T1420" s="38"/>
      <c r="U1420" s="38"/>
      <c r="V1420" s="38"/>
      <c r="W1420" s="38"/>
    </row>
    <row r="1421" spans="12:23" s="12" customFormat="1" x14ac:dyDescent="0.35">
      <c r="L1421" s="11"/>
      <c r="M1421" s="11"/>
      <c r="N1421" s="11"/>
      <c r="O1421" s="11"/>
      <c r="P1421" s="11"/>
      <c r="Q1421" s="11"/>
      <c r="R1421" s="36"/>
      <c r="S1421" s="36"/>
      <c r="T1421" s="38"/>
      <c r="U1421" s="38"/>
      <c r="V1421" s="38"/>
      <c r="W1421" s="38"/>
    </row>
    <row r="1422" spans="12:23" s="12" customFormat="1" x14ac:dyDescent="0.35">
      <c r="L1422" s="11"/>
      <c r="M1422" s="11"/>
      <c r="N1422" s="11"/>
      <c r="O1422" s="11"/>
      <c r="P1422" s="11"/>
      <c r="Q1422" s="11"/>
      <c r="R1422" s="36"/>
      <c r="S1422" s="36"/>
      <c r="T1422" s="38"/>
      <c r="U1422" s="38"/>
      <c r="V1422" s="38"/>
      <c r="W1422" s="38"/>
    </row>
    <row r="1423" spans="12:23" s="12" customFormat="1" x14ac:dyDescent="0.35">
      <c r="L1423" s="11"/>
      <c r="M1423" s="11"/>
      <c r="N1423" s="11"/>
      <c r="O1423" s="11"/>
      <c r="P1423" s="11"/>
      <c r="Q1423" s="11"/>
      <c r="R1423" s="36"/>
      <c r="S1423" s="36"/>
      <c r="T1423" s="38"/>
      <c r="U1423" s="38"/>
      <c r="V1423" s="38"/>
      <c r="W1423" s="38"/>
    </row>
    <row r="1424" spans="12:23" s="12" customFormat="1" x14ac:dyDescent="0.35">
      <c r="L1424" s="11"/>
      <c r="M1424" s="11"/>
      <c r="N1424" s="11"/>
      <c r="O1424" s="11"/>
      <c r="P1424" s="11"/>
      <c r="Q1424" s="11"/>
      <c r="R1424" s="36"/>
      <c r="S1424" s="36"/>
      <c r="T1424" s="38"/>
      <c r="U1424" s="38"/>
      <c r="V1424" s="38"/>
      <c r="W1424" s="38"/>
    </row>
    <row r="1425" spans="12:23" s="12" customFormat="1" x14ac:dyDescent="0.35">
      <c r="L1425" s="11"/>
      <c r="M1425" s="11"/>
      <c r="N1425" s="11"/>
      <c r="O1425" s="11"/>
      <c r="P1425" s="11"/>
      <c r="Q1425" s="11"/>
      <c r="R1425" s="36"/>
      <c r="S1425" s="36"/>
      <c r="T1425" s="38"/>
      <c r="U1425" s="38"/>
      <c r="V1425" s="38"/>
      <c r="W1425" s="38"/>
    </row>
    <row r="1426" spans="12:23" s="12" customFormat="1" x14ac:dyDescent="0.35">
      <c r="L1426" s="11"/>
      <c r="M1426" s="11"/>
      <c r="N1426" s="11"/>
      <c r="O1426" s="11"/>
      <c r="P1426" s="11"/>
      <c r="Q1426" s="11"/>
      <c r="R1426" s="36"/>
      <c r="S1426" s="36"/>
      <c r="T1426" s="38"/>
      <c r="U1426" s="38"/>
      <c r="V1426" s="38"/>
      <c r="W1426" s="38"/>
    </row>
    <row r="1427" spans="12:23" s="12" customFormat="1" x14ac:dyDescent="0.35">
      <c r="L1427" s="11"/>
      <c r="M1427" s="11"/>
      <c r="N1427" s="11"/>
      <c r="O1427" s="11"/>
      <c r="P1427" s="11"/>
      <c r="Q1427" s="11"/>
      <c r="R1427" s="36"/>
      <c r="S1427" s="36"/>
      <c r="T1427" s="38"/>
      <c r="U1427" s="38"/>
      <c r="V1427" s="38"/>
      <c r="W1427" s="38"/>
    </row>
    <row r="1428" spans="12:23" s="12" customFormat="1" x14ac:dyDescent="0.35">
      <c r="L1428" s="11"/>
      <c r="M1428" s="11"/>
      <c r="N1428" s="11"/>
      <c r="O1428" s="11"/>
      <c r="P1428" s="11"/>
      <c r="Q1428" s="11"/>
      <c r="R1428" s="36"/>
      <c r="S1428" s="36"/>
      <c r="T1428" s="38"/>
      <c r="U1428" s="38"/>
      <c r="V1428" s="38"/>
      <c r="W1428" s="38"/>
    </row>
    <row r="1429" spans="12:23" s="12" customFormat="1" x14ac:dyDescent="0.35">
      <c r="L1429" s="11"/>
      <c r="M1429" s="11"/>
      <c r="N1429" s="11"/>
      <c r="O1429" s="11"/>
      <c r="P1429" s="11"/>
      <c r="Q1429" s="11"/>
      <c r="R1429" s="36"/>
      <c r="S1429" s="36"/>
      <c r="T1429" s="38"/>
      <c r="U1429" s="38"/>
      <c r="V1429" s="38"/>
      <c r="W1429" s="38"/>
    </row>
    <row r="1430" spans="12:23" s="12" customFormat="1" x14ac:dyDescent="0.35">
      <c r="L1430" s="11"/>
      <c r="M1430" s="11"/>
      <c r="N1430" s="11"/>
      <c r="O1430" s="11"/>
      <c r="P1430" s="11"/>
      <c r="Q1430" s="11"/>
      <c r="R1430" s="36"/>
      <c r="S1430" s="36"/>
      <c r="T1430" s="38"/>
      <c r="U1430" s="38"/>
      <c r="V1430" s="38"/>
      <c r="W1430" s="38"/>
    </row>
    <row r="1431" spans="12:23" s="12" customFormat="1" x14ac:dyDescent="0.35">
      <c r="L1431" s="11"/>
      <c r="M1431" s="11"/>
      <c r="N1431" s="11"/>
      <c r="O1431" s="11"/>
      <c r="P1431" s="11"/>
      <c r="Q1431" s="11"/>
      <c r="R1431" s="36"/>
      <c r="S1431" s="36"/>
      <c r="T1431" s="38"/>
      <c r="U1431" s="38"/>
      <c r="V1431" s="38"/>
      <c r="W1431" s="38"/>
    </row>
    <row r="1432" spans="12:23" s="12" customFormat="1" x14ac:dyDescent="0.35">
      <c r="L1432" s="11"/>
      <c r="M1432" s="11"/>
      <c r="N1432" s="11"/>
      <c r="O1432" s="11"/>
      <c r="P1432" s="11"/>
      <c r="Q1432" s="11"/>
      <c r="R1432" s="36"/>
      <c r="S1432" s="36"/>
      <c r="T1432" s="38"/>
      <c r="U1432" s="38"/>
      <c r="V1432" s="38"/>
      <c r="W1432" s="38"/>
    </row>
    <row r="1433" spans="12:23" s="12" customFormat="1" x14ac:dyDescent="0.35">
      <c r="L1433" s="11"/>
      <c r="M1433" s="11"/>
      <c r="N1433" s="11"/>
      <c r="O1433" s="11"/>
      <c r="P1433" s="11"/>
      <c r="Q1433" s="11"/>
      <c r="R1433" s="36"/>
      <c r="S1433" s="36"/>
      <c r="T1433" s="38"/>
      <c r="U1433" s="38"/>
      <c r="V1433" s="38"/>
      <c r="W1433" s="38"/>
    </row>
    <row r="1434" spans="12:23" s="12" customFormat="1" x14ac:dyDescent="0.35">
      <c r="L1434" s="11"/>
      <c r="M1434" s="11"/>
      <c r="N1434" s="11"/>
      <c r="O1434" s="11"/>
      <c r="P1434" s="11"/>
      <c r="Q1434" s="11"/>
      <c r="R1434" s="36"/>
      <c r="S1434" s="36"/>
      <c r="T1434" s="38"/>
      <c r="U1434" s="38"/>
      <c r="V1434" s="38"/>
      <c r="W1434" s="38"/>
    </row>
    <row r="1435" spans="12:23" s="12" customFormat="1" x14ac:dyDescent="0.35">
      <c r="L1435" s="11"/>
      <c r="M1435" s="11"/>
      <c r="N1435" s="11"/>
      <c r="O1435" s="11"/>
      <c r="P1435" s="11"/>
      <c r="Q1435" s="11"/>
      <c r="R1435" s="36"/>
      <c r="S1435" s="36"/>
      <c r="T1435" s="38"/>
      <c r="U1435" s="38"/>
      <c r="V1435" s="38"/>
      <c r="W1435" s="38"/>
    </row>
    <row r="1436" spans="12:23" s="12" customFormat="1" x14ac:dyDescent="0.35">
      <c r="L1436" s="11"/>
      <c r="M1436" s="11"/>
      <c r="N1436" s="11"/>
      <c r="O1436" s="11"/>
      <c r="P1436" s="11"/>
      <c r="Q1436" s="11"/>
      <c r="R1436" s="36"/>
      <c r="S1436" s="36"/>
      <c r="T1436" s="38"/>
      <c r="U1436" s="38"/>
      <c r="V1436" s="38"/>
      <c r="W1436" s="38"/>
    </row>
  </sheetData>
  <mergeCells count="1">
    <mergeCell ref="C3:F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11C2-5B94-4BD7-B4BE-DF1E192EC0EE}">
  <dimension ref="A4:AF1231"/>
  <sheetViews>
    <sheetView tabSelected="1" topLeftCell="A1212" workbookViewId="0">
      <selection activeCell="I1217" sqref="I1217"/>
    </sheetView>
  </sheetViews>
  <sheetFormatPr defaultRowHeight="14.15" x14ac:dyDescent="0.35"/>
  <cols>
    <col min="1" max="1" width="11.0703125" bestFit="1" customWidth="1"/>
    <col min="2" max="32" width="12.28515625" customWidth="1"/>
  </cols>
  <sheetData>
    <row r="4" spans="1:32" x14ac:dyDescent="0.35">
      <c r="A4" s="1" t="s">
        <v>0</v>
      </c>
      <c r="B4" s="2">
        <v>37257</v>
      </c>
    </row>
    <row r="5" spans="1:32" x14ac:dyDescent="0.35">
      <c r="A5" s="1" t="s">
        <v>1</v>
      </c>
      <c r="B5" s="2" t="s">
        <v>2</v>
      </c>
    </row>
    <row r="6" spans="1:32" x14ac:dyDescent="0.35">
      <c r="A6" s="3" t="s">
        <v>3</v>
      </c>
      <c r="B6" s="4" t="s">
        <v>3</v>
      </c>
    </row>
    <row r="7" spans="1:32" x14ac:dyDescent="0.35">
      <c r="A7" s="5" t="s">
        <v>4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  <c r="Y7" s="5" t="s">
        <v>29</v>
      </c>
      <c r="Z7" s="5" t="s">
        <v>30</v>
      </c>
      <c r="AA7" s="5" t="s">
        <v>31</v>
      </c>
      <c r="AB7" s="5" t="s">
        <v>32</v>
      </c>
      <c r="AC7" s="5" t="s">
        <v>33</v>
      </c>
      <c r="AD7" s="5" t="s">
        <v>34</v>
      </c>
      <c r="AE7" s="5" t="s">
        <v>35</v>
      </c>
      <c r="AF7" s="5" t="s">
        <v>36</v>
      </c>
    </row>
    <row r="8" spans="1:32" x14ac:dyDescent="0.35">
      <c r="A8" s="3" t="s">
        <v>5</v>
      </c>
      <c r="B8" s="4" t="s">
        <v>163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4" t="s">
        <v>44</v>
      </c>
      <c r="K8" s="4" t="s">
        <v>45</v>
      </c>
      <c r="L8" s="4" t="s">
        <v>46</v>
      </c>
      <c r="M8" s="4" t="s">
        <v>47</v>
      </c>
      <c r="N8" s="4" t="s">
        <v>48</v>
      </c>
      <c r="O8" s="4" t="s">
        <v>49</v>
      </c>
      <c r="P8" s="4" t="s">
        <v>50</v>
      </c>
      <c r="Q8" s="4" t="s">
        <v>51</v>
      </c>
      <c r="R8" s="4" t="s">
        <v>52</v>
      </c>
      <c r="S8" s="4" t="s">
        <v>53</v>
      </c>
      <c r="T8" s="4" t="s">
        <v>54</v>
      </c>
      <c r="U8" s="4" t="s">
        <v>55</v>
      </c>
      <c r="V8" s="4" t="s">
        <v>56</v>
      </c>
      <c r="W8" s="4" t="s">
        <v>57</v>
      </c>
      <c r="X8" s="4" t="s">
        <v>58</v>
      </c>
      <c r="Y8" s="4" t="s">
        <v>59</v>
      </c>
      <c r="Z8" s="4" t="s">
        <v>60</v>
      </c>
      <c r="AA8" s="4" t="s">
        <v>61</v>
      </c>
      <c r="AB8" s="4" t="s">
        <v>62</v>
      </c>
      <c r="AC8" s="4" t="s">
        <v>63</v>
      </c>
      <c r="AD8" s="4" t="s">
        <v>64</v>
      </c>
      <c r="AE8" s="4" t="s">
        <v>65</v>
      </c>
      <c r="AF8" s="4" t="s">
        <v>66</v>
      </c>
    </row>
    <row r="9" spans="1:32" x14ac:dyDescent="0.35">
      <c r="A9" s="1">
        <v>37608</v>
      </c>
      <c r="B9" s="6">
        <f>[1]!WSD(B8:AF8,B6,B4,B5,"TradingCalendar=SSE","PriceAdj=","rptType=1","Version=1","ShowParams=Y","cols=31;rows=1223")</f>
        <v>719542</v>
      </c>
      <c r="C9" s="6">
        <v>11039</v>
      </c>
      <c r="D9" s="6">
        <v>2200</v>
      </c>
      <c r="E9" s="6">
        <v>1035</v>
      </c>
      <c r="F9" s="6">
        <v>669223</v>
      </c>
      <c r="G9" s="6">
        <v>629407</v>
      </c>
      <c r="H9" s="6">
        <v>629397</v>
      </c>
      <c r="I9" s="6">
        <v>226682</v>
      </c>
      <c r="J9" s="6">
        <v>389219</v>
      </c>
      <c r="K9" s="6">
        <v>12242</v>
      </c>
      <c r="L9" s="6">
        <v>1253</v>
      </c>
      <c r="M9" s="6">
        <v>47253</v>
      </c>
      <c r="N9" s="6">
        <v>134262</v>
      </c>
      <c r="O9" s="6">
        <v>140816</v>
      </c>
      <c r="P9" s="6">
        <v>173935</v>
      </c>
      <c r="Q9" s="6">
        <v>53295</v>
      </c>
      <c r="R9" s="6">
        <v>79836</v>
      </c>
      <c r="S9" s="6">
        <v>10</v>
      </c>
      <c r="T9" s="6">
        <v>0</v>
      </c>
      <c r="U9" s="6">
        <v>10829</v>
      </c>
      <c r="V9" s="6">
        <v>-1058</v>
      </c>
      <c r="W9" s="6">
        <v>30000</v>
      </c>
      <c r="X9" s="6">
        <v>45</v>
      </c>
      <c r="Y9" s="6"/>
      <c r="Z9" s="6"/>
      <c r="AA9" s="6"/>
      <c r="AB9" s="6">
        <v>8800</v>
      </c>
      <c r="AC9" s="6">
        <v>1534</v>
      </c>
      <c r="AD9" s="6">
        <v>0</v>
      </c>
      <c r="AE9" s="6">
        <v>16551</v>
      </c>
      <c r="AF9" s="6">
        <v>9161</v>
      </c>
    </row>
    <row r="10" spans="1:32" x14ac:dyDescent="0.35">
      <c r="A10" s="1">
        <v>37615</v>
      </c>
      <c r="B10" s="6">
        <v>732059</v>
      </c>
      <c r="C10" s="6">
        <v>11039</v>
      </c>
      <c r="D10" s="6">
        <v>2200</v>
      </c>
      <c r="E10" s="6">
        <v>1011</v>
      </c>
      <c r="F10" s="6">
        <v>676466</v>
      </c>
      <c r="G10" s="6">
        <v>629412</v>
      </c>
      <c r="H10" s="6">
        <v>629402</v>
      </c>
      <c r="I10" s="6">
        <v>226682</v>
      </c>
      <c r="J10" s="6">
        <v>389219</v>
      </c>
      <c r="K10" s="6">
        <v>12242</v>
      </c>
      <c r="L10" s="6">
        <v>1258</v>
      </c>
      <c r="M10" s="6">
        <v>33670</v>
      </c>
      <c r="N10" s="6">
        <v>146846</v>
      </c>
      <c r="O10" s="6">
        <v>141815</v>
      </c>
      <c r="P10" s="6">
        <v>173936</v>
      </c>
      <c r="Q10" s="6">
        <v>53298</v>
      </c>
      <c r="R10" s="6">
        <v>79838</v>
      </c>
      <c r="S10" s="6">
        <v>10</v>
      </c>
      <c r="T10" s="6">
        <v>0</v>
      </c>
      <c r="U10" s="6">
        <v>10793</v>
      </c>
      <c r="V10" s="6">
        <v>-1048</v>
      </c>
      <c r="W10" s="6">
        <v>37250</v>
      </c>
      <c r="X10" s="6">
        <v>59</v>
      </c>
      <c r="Y10" s="6"/>
      <c r="Z10" s="6"/>
      <c r="AA10" s="6"/>
      <c r="AB10" s="6">
        <v>13239</v>
      </c>
      <c r="AC10" s="6">
        <v>1540</v>
      </c>
      <c r="AD10" s="6">
        <v>0</v>
      </c>
      <c r="AE10" s="6">
        <v>16655</v>
      </c>
      <c r="AF10" s="6">
        <v>9909</v>
      </c>
    </row>
    <row r="11" spans="1:32" x14ac:dyDescent="0.35">
      <c r="A11" s="1">
        <v>37622</v>
      </c>
      <c r="B11" s="6">
        <v>730994</v>
      </c>
      <c r="C11" s="6">
        <v>11039</v>
      </c>
      <c r="D11" s="6">
        <v>2200</v>
      </c>
      <c r="E11" s="6">
        <v>988</v>
      </c>
      <c r="F11" s="6">
        <v>678665</v>
      </c>
      <c r="G11" s="6">
        <v>629416</v>
      </c>
      <c r="H11" s="6">
        <v>629406</v>
      </c>
      <c r="I11" s="6">
        <v>226682</v>
      </c>
      <c r="J11" s="6">
        <v>389219</v>
      </c>
      <c r="K11" s="6">
        <v>12242</v>
      </c>
      <c r="L11" s="6">
        <v>1263</v>
      </c>
      <c r="M11" s="6">
        <v>27444</v>
      </c>
      <c r="N11" s="6">
        <v>154225</v>
      </c>
      <c r="O11" s="6">
        <v>141840</v>
      </c>
      <c r="P11" s="6">
        <v>172758</v>
      </c>
      <c r="Q11" s="6">
        <v>53300</v>
      </c>
      <c r="R11" s="6">
        <v>79840</v>
      </c>
      <c r="S11" s="6">
        <v>10</v>
      </c>
      <c r="T11" s="6">
        <v>0</v>
      </c>
      <c r="U11" s="6">
        <v>10762</v>
      </c>
      <c r="V11" s="6">
        <v>-1054</v>
      </c>
      <c r="W11" s="6">
        <v>39500</v>
      </c>
      <c r="X11" s="6">
        <v>40</v>
      </c>
      <c r="Y11" s="6"/>
      <c r="Z11" s="6"/>
      <c r="AA11" s="6"/>
      <c r="AB11" s="6">
        <v>10291</v>
      </c>
      <c r="AC11" s="6">
        <v>1543</v>
      </c>
      <c r="AD11" s="6">
        <v>0</v>
      </c>
      <c r="AE11" s="6">
        <v>16913</v>
      </c>
      <c r="AF11" s="6">
        <v>9356</v>
      </c>
    </row>
    <row r="12" spans="1:32" x14ac:dyDescent="0.35">
      <c r="A12" s="1">
        <v>37629</v>
      </c>
      <c r="B12" s="6">
        <v>723762</v>
      </c>
      <c r="C12" s="6">
        <v>11039</v>
      </c>
      <c r="D12" s="6">
        <v>2200</v>
      </c>
      <c r="E12" s="6">
        <v>996</v>
      </c>
      <c r="F12" s="6">
        <v>672872</v>
      </c>
      <c r="G12" s="6">
        <v>629416</v>
      </c>
      <c r="H12" s="6">
        <v>629406</v>
      </c>
      <c r="I12" s="6">
        <v>226682</v>
      </c>
      <c r="J12" s="6">
        <v>389219</v>
      </c>
      <c r="K12" s="6">
        <v>12242</v>
      </c>
      <c r="L12" s="6">
        <v>1263</v>
      </c>
      <c r="M12" s="6">
        <v>42439</v>
      </c>
      <c r="N12" s="6">
        <v>138513</v>
      </c>
      <c r="O12" s="6">
        <v>142557</v>
      </c>
      <c r="P12" s="6">
        <v>172758</v>
      </c>
      <c r="Q12" s="6">
        <v>53300</v>
      </c>
      <c r="R12" s="6">
        <v>79840</v>
      </c>
      <c r="S12" s="6">
        <v>10</v>
      </c>
      <c r="T12" s="6">
        <v>0</v>
      </c>
      <c r="U12" s="6">
        <v>10722</v>
      </c>
      <c r="V12" s="6">
        <v>-1034</v>
      </c>
      <c r="W12" s="6">
        <v>33750</v>
      </c>
      <c r="X12" s="6">
        <v>18</v>
      </c>
      <c r="Y12" s="6"/>
      <c r="Z12" s="6"/>
      <c r="AA12" s="6"/>
      <c r="AB12" s="6">
        <v>8353</v>
      </c>
      <c r="AC12" s="6">
        <v>1541</v>
      </c>
      <c r="AD12" s="6">
        <v>0</v>
      </c>
      <c r="AE12" s="6">
        <v>16847</v>
      </c>
      <c r="AF12" s="6">
        <v>9914</v>
      </c>
    </row>
    <row r="13" spans="1:32" x14ac:dyDescent="0.35">
      <c r="A13" s="1">
        <v>37636</v>
      </c>
      <c r="B13" s="6">
        <v>720074</v>
      </c>
      <c r="C13" s="6">
        <v>11039</v>
      </c>
      <c r="D13" s="6">
        <v>2200</v>
      </c>
      <c r="E13" s="6">
        <v>1043</v>
      </c>
      <c r="F13" s="6">
        <v>669094</v>
      </c>
      <c r="G13" s="6">
        <v>629416</v>
      </c>
      <c r="H13" s="6">
        <v>629406</v>
      </c>
      <c r="I13" s="6">
        <v>226682</v>
      </c>
      <c r="J13" s="6">
        <v>389219</v>
      </c>
      <c r="K13" s="6">
        <v>12242</v>
      </c>
      <c r="L13" s="6">
        <v>1263</v>
      </c>
      <c r="M13" s="6">
        <v>43631</v>
      </c>
      <c r="N13" s="6">
        <v>136918</v>
      </c>
      <c r="O13" s="6">
        <v>142959</v>
      </c>
      <c r="P13" s="6">
        <v>174818</v>
      </c>
      <c r="Q13" s="6">
        <v>51240</v>
      </c>
      <c r="R13" s="6">
        <v>79840</v>
      </c>
      <c r="S13" s="6">
        <v>10</v>
      </c>
      <c r="T13" s="6">
        <v>0</v>
      </c>
      <c r="U13" s="6">
        <v>10687</v>
      </c>
      <c r="V13" s="6">
        <v>-1024</v>
      </c>
      <c r="W13" s="6">
        <v>30000</v>
      </c>
      <c r="X13" s="6">
        <v>15</v>
      </c>
      <c r="Y13" s="6"/>
      <c r="Z13" s="6"/>
      <c r="AA13" s="6"/>
      <c r="AB13" s="6">
        <v>8155</v>
      </c>
      <c r="AC13" s="6">
        <v>1542</v>
      </c>
      <c r="AD13" s="6">
        <v>0</v>
      </c>
      <c r="AE13" s="6">
        <v>17060</v>
      </c>
      <c r="AF13" s="6">
        <v>9942</v>
      </c>
    </row>
    <row r="14" spans="1:32" x14ac:dyDescent="0.35">
      <c r="A14" s="1">
        <v>37643</v>
      </c>
      <c r="B14" s="6">
        <v>735953</v>
      </c>
      <c r="C14" s="6">
        <v>11039</v>
      </c>
      <c r="D14" s="6">
        <v>2200</v>
      </c>
      <c r="E14" s="6">
        <v>1085</v>
      </c>
      <c r="F14" s="6">
        <v>675815</v>
      </c>
      <c r="G14" s="6">
        <v>629416</v>
      </c>
      <c r="H14" s="6">
        <v>629406</v>
      </c>
      <c r="I14" s="6">
        <v>226682</v>
      </c>
      <c r="J14" s="6">
        <v>389219</v>
      </c>
      <c r="K14" s="6">
        <v>12242</v>
      </c>
      <c r="L14" s="6">
        <v>1263</v>
      </c>
      <c r="M14" s="6">
        <v>50618</v>
      </c>
      <c r="N14" s="6">
        <v>129676</v>
      </c>
      <c r="O14" s="6">
        <v>143215</v>
      </c>
      <c r="P14" s="6">
        <v>174818</v>
      </c>
      <c r="Q14" s="6">
        <v>51240</v>
      </c>
      <c r="R14" s="6">
        <v>79840</v>
      </c>
      <c r="S14" s="6">
        <v>10</v>
      </c>
      <c r="T14" s="6">
        <v>0</v>
      </c>
      <c r="U14" s="6">
        <v>10652</v>
      </c>
      <c r="V14" s="6">
        <v>-1016</v>
      </c>
      <c r="W14" s="6">
        <v>36750</v>
      </c>
      <c r="X14" s="6">
        <v>13</v>
      </c>
      <c r="Y14" s="6"/>
      <c r="Z14" s="6"/>
      <c r="AA14" s="6"/>
      <c r="AB14" s="6">
        <v>16652</v>
      </c>
      <c r="AC14" s="6">
        <v>1541</v>
      </c>
      <c r="AD14" s="6">
        <v>0</v>
      </c>
      <c r="AE14" s="6">
        <v>17180</v>
      </c>
      <c r="AF14" s="6">
        <v>10442</v>
      </c>
    </row>
    <row r="15" spans="1:32" x14ac:dyDescent="0.35">
      <c r="A15" s="1">
        <v>37650</v>
      </c>
      <c r="B15" s="6">
        <v>712809</v>
      </c>
      <c r="C15" s="6">
        <v>11039</v>
      </c>
      <c r="D15" s="6">
        <v>2200</v>
      </c>
      <c r="E15" s="6">
        <v>1111</v>
      </c>
      <c r="F15" s="6">
        <v>659535</v>
      </c>
      <c r="G15" s="6">
        <v>629416</v>
      </c>
      <c r="H15" s="6">
        <v>629406</v>
      </c>
      <c r="I15" s="6">
        <v>226682</v>
      </c>
      <c r="J15" s="6">
        <v>389219</v>
      </c>
      <c r="K15" s="6">
        <v>12242</v>
      </c>
      <c r="L15" s="6">
        <v>1263</v>
      </c>
      <c r="M15" s="6">
        <v>49592</v>
      </c>
      <c r="N15" s="6">
        <v>130709</v>
      </c>
      <c r="O15" s="6">
        <v>143207</v>
      </c>
      <c r="P15" s="6">
        <v>174818</v>
      </c>
      <c r="Q15" s="6">
        <v>51240</v>
      </c>
      <c r="R15" s="6">
        <v>79840</v>
      </c>
      <c r="S15" s="6">
        <v>10</v>
      </c>
      <c r="T15" s="6">
        <v>0</v>
      </c>
      <c r="U15" s="6">
        <v>10617</v>
      </c>
      <c r="V15" s="6">
        <v>-1009</v>
      </c>
      <c r="W15" s="6">
        <v>20500</v>
      </c>
      <c r="X15" s="6">
        <v>11</v>
      </c>
      <c r="Y15" s="6"/>
      <c r="Z15" s="6"/>
      <c r="AA15" s="6"/>
      <c r="AB15" s="6">
        <v>9250</v>
      </c>
      <c r="AC15" s="6">
        <v>1543</v>
      </c>
      <c r="AD15" s="6">
        <v>0</v>
      </c>
      <c r="AE15" s="6">
        <v>17299</v>
      </c>
      <c r="AF15" s="6">
        <v>10831</v>
      </c>
    </row>
    <row r="16" spans="1:32" x14ac:dyDescent="0.35">
      <c r="A16" s="1">
        <v>37657</v>
      </c>
      <c r="B16" s="6">
        <v>719643</v>
      </c>
      <c r="C16" s="6">
        <v>11039</v>
      </c>
      <c r="D16" s="6">
        <v>2200</v>
      </c>
      <c r="E16" s="6">
        <v>1134</v>
      </c>
      <c r="F16" s="6">
        <v>666743</v>
      </c>
      <c r="G16" s="6">
        <v>629411</v>
      </c>
      <c r="H16" s="6">
        <v>629401</v>
      </c>
      <c r="I16" s="6">
        <v>226682</v>
      </c>
      <c r="J16" s="6">
        <v>389219</v>
      </c>
      <c r="K16" s="6">
        <v>12242</v>
      </c>
      <c r="L16" s="6">
        <v>1257</v>
      </c>
      <c r="M16" s="6">
        <v>45981</v>
      </c>
      <c r="N16" s="6">
        <v>134667</v>
      </c>
      <c r="O16" s="6">
        <v>142243</v>
      </c>
      <c r="P16" s="6">
        <v>175434</v>
      </c>
      <c r="Q16" s="6">
        <v>51239</v>
      </c>
      <c r="R16" s="6">
        <v>79837</v>
      </c>
      <c r="S16" s="6">
        <v>10</v>
      </c>
      <c r="T16" s="6">
        <v>0</v>
      </c>
      <c r="U16" s="6">
        <v>10582</v>
      </c>
      <c r="V16" s="6">
        <v>-1016</v>
      </c>
      <c r="W16" s="6">
        <v>27750</v>
      </c>
      <c r="X16" s="6">
        <v>15</v>
      </c>
      <c r="Y16" s="6"/>
      <c r="Z16" s="6"/>
      <c r="AA16" s="6"/>
      <c r="AB16" s="6">
        <v>8959</v>
      </c>
      <c r="AC16" s="6">
        <v>1539</v>
      </c>
      <c r="AD16" s="6">
        <v>0</v>
      </c>
      <c r="AE16" s="6">
        <v>17178</v>
      </c>
      <c r="AF16" s="6">
        <v>10850</v>
      </c>
    </row>
    <row r="17" spans="1:32" x14ac:dyDescent="0.35">
      <c r="A17" s="1">
        <v>37664</v>
      </c>
      <c r="B17" s="6">
        <v>713281</v>
      </c>
      <c r="C17" s="6">
        <v>11039</v>
      </c>
      <c r="D17" s="6">
        <v>2200</v>
      </c>
      <c r="E17" s="6">
        <v>1142</v>
      </c>
      <c r="F17" s="6">
        <v>661276</v>
      </c>
      <c r="G17" s="6">
        <v>630957</v>
      </c>
      <c r="H17" s="6">
        <v>630947</v>
      </c>
      <c r="I17" s="6">
        <v>227238</v>
      </c>
      <c r="J17" s="6">
        <v>390217</v>
      </c>
      <c r="K17" s="6">
        <v>12242</v>
      </c>
      <c r="L17" s="6">
        <v>1250</v>
      </c>
      <c r="M17" s="6">
        <v>44507</v>
      </c>
      <c r="N17" s="6">
        <v>136637</v>
      </c>
      <c r="O17" s="6">
        <v>142780</v>
      </c>
      <c r="P17" s="6">
        <v>175832</v>
      </c>
      <c r="Q17" s="6">
        <v>51356</v>
      </c>
      <c r="R17" s="6">
        <v>79834</v>
      </c>
      <c r="S17" s="6">
        <v>10</v>
      </c>
      <c r="T17" s="6">
        <v>0</v>
      </c>
      <c r="U17" s="6">
        <v>10580</v>
      </c>
      <c r="V17" s="6">
        <v>-1011</v>
      </c>
      <c r="W17" s="6">
        <v>20746</v>
      </c>
      <c r="X17" s="6">
        <v>4</v>
      </c>
      <c r="Y17" s="6"/>
      <c r="Z17" s="6"/>
      <c r="AA17" s="6"/>
      <c r="AB17" s="6">
        <v>7829</v>
      </c>
      <c r="AC17" s="6">
        <v>1541</v>
      </c>
      <c r="AD17" s="6">
        <v>0</v>
      </c>
      <c r="AE17" s="6">
        <v>16977</v>
      </c>
      <c r="AF17" s="6">
        <v>11276</v>
      </c>
    </row>
    <row r="18" spans="1:32" x14ac:dyDescent="0.35">
      <c r="A18" s="1">
        <v>37671</v>
      </c>
      <c r="B18" s="6">
        <v>730400</v>
      </c>
      <c r="C18" s="6">
        <v>11039</v>
      </c>
      <c r="D18" s="6">
        <v>2200</v>
      </c>
      <c r="E18" s="6">
        <v>1123</v>
      </c>
      <c r="F18" s="6">
        <v>675312</v>
      </c>
      <c r="G18" s="6">
        <v>631273</v>
      </c>
      <c r="H18" s="6">
        <v>631263</v>
      </c>
      <c r="I18" s="6">
        <v>227561</v>
      </c>
      <c r="J18" s="6">
        <v>390217</v>
      </c>
      <c r="K18" s="6">
        <v>12242</v>
      </c>
      <c r="L18" s="6">
        <v>1242</v>
      </c>
      <c r="M18" s="6">
        <v>46317</v>
      </c>
      <c r="N18" s="6">
        <v>131154</v>
      </c>
      <c r="O18" s="6">
        <v>145010</v>
      </c>
      <c r="P18" s="6">
        <v>177990</v>
      </c>
      <c r="Q18" s="6">
        <v>50961</v>
      </c>
      <c r="R18" s="6">
        <v>79831</v>
      </c>
      <c r="S18" s="6">
        <v>10</v>
      </c>
      <c r="T18" s="6">
        <v>0</v>
      </c>
      <c r="U18" s="6">
        <v>10546</v>
      </c>
      <c r="V18" s="6">
        <v>-1021</v>
      </c>
      <c r="W18" s="6">
        <v>34496</v>
      </c>
      <c r="X18" s="6">
        <v>17</v>
      </c>
      <c r="Y18" s="6"/>
      <c r="Z18" s="6"/>
      <c r="AA18" s="6"/>
      <c r="AB18" s="6">
        <v>14167</v>
      </c>
      <c r="AC18" s="6">
        <v>1557</v>
      </c>
      <c r="AD18" s="6">
        <v>0</v>
      </c>
      <c r="AE18" s="6">
        <v>17180</v>
      </c>
      <c r="AF18" s="6">
        <v>7821</v>
      </c>
    </row>
    <row r="19" spans="1:32" x14ac:dyDescent="0.35">
      <c r="A19" s="1">
        <v>37678</v>
      </c>
      <c r="B19" s="6">
        <v>721980</v>
      </c>
      <c r="C19" s="6">
        <v>11039</v>
      </c>
      <c r="D19" s="6">
        <v>2200</v>
      </c>
      <c r="E19" s="6">
        <v>1100</v>
      </c>
      <c r="F19" s="6">
        <v>671334</v>
      </c>
      <c r="G19" s="6">
        <v>636006</v>
      </c>
      <c r="H19" s="6">
        <v>635996</v>
      </c>
      <c r="I19" s="6">
        <v>230606</v>
      </c>
      <c r="J19" s="6">
        <v>391913</v>
      </c>
      <c r="K19" s="6">
        <v>12242</v>
      </c>
      <c r="L19" s="6">
        <v>1235</v>
      </c>
      <c r="M19" s="6">
        <v>45075</v>
      </c>
      <c r="N19" s="6">
        <v>133699</v>
      </c>
      <c r="O19" s="6">
        <v>146752</v>
      </c>
      <c r="P19" s="6">
        <v>178982</v>
      </c>
      <c r="Q19" s="6">
        <v>51659</v>
      </c>
      <c r="R19" s="6">
        <v>79828</v>
      </c>
      <c r="S19" s="6">
        <v>10</v>
      </c>
      <c r="T19" s="6">
        <v>0</v>
      </c>
      <c r="U19" s="6">
        <v>10577</v>
      </c>
      <c r="V19" s="6">
        <v>-1004</v>
      </c>
      <c r="W19" s="6">
        <v>25750</v>
      </c>
      <c r="X19" s="6">
        <v>6</v>
      </c>
      <c r="Y19" s="6"/>
      <c r="Z19" s="6"/>
      <c r="AA19" s="6"/>
      <c r="AB19" s="6">
        <v>9197</v>
      </c>
      <c r="AC19" s="6">
        <v>1557</v>
      </c>
      <c r="AD19" s="6">
        <v>0</v>
      </c>
      <c r="AE19" s="6">
        <v>17330</v>
      </c>
      <c r="AF19" s="6">
        <v>8223</v>
      </c>
    </row>
    <row r="20" spans="1:32" x14ac:dyDescent="0.35">
      <c r="A20" s="1">
        <v>37685</v>
      </c>
      <c r="B20" s="6">
        <v>722649</v>
      </c>
      <c r="C20" s="6">
        <v>11039</v>
      </c>
      <c r="D20" s="6">
        <v>2200</v>
      </c>
      <c r="E20" s="6">
        <v>1080</v>
      </c>
      <c r="F20" s="6">
        <v>670028</v>
      </c>
      <c r="G20" s="6">
        <v>637149</v>
      </c>
      <c r="H20" s="6">
        <v>637139</v>
      </c>
      <c r="I20" s="6">
        <v>231061</v>
      </c>
      <c r="J20" s="6">
        <v>392593</v>
      </c>
      <c r="K20" s="6">
        <v>12242</v>
      </c>
      <c r="L20" s="6">
        <v>1242</v>
      </c>
      <c r="M20" s="6">
        <v>35519</v>
      </c>
      <c r="N20" s="6">
        <v>140723</v>
      </c>
      <c r="O20" s="6">
        <v>149160</v>
      </c>
      <c r="P20" s="6">
        <v>180176</v>
      </c>
      <c r="Q20" s="6">
        <v>51730</v>
      </c>
      <c r="R20" s="6">
        <v>79831</v>
      </c>
      <c r="S20" s="6">
        <v>10</v>
      </c>
      <c r="T20" s="6">
        <v>0</v>
      </c>
      <c r="U20" s="6">
        <v>10617</v>
      </c>
      <c r="V20" s="6">
        <v>-998</v>
      </c>
      <c r="W20" s="6">
        <v>23250</v>
      </c>
      <c r="X20" s="6">
        <v>11</v>
      </c>
      <c r="Y20" s="6"/>
      <c r="Z20" s="6"/>
      <c r="AA20" s="6"/>
      <c r="AB20" s="6">
        <v>10984</v>
      </c>
      <c r="AC20" s="6">
        <v>1555</v>
      </c>
      <c r="AD20" s="6">
        <v>0</v>
      </c>
      <c r="AE20" s="6">
        <v>17473</v>
      </c>
      <c r="AF20" s="6">
        <v>8291</v>
      </c>
    </row>
    <row r="21" spans="1:32" x14ac:dyDescent="0.35">
      <c r="A21" s="1">
        <v>37692</v>
      </c>
      <c r="B21" s="6">
        <v>717014</v>
      </c>
      <c r="C21" s="6">
        <v>11039</v>
      </c>
      <c r="D21" s="6">
        <v>2200</v>
      </c>
      <c r="E21" s="6">
        <v>1070</v>
      </c>
      <c r="F21" s="6">
        <v>667105</v>
      </c>
      <c r="G21" s="6">
        <v>638724</v>
      </c>
      <c r="H21" s="6">
        <v>638714</v>
      </c>
      <c r="I21" s="6">
        <v>231305</v>
      </c>
      <c r="J21" s="6">
        <v>393911</v>
      </c>
      <c r="K21" s="6">
        <v>12242</v>
      </c>
      <c r="L21" s="6">
        <v>1256</v>
      </c>
      <c r="M21" s="6">
        <v>35307</v>
      </c>
      <c r="N21" s="6">
        <v>141821</v>
      </c>
      <c r="O21" s="6">
        <v>149837</v>
      </c>
      <c r="P21" s="6">
        <v>180179</v>
      </c>
      <c r="Q21" s="6">
        <v>51734</v>
      </c>
      <c r="R21" s="6">
        <v>79837</v>
      </c>
      <c r="S21" s="6">
        <v>10</v>
      </c>
      <c r="T21" s="6">
        <v>0</v>
      </c>
      <c r="U21" s="6">
        <v>10609</v>
      </c>
      <c r="V21" s="6">
        <v>-987</v>
      </c>
      <c r="W21" s="6">
        <v>18750</v>
      </c>
      <c r="X21" s="6">
        <v>9</v>
      </c>
      <c r="Y21" s="6"/>
      <c r="Z21" s="6"/>
      <c r="AA21" s="6"/>
      <c r="AB21" s="6">
        <v>7890</v>
      </c>
      <c r="AC21" s="6">
        <v>1557</v>
      </c>
      <c r="AD21" s="6">
        <v>0</v>
      </c>
      <c r="AE21" s="6">
        <v>17536</v>
      </c>
      <c r="AF21" s="6">
        <v>8618</v>
      </c>
    </row>
    <row r="22" spans="1:32" x14ac:dyDescent="0.35">
      <c r="A22" s="1">
        <v>37699</v>
      </c>
      <c r="B22" s="6">
        <v>729923</v>
      </c>
      <c r="C22" s="6">
        <v>11039</v>
      </c>
      <c r="D22" s="6">
        <v>2200</v>
      </c>
      <c r="E22" s="6">
        <v>1071</v>
      </c>
      <c r="F22" s="6">
        <v>676559</v>
      </c>
      <c r="G22" s="6">
        <v>639899</v>
      </c>
      <c r="H22" s="6">
        <v>639889</v>
      </c>
      <c r="I22" s="6">
        <v>231756</v>
      </c>
      <c r="J22" s="6">
        <v>394621</v>
      </c>
      <c r="K22" s="6">
        <v>12242</v>
      </c>
      <c r="L22" s="6">
        <v>1269</v>
      </c>
      <c r="M22" s="6">
        <v>44050</v>
      </c>
      <c r="N22" s="6">
        <v>133419</v>
      </c>
      <c r="O22" s="6">
        <v>149946</v>
      </c>
      <c r="P22" s="6">
        <v>180893</v>
      </c>
      <c r="Q22" s="6">
        <v>51738</v>
      </c>
      <c r="R22" s="6">
        <v>79842</v>
      </c>
      <c r="S22" s="6">
        <v>10</v>
      </c>
      <c r="T22" s="6">
        <v>0</v>
      </c>
      <c r="U22" s="6">
        <v>10615</v>
      </c>
      <c r="V22" s="6">
        <v>-971</v>
      </c>
      <c r="W22" s="6">
        <v>27000</v>
      </c>
      <c r="X22" s="6">
        <v>17</v>
      </c>
      <c r="Y22" s="6"/>
      <c r="Z22" s="6"/>
      <c r="AA22" s="6"/>
      <c r="AB22" s="6">
        <v>11532</v>
      </c>
      <c r="AC22" s="6">
        <v>1557</v>
      </c>
      <c r="AD22" s="6">
        <v>0</v>
      </c>
      <c r="AE22" s="6">
        <v>16971</v>
      </c>
      <c r="AF22" s="6">
        <v>8994</v>
      </c>
    </row>
    <row r="23" spans="1:32" x14ac:dyDescent="0.35">
      <c r="A23" s="1">
        <v>37706</v>
      </c>
      <c r="B23" s="6">
        <v>725019</v>
      </c>
      <c r="C23" s="6">
        <v>11039</v>
      </c>
      <c r="D23" s="6">
        <v>2200</v>
      </c>
      <c r="E23" s="6">
        <v>1081</v>
      </c>
      <c r="F23" s="6">
        <v>676092</v>
      </c>
      <c r="G23" s="6">
        <v>640901</v>
      </c>
      <c r="H23" s="6">
        <v>640891</v>
      </c>
      <c r="I23" s="6">
        <v>232143</v>
      </c>
      <c r="J23" s="6">
        <v>394621</v>
      </c>
      <c r="K23" s="6">
        <v>12814</v>
      </c>
      <c r="L23" s="6">
        <v>1312</v>
      </c>
      <c r="M23" s="6">
        <v>44763</v>
      </c>
      <c r="N23" s="6">
        <v>133717</v>
      </c>
      <c r="O23" s="6">
        <v>149322</v>
      </c>
      <c r="P23" s="6">
        <v>180897</v>
      </c>
      <c r="Q23" s="6">
        <v>52287</v>
      </c>
      <c r="R23" s="6">
        <v>79904</v>
      </c>
      <c r="S23" s="6">
        <v>10</v>
      </c>
      <c r="T23" s="6">
        <v>0</v>
      </c>
      <c r="U23" s="6">
        <v>10636</v>
      </c>
      <c r="V23" s="6">
        <v>-952</v>
      </c>
      <c r="W23" s="6">
        <v>25500</v>
      </c>
      <c r="X23" s="6">
        <v>7</v>
      </c>
      <c r="Y23" s="6"/>
      <c r="Z23" s="6"/>
      <c r="AA23" s="6"/>
      <c r="AB23" s="6">
        <v>6565</v>
      </c>
      <c r="AC23" s="6">
        <v>1558</v>
      </c>
      <c r="AD23" s="6">
        <v>0</v>
      </c>
      <c r="AE23" s="6">
        <v>17050</v>
      </c>
      <c r="AF23" s="6">
        <v>9434</v>
      </c>
    </row>
    <row r="24" spans="1:32" x14ac:dyDescent="0.35">
      <c r="A24" s="1">
        <v>37713</v>
      </c>
      <c r="B24" s="6">
        <v>732452</v>
      </c>
      <c r="C24" s="6">
        <v>11038</v>
      </c>
      <c r="D24" s="6">
        <v>2200</v>
      </c>
      <c r="E24" s="6">
        <v>1092</v>
      </c>
      <c r="F24" s="6">
        <v>681645</v>
      </c>
      <c r="G24" s="6">
        <v>641482</v>
      </c>
      <c r="H24" s="6">
        <v>641472</v>
      </c>
      <c r="I24" s="6">
        <v>232708</v>
      </c>
      <c r="J24" s="6">
        <v>394621</v>
      </c>
      <c r="K24" s="6">
        <v>12814</v>
      </c>
      <c r="L24" s="6">
        <v>1329</v>
      </c>
      <c r="M24" s="6">
        <v>37761</v>
      </c>
      <c r="N24" s="6">
        <v>139767</v>
      </c>
      <c r="O24" s="6">
        <v>150962</v>
      </c>
      <c r="P24" s="6">
        <v>180779</v>
      </c>
      <c r="Q24" s="6">
        <v>52293</v>
      </c>
      <c r="R24" s="6">
        <v>79911</v>
      </c>
      <c r="S24" s="6">
        <v>10</v>
      </c>
      <c r="T24" s="6">
        <v>0</v>
      </c>
      <c r="U24" s="6">
        <v>10602</v>
      </c>
      <c r="V24" s="6">
        <v>-955</v>
      </c>
      <c r="W24" s="6">
        <v>30500</v>
      </c>
      <c r="X24" s="6">
        <v>15</v>
      </c>
      <c r="Y24" s="6"/>
      <c r="Z24" s="6"/>
      <c r="AA24" s="6"/>
      <c r="AB24" s="6">
        <v>8376</v>
      </c>
      <c r="AC24" s="6">
        <v>1557</v>
      </c>
      <c r="AD24" s="6">
        <v>0</v>
      </c>
      <c r="AE24" s="6">
        <v>17195</v>
      </c>
      <c r="AF24" s="6">
        <v>9349</v>
      </c>
    </row>
    <row r="25" spans="1:32" x14ac:dyDescent="0.35">
      <c r="A25" s="1">
        <v>37720</v>
      </c>
      <c r="B25" s="6">
        <v>727826</v>
      </c>
      <c r="C25" s="6">
        <v>11038</v>
      </c>
      <c r="D25" s="6">
        <v>2200</v>
      </c>
      <c r="E25" s="6">
        <v>1078</v>
      </c>
      <c r="F25" s="6">
        <v>676022</v>
      </c>
      <c r="G25" s="6">
        <v>645084</v>
      </c>
      <c r="H25" s="6">
        <v>645074</v>
      </c>
      <c r="I25" s="6">
        <v>235550</v>
      </c>
      <c r="J25" s="6">
        <v>395354</v>
      </c>
      <c r="K25" s="6">
        <v>12814</v>
      </c>
      <c r="L25" s="6">
        <v>1355</v>
      </c>
      <c r="M25" s="6">
        <v>39537</v>
      </c>
      <c r="N25" s="6">
        <v>139581</v>
      </c>
      <c r="O25" s="6">
        <v>152215</v>
      </c>
      <c r="P25" s="6">
        <v>181519</v>
      </c>
      <c r="Q25" s="6">
        <v>52301</v>
      </c>
      <c r="R25" s="6">
        <v>79921</v>
      </c>
      <c r="S25" s="6">
        <v>10</v>
      </c>
      <c r="T25" s="6">
        <v>0</v>
      </c>
      <c r="U25" s="6">
        <v>10609</v>
      </c>
      <c r="V25" s="6">
        <v>-954</v>
      </c>
      <c r="W25" s="6">
        <v>21250</v>
      </c>
      <c r="X25" s="6">
        <v>33</v>
      </c>
      <c r="Y25" s="6"/>
      <c r="Z25" s="6"/>
      <c r="AA25" s="6"/>
      <c r="AB25" s="6">
        <v>9043</v>
      </c>
      <c r="AC25" s="6">
        <v>1558</v>
      </c>
      <c r="AD25" s="6">
        <v>0</v>
      </c>
      <c r="AE25" s="6">
        <v>17072</v>
      </c>
      <c r="AF25" s="6">
        <v>9815</v>
      </c>
    </row>
    <row r="26" spans="1:32" x14ac:dyDescent="0.35">
      <c r="A26" s="1">
        <v>37727</v>
      </c>
      <c r="B26" s="6">
        <v>745838</v>
      </c>
      <c r="C26" s="6">
        <v>11038</v>
      </c>
      <c r="D26" s="6">
        <v>2200</v>
      </c>
      <c r="E26" s="6">
        <v>1056</v>
      </c>
      <c r="F26" s="6">
        <v>694486</v>
      </c>
      <c r="G26" s="6">
        <v>646795</v>
      </c>
      <c r="H26" s="6">
        <v>646785</v>
      </c>
      <c r="I26" s="6">
        <v>235814</v>
      </c>
      <c r="J26" s="6">
        <v>396776</v>
      </c>
      <c r="K26" s="6">
        <v>12814</v>
      </c>
      <c r="L26" s="6">
        <v>1380</v>
      </c>
      <c r="M26" s="6">
        <v>49663</v>
      </c>
      <c r="N26" s="6">
        <v>129782</v>
      </c>
      <c r="O26" s="6">
        <v>153573</v>
      </c>
      <c r="P26" s="6">
        <v>181526</v>
      </c>
      <c r="Q26" s="6">
        <v>52309</v>
      </c>
      <c r="R26" s="6">
        <v>79932</v>
      </c>
      <c r="S26" s="6">
        <v>10</v>
      </c>
      <c r="T26" s="6">
        <v>0</v>
      </c>
      <c r="U26" s="6">
        <v>10588</v>
      </c>
      <c r="V26" s="6">
        <v>-943</v>
      </c>
      <c r="W26" s="6">
        <v>38000</v>
      </c>
      <c r="X26" s="6">
        <v>46</v>
      </c>
      <c r="Y26" s="6"/>
      <c r="Z26" s="6"/>
      <c r="AA26" s="6"/>
      <c r="AB26" s="6">
        <v>8284</v>
      </c>
      <c r="AC26" s="6">
        <v>1559</v>
      </c>
      <c r="AD26" s="6">
        <v>0</v>
      </c>
      <c r="AE26" s="6">
        <v>17239</v>
      </c>
      <c r="AF26" s="6">
        <v>9974</v>
      </c>
    </row>
    <row r="27" spans="1:32" x14ac:dyDescent="0.35">
      <c r="A27" s="1">
        <v>37734</v>
      </c>
      <c r="B27" s="6">
        <v>732222</v>
      </c>
      <c r="C27" s="6">
        <v>11038</v>
      </c>
      <c r="D27" s="6">
        <v>2200</v>
      </c>
      <c r="E27" s="6">
        <v>1043</v>
      </c>
      <c r="F27" s="6">
        <v>681049</v>
      </c>
      <c r="G27" s="6">
        <v>646901</v>
      </c>
      <c r="H27" s="6">
        <v>646891</v>
      </c>
      <c r="I27" s="6">
        <v>235895</v>
      </c>
      <c r="J27" s="6">
        <v>396776</v>
      </c>
      <c r="K27" s="6">
        <v>12814</v>
      </c>
      <c r="L27" s="6">
        <v>1406</v>
      </c>
      <c r="M27" s="6">
        <v>51906</v>
      </c>
      <c r="N27" s="6">
        <v>127946</v>
      </c>
      <c r="O27" s="6">
        <v>154035</v>
      </c>
      <c r="P27" s="6">
        <v>181533</v>
      </c>
      <c r="Q27" s="6">
        <v>51529</v>
      </c>
      <c r="R27" s="6">
        <v>79942</v>
      </c>
      <c r="S27" s="6">
        <v>10</v>
      </c>
      <c r="T27" s="6">
        <v>0</v>
      </c>
      <c r="U27" s="6">
        <v>10554</v>
      </c>
      <c r="V27" s="6">
        <v>-936</v>
      </c>
      <c r="W27" s="6">
        <v>24500</v>
      </c>
      <c r="X27" s="6">
        <v>30</v>
      </c>
      <c r="Y27" s="6"/>
      <c r="Z27" s="6"/>
      <c r="AA27" s="6"/>
      <c r="AB27" s="6">
        <v>7589</v>
      </c>
      <c r="AC27" s="6">
        <v>1560</v>
      </c>
      <c r="AD27" s="6">
        <v>0</v>
      </c>
      <c r="AE27" s="6">
        <v>17292</v>
      </c>
      <c r="AF27" s="6">
        <v>10450</v>
      </c>
    </row>
    <row r="28" spans="1:32" x14ac:dyDescent="0.35">
      <c r="A28" s="1">
        <v>37741</v>
      </c>
      <c r="B28" s="6">
        <v>746294</v>
      </c>
      <c r="C28" s="6">
        <v>11039</v>
      </c>
      <c r="D28" s="6">
        <v>2200</v>
      </c>
      <c r="E28" s="6">
        <v>1021</v>
      </c>
      <c r="F28" s="6">
        <v>694391</v>
      </c>
      <c r="G28" s="6">
        <v>647281</v>
      </c>
      <c r="H28" s="6">
        <v>647271</v>
      </c>
      <c r="I28" s="6">
        <v>236249</v>
      </c>
      <c r="J28" s="6">
        <v>396776</v>
      </c>
      <c r="K28" s="6">
        <v>12814</v>
      </c>
      <c r="L28" s="6">
        <v>1431</v>
      </c>
      <c r="M28" s="6">
        <v>46750</v>
      </c>
      <c r="N28" s="6">
        <v>126284</v>
      </c>
      <c r="O28" s="6">
        <v>153916</v>
      </c>
      <c r="P28" s="6">
        <v>188832</v>
      </c>
      <c r="Q28" s="6">
        <v>51538</v>
      </c>
      <c r="R28" s="6">
        <v>79952</v>
      </c>
      <c r="S28" s="6">
        <v>10</v>
      </c>
      <c r="T28" s="6">
        <v>0</v>
      </c>
      <c r="U28" s="6">
        <v>10519</v>
      </c>
      <c r="V28" s="6">
        <v>-945</v>
      </c>
      <c r="W28" s="6">
        <v>37501</v>
      </c>
      <c r="X28" s="6">
        <v>35</v>
      </c>
      <c r="Y28" s="6"/>
      <c r="Z28" s="6"/>
      <c r="AA28" s="6"/>
      <c r="AB28" s="6">
        <v>8173</v>
      </c>
      <c r="AC28" s="6">
        <v>1577</v>
      </c>
      <c r="AD28" s="6">
        <v>0</v>
      </c>
      <c r="AE28" s="6">
        <v>17579</v>
      </c>
      <c r="AF28" s="6">
        <v>10314</v>
      </c>
    </row>
    <row r="29" spans="1:32" x14ac:dyDescent="0.35">
      <c r="A29" s="1">
        <v>37748</v>
      </c>
      <c r="B29" s="6">
        <v>733466</v>
      </c>
      <c r="C29" s="6">
        <v>11039</v>
      </c>
      <c r="D29" s="6">
        <v>2200</v>
      </c>
      <c r="E29" s="6">
        <v>1003</v>
      </c>
      <c r="F29" s="6">
        <v>679433</v>
      </c>
      <c r="G29" s="6">
        <v>647580</v>
      </c>
      <c r="H29" s="6">
        <v>647570</v>
      </c>
      <c r="I29" s="6">
        <v>236529</v>
      </c>
      <c r="J29" s="6">
        <v>396776</v>
      </c>
      <c r="K29" s="6">
        <v>12814</v>
      </c>
      <c r="L29" s="6">
        <v>1450</v>
      </c>
      <c r="M29" s="6">
        <v>46850</v>
      </c>
      <c r="N29" s="6">
        <v>131587</v>
      </c>
      <c r="O29" s="6">
        <v>157125</v>
      </c>
      <c r="P29" s="6">
        <v>180504</v>
      </c>
      <c r="Q29" s="6">
        <v>51544</v>
      </c>
      <c r="R29" s="6">
        <v>79960</v>
      </c>
      <c r="S29" s="6">
        <v>10</v>
      </c>
      <c r="T29" s="6">
        <v>0</v>
      </c>
      <c r="U29" s="6">
        <v>10485</v>
      </c>
      <c r="V29" s="6">
        <v>-942</v>
      </c>
      <c r="W29" s="6">
        <v>22251</v>
      </c>
      <c r="X29" s="6">
        <v>59</v>
      </c>
      <c r="Y29" s="6"/>
      <c r="Z29" s="6"/>
      <c r="AA29" s="6"/>
      <c r="AB29" s="6">
        <v>9556</v>
      </c>
      <c r="AC29" s="6">
        <v>1578</v>
      </c>
      <c r="AD29" s="6">
        <v>0</v>
      </c>
      <c r="AE29" s="6">
        <v>17897</v>
      </c>
      <c r="AF29" s="6">
        <v>10760</v>
      </c>
    </row>
    <row r="30" spans="1:32" x14ac:dyDescent="0.35">
      <c r="A30" s="1">
        <v>37755</v>
      </c>
      <c r="B30" s="6">
        <v>740371</v>
      </c>
      <c r="C30" s="6">
        <v>11039</v>
      </c>
      <c r="D30" s="6">
        <v>2200</v>
      </c>
      <c r="E30" s="6">
        <v>983</v>
      </c>
      <c r="F30" s="6">
        <v>688272</v>
      </c>
      <c r="G30" s="6">
        <v>647947</v>
      </c>
      <c r="H30" s="6">
        <v>647937</v>
      </c>
      <c r="I30" s="6">
        <v>236877</v>
      </c>
      <c r="J30" s="6">
        <v>396776</v>
      </c>
      <c r="K30" s="6">
        <v>12814</v>
      </c>
      <c r="L30" s="6">
        <v>1470</v>
      </c>
      <c r="M30" s="6">
        <v>46792</v>
      </c>
      <c r="N30" s="6">
        <v>132509</v>
      </c>
      <c r="O30" s="6">
        <v>156610</v>
      </c>
      <c r="P30" s="6">
        <v>180509</v>
      </c>
      <c r="Q30" s="6">
        <v>51550</v>
      </c>
      <c r="R30" s="6">
        <v>79968</v>
      </c>
      <c r="S30" s="6">
        <v>10</v>
      </c>
      <c r="T30" s="6">
        <v>0</v>
      </c>
      <c r="U30" s="6">
        <v>10451</v>
      </c>
      <c r="V30" s="6">
        <v>-938</v>
      </c>
      <c r="W30" s="6">
        <v>30752</v>
      </c>
      <c r="X30" s="6">
        <v>60</v>
      </c>
      <c r="Y30" s="6"/>
      <c r="Z30" s="6"/>
      <c r="AA30" s="6"/>
      <c r="AB30" s="6">
        <v>7078</v>
      </c>
      <c r="AC30" s="6">
        <v>1580</v>
      </c>
      <c r="AD30" s="6">
        <v>0</v>
      </c>
      <c r="AE30" s="6">
        <v>18063</v>
      </c>
      <c r="AF30" s="6">
        <v>11156</v>
      </c>
    </row>
    <row r="31" spans="1:32" x14ac:dyDescent="0.35">
      <c r="A31" s="1">
        <v>37762</v>
      </c>
      <c r="B31" s="6">
        <v>734699</v>
      </c>
      <c r="C31" s="6">
        <v>11039</v>
      </c>
      <c r="D31" s="6">
        <v>2200</v>
      </c>
      <c r="E31" s="6">
        <v>950</v>
      </c>
      <c r="F31" s="6">
        <v>686578</v>
      </c>
      <c r="G31" s="6">
        <v>650735</v>
      </c>
      <c r="H31" s="6">
        <v>650725</v>
      </c>
      <c r="I31" s="6">
        <v>237568</v>
      </c>
      <c r="J31" s="6">
        <v>398853</v>
      </c>
      <c r="K31" s="6">
        <v>12814</v>
      </c>
      <c r="L31" s="6">
        <v>1489</v>
      </c>
      <c r="M31" s="6">
        <v>51747</v>
      </c>
      <c r="N31" s="6">
        <v>137386</v>
      </c>
      <c r="O31" s="6">
        <v>154489</v>
      </c>
      <c r="P31" s="6">
        <v>180465</v>
      </c>
      <c r="Q31" s="6">
        <v>46663</v>
      </c>
      <c r="R31" s="6">
        <v>79975</v>
      </c>
      <c r="S31" s="6">
        <v>10</v>
      </c>
      <c r="T31" s="6">
        <v>0</v>
      </c>
      <c r="U31" s="6">
        <v>10466</v>
      </c>
      <c r="V31" s="6">
        <v>-928</v>
      </c>
      <c r="W31" s="6">
        <v>26251</v>
      </c>
      <c r="X31" s="6">
        <v>55</v>
      </c>
      <c r="Y31" s="6"/>
      <c r="Z31" s="6"/>
      <c r="AA31" s="6"/>
      <c r="AB31" s="6">
        <v>6609</v>
      </c>
      <c r="AC31" s="6">
        <v>1581</v>
      </c>
      <c r="AD31" s="6">
        <v>0</v>
      </c>
      <c r="AE31" s="6">
        <v>18174</v>
      </c>
      <c r="AF31" s="6">
        <v>7568</v>
      </c>
    </row>
    <row r="32" spans="1:32" x14ac:dyDescent="0.35">
      <c r="A32" s="1">
        <v>37769</v>
      </c>
      <c r="B32" s="6">
        <v>744896</v>
      </c>
      <c r="C32" s="6">
        <v>11039</v>
      </c>
      <c r="D32" s="6">
        <v>2200</v>
      </c>
      <c r="E32" s="6">
        <v>920</v>
      </c>
      <c r="F32" s="6">
        <v>692442</v>
      </c>
      <c r="G32" s="6">
        <v>650869</v>
      </c>
      <c r="H32" s="6">
        <v>650859</v>
      </c>
      <c r="I32" s="6">
        <v>237683</v>
      </c>
      <c r="J32" s="6">
        <v>398853</v>
      </c>
      <c r="K32" s="6">
        <v>12814</v>
      </c>
      <c r="L32" s="6">
        <v>1508</v>
      </c>
      <c r="M32" s="6">
        <v>51749</v>
      </c>
      <c r="N32" s="6">
        <v>138094</v>
      </c>
      <c r="O32" s="6">
        <v>153894</v>
      </c>
      <c r="P32" s="6">
        <v>180470</v>
      </c>
      <c r="Q32" s="6">
        <v>46669</v>
      </c>
      <c r="R32" s="6">
        <v>79983</v>
      </c>
      <c r="S32" s="6">
        <v>10</v>
      </c>
      <c r="T32" s="6">
        <v>0</v>
      </c>
      <c r="U32" s="6">
        <v>10432</v>
      </c>
      <c r="V32" s="6">
        <v>-921</v>
      </c>
      <c r="W32" s="6">
        <v>32000</v>
      </c>
      <c r="X32" s="6">
        <v>62</v>
      </c>
      <c r="Y32" s="6"/>
      <c r="Z32" s="6"/>
      <c r="AA32" s="6"/>
      <c r="AB32" s="6">
        <v>10632</v>
      </c>
      <c r="AC32" s="6">
        <v>1581</v>
      </c>
      <c r="AD32" s="6">
        <v>0</v>
      </c>
      <c r="AE32" s="6">
        <v>18108</v>
      </c>
      <c r="AF32" s="6">
        <v>7973</v>
      </c>
    </row>
    <row r="33" spans="1:32" x14ac:dyDescent="0.35">
      <c r="A33" s="1">
        <v>37776</v>
      </c>
      <c r="B33" s="6">
        <v>731667</v>
      </c>
      <c r="C33" s="6">
        <v>11040</v>
      </c>
      <c r="D33" s="6">
        <v>2200</v>
      </c>
      <c r="E33" s="6">
        <v>909</v>
      </c>
      <c r="F33" s="6">
        <v>679949</v>
      </c>
      <c r="G33" s="6">
        <v>651413</v>
      </c>
      <c r="H33" s="6">
        <v>651403</v>
      </c>
      <c r="I33" s="6">
        <v>238223</v>
      </c>
      <c r="J33" s="6">
        <v>398853</v>
      </c>
      <c r="K33" s="6">
        <v>12814</v>
      </c>
      <c r="L33" s="6">
        <v>1512</v>
      </c>
      <c r="M33" s="6">
        <v>45801</v>
      </c>
      <c r="N33" s="6">
        <v>143909</v>
      </c>
      <c r="O33" s="6">
        <v>154845</v>
      </c>
      <c r="P33" s="6">
        <v>180193</v>
      </c>
      <c r="Q33" s="6">
        <v>46670</v>
      </c>
      <c r="R33" s="6">
        <v>79985</v>
      </c>
      <c r="S33" s="6">
        <v>10</v>
      </c>
      <c r="T33" s="6">
        <v>0</v>
      </c>
      <c r="U33" s="6">
        <v>10398</v>
      </c>
      <c r="V33" s="6">
        <v>-926</v>
      </c>
      <c r="W33" s="6">
        <v>19000</v>
      </c>
      <c r="X33" s="6">
        <v>65</v>
      </c>
      <c r="Y33" s="6"/>
      <c r="Z33" s="6"/>
      <c r="AA33" s="6"/>
      <c r="AB33" s="6">
        <v>9883</v>
      </c>
      <c r="AC33" s="6">
        <v>1579</v>
      </c>
      <c r="AD33" s="6">
        <v>0</v>
      </c>
      <c r="AE33" s="6">
        <v>18093</v>
      </c>
      <c r="AF33" s="6">
        <v>8014</v>
      </c>
    </row>
    <row r="34" spans="1:32" x14ac:dyDescent="0.35">
      <c r="A34" s="1">
        <v>37783</v>
      </c>
      <c r="B34" s="6">
        <v>743236</v>
      </c>
      <c r="C34" s="6">
        <v>11040</v>
      </c>
      <c r="D34" s="6">
        <v>2200</v>
      </c>
      <c r="E34" s="6">
        <v>926</v>
      </c>
      <c r="F34" s="6">
        <v>693614</v>
      </c>
      <c r="G34" s="6">
        <v>651613</v>
      </c>
      <c r="H34" s="6">
        <v>651603</v>
      </c>
      <c r="I34" s="6">
        <v>238430</v>
      </c>
      <c r="J34" s="6">
        <v>398853</v>
      </c>
      <c r="K34" s="6">
        <v>12814</v>
      </c>
      <c r="L34" s="6">
        <v>1505</v>
      </c>
      <c r="M34" s="6">
        <v>45561</v>
      </c>
      <c r="N34" s="6">
        <v>143282</v>
      </c>
      <c r="O34" s="6">
        <v>155918</v>
      </c>
      <c r="P34" s="6">
        <v>180191</v>
      </c>
      <c r="Q34" s="6">
        <v>46668</v>
      </c>
      <c r="R34" s="6">
        <v>79982</v>
      </c>
      <c r="S34" s="6">
        <v>10</v>
      </c>
      <c r="T34" s="6">
        <v>0</v>
      </c>
      <c r="U34" s="6">
        <v>10365</v>
      </c>
      <c r="V34" s="6">
        <v>-928</v>
      </c>
      <c r="W34" s="6">
        <v>32500</v>
      </c>
      <c r="X34" s="6">
        <v>65</v>
      </c>
      <c r="Y34" s="6"/>
      <c r="Z34" s="6"/>
      <c r="AA34" s="6"/>
      <c r="AB34" s="6">
        <v>7231</v>
      </c>
      <c r="AC34" s="6">
        <v>1579</v>
      </c>
      <c r="AD34" s="6">
        <v>0</v>
      </c>
      <c r="AE34" s="6">
        <v>18208</v>
      </c>
      <c r="AF34" s="6">
        <v>8437</v>
      </c>
    </row>
    <row r="35" spans="1:32" x14ac:dyDescent="0.35">
      <c r="A35" s="1">
        <v>37790</v>
      </c>
      <c r="B35" s="6">
        <v>735926</v>
      </c>
      <c r="C35" s="6">
        <v>11040</v>
      </c>
      <c r="D35" s="6">
        <v>2200</v>
      </c>
      <c r="E35" s="6">
        <v>937</v>
      </c>
      <c r="F35" s="6">
        <v>684424</v>
      </c>
      <c r="G35" s="6">
        <v>651932</v>
      </c>
      <c r="H35" s="6">
        <v>651922</v>
      </c>
      <c r="I35" s="6">
        <v>238756</v>
      </c>
      <c r="J35" s="6">
        <v>398853</v>
      </c>
      <c r="K35" s="6">
        <v>12814</v>
      </c>
      <c r="L35" s="6">
        <v>1498</v>
      </c>
      <c r="M35" s="6">
        <v>51004</v>
      </c>
      <c r="N35" s="6">
        <v>137572</v>
      </c>
      <c r="O35" s="6">
        <v>156513</v>
      </c>
      <c r="P35" s="6">
        <v>180189</v>
      </c>
      <c r="Q35" s="6">
        <v>46665</v>
      </c>
      <c r="R35" s="6">
        <v>79979</v>
      </c>
      <c r="S35" s="6">
        <v>10</v>
      </c>
      <c r="T35" s="6">
        <v>0</v>
      </c>
      <c r="U35" s="6">
        <v>10331</v>
      </c>
      <c r="V35" s="6">
        <v>-924</v>
      </c>
      <c r="W35" s="6">
        <v>23000</v>
      </c>
      <c r="X35" s="6">
        <v>86</v>
      </c>
      <c r="Y35" s="6"/>
      <c r="Z35" s="6"/>
      <c r="AA35" s="6"/>
      <c r="AB35" s="6">
        <v>8832</v>
      </c>
      <c r="AC35" s="6">
        <v>1580</v>
      </c>
      <c r="AD35" s="6">
        <v>0</v>
      </c>
      <c r="AE35" s="6">
        <v>18118</v>
      </c>
      <c r="AF35" s="6">
        <v>8794</v>
      </c>
    </row>
    <row r="36" spans="1:32" x14ac:dyDescent="0.35">
      <c r="A36" s="1">
        <v>37797</v>
      </c>
      <c r="B36" s="6">
        <v>744018</v>
      </c>
      <c r="C36" s="6">
        <v>11040</v>
      </c>
      <c r="D36" s="6">
        <v>2200</v>
      </c>
      <c r="E36" s="6">
        <v>941</v>
      </c>
      <c r="F36" s="6">
        <v>693483</v>
      </c>
      <c r="G36" s="6">
        <v>652003</v>
      </c>
      <c r="H36" s="6">
        <v>651993</v>
      </c>
      <c r="I36" s="6">
        <v>238835</v>
      </c>
      <c r="J36" s="6">
        <v>398853</v>
      </c>
      <c r="K36" s="6">
        <v>12814</v>
      </c>
      <c r="L36" s="6">
        <v>1491</v>
      </c>
      <c r="M36" s="6">
        <v>49024</v>
      </c>
      <c r="N36" s="6">
        <v>139395</v>
      </c>
      <c r="O36" s="6">
        <v>156748</v>
      </c>
      <c r="P36" s="6">
        <v>180187</v>
      </c>
      <c r="Q36" s="6">
        <v>46663</v>
      </c>
      <c r="R36" s="6">
        <v>79976</v>
      </c>
      <c r="S36" s="6">
        <v>10</v>
      </c>
      <c r="T36" s="6">
        <v>0</v>
      </c>
      <c r="U36" s="6">
        <v>10297</v>
      </c>
      <c r="V36" s="6">
        <v>-912</v>
      </c>
      <c r="W36" s="6">
        <v>32000</v>
      </c>
      <c r="X36" s="6">
        <v>95</v>
      </c>
      <c r="Y36" s="6"/>
      <c r="Z36" s="6"/>
      <c r="AA36" s="6"/>
      <c r="AB36" s="6">
        <v>7461</v>
      </c>
      <c r="AC36" s="6">
        <v>1582</v>
      </c>
      <c r="AD36" s="6">
        <v>0</v>
      </c>
      <c r="AE36" s="6">
        <v>18079</v>
      </c>
      <c r="AF36" s="6">
        <v>9231</v>
      </c>
    </row>
    <row r="37" spans="1:32" x14ac:dyDescent="0.35">
      <c r="A37" s="1">
        <v>37804</v>
      </c>
      <c r="B37" s="6">
        <v>740126</v>
      </c>
      <c r="C37" s="6">
        <v>11039</v>
      </c>
      <c r="D37" s="6">
        <v>2200</v>
      </c>
      <c r="E37" s="6">
        <v>904</v>
      </c>
      <c r="F37" s="6">
        <v>687809</v>
      </c>
      <c r="G37" s="6">
        <v>652363</v>
      </c>
      <c r="H37" s="6">
        <v>652353</v>
      </c>
      <c r="I37" s="6">
        <v>239201</v>
      </c>
      <c r="J37" s="6">
        <v>398853</v>
      </c>
      <c r="K37" s="6">
        <v>12814</v>
      </c>
      <c r="L37" s="6">
        <v>1484</v>
      </c>
      <c r="M37" s="6">
        <v>41102</v>
      </c>
      <c r="N37" s="6">
        <v>146726</v>
      </c>
      <c r="O37" s="6">
        <v>158535</v>
      </c>
      <c r="P37" s="6">
        <v>179355</v>
      </c>
      <c r="Q37" s="6">
        <v>46661</v>
      </c>
      <c r="R37" s="6">
        <v>79973</v>
      </c>
      <c r="S37" s="6">
        <v>10</v>
      </c>
      <c r="T37" s="6">
        <v>0</v>
      </c>
      <c r="U37" s="6">
        <v>10264</v>
      </c>
      <c r="V37" s="6">
        <v>-909</v>
      </c>
      <c r="W37" s="6">
        <v>26000</v>
      </c>
      <c r="X37" s="6">
        <v>92</v>
      </c>
      <c r="Y37" s="6"/>
      <c r="Z37" s="6"/>
      <c r="AA37" s="6"/>
      <c r="AB37" s="6">
        <v>9457</v>
      </c>
      <c r="AC37" s="6">
        <v>1581</v>
      </c>
      <c r="AD37" s="6">
        <v>0</v>
      </c>
      <c r="AE37" s="6">
        <v>17951</v>
      </c>
      <c r="AF37" s="6">
        <v>9185</v>
      </c>
    </row>
    <row r="38" spans="1:32" x14ac:dyDescent="0.35">
      <c r="A38" s="1">
        <v>37811</v>
      </c>
      <c r="B38" s="6">
        <v>744430</v>
      </c>
      <c r="C38" s="6">
        <v>11039</v>
      </c>
      <c r="D38" s="6">
        <v>2200</v>
      </c>
      <c r="E38" s="6">
        <v>874</v>
      </c>
      <c r="F38" s="6">
        <v>691144</v>
      </c>
      <c r="G38" s="6">
        <v>652461</v>
      </c>
      <c r="H38" s="6">
        <v>652451</v>
      </c>
      <c r="I38" s="6">
        <v>239305</v>
      </c>
      <c r="J38" s="6">
        <v>398853</v>
      </c>
      <c r="K38" s="6">
        <v>12814</v>
      </c>
      <c r="L38" s="6">
        <v>1479</v>
      </c>
      <c r="M38" s="6">
        <v>40668</v>
      </c>
      <c r="N38" s="6">
        <v>147314</v>
      </c>
      <c r="O38" s="6">
        <v>158485</v>
      </c>
      <c r="P38" s="6">
        <v>179353</v>
      </c>
      <c r="Q38" s="6">
        <v>46659</v>
      </c>
      <c r="R38" s="6">
        <v>79971</v>
      </c>
      <c r="S38" s="6">
        <v>10</v>
      </c>
      <c r="T38" s="6">
        <v>0</v>
      </c>
      <c r="U38" s="6">
        <v>10230</v>
      </c>
      <c r="V38" s="6">
        <v>-902</v>
      </c>
      <c r="W38" s="6">
        <v>29250</v>
      </c>
      <c r="X38" s="6">
        <v>104</v>
      </c>
      <c r="Y38" s="6"/>
      <c r="Z38" s="6"/>
      <c r="AA38" s="6"/>
      <c r="AB38" s="6">
        <v>10110</v>
      </c>
      <c r="AC38" s="6">
        <v>1582</v>
      </c>
      <c r="AD38" s="6">
        <v>0</v>
      </c>
      <c r="AE38" s="6">
        <v>17824</v>
      </c>
      <c r="AF38" s="6">
        <v>9658</v>
      </c>
    </row>
    <row r="39" spans="1:32" x14ac:dyDescent="0.35">
      <c r="A39" s="1">
        <v>37818</v>
      </c>
      <c r="B39" s="6">
        <v>737765</v>
      </c>
      <c r="C39" s="6">
        <v>11039</v>
      </c>
      <c r="D39" s="6">
        <v>2200</v>
      </c>
      <c r="E39" s="6">
        <v>872</v>
      </c>
      <c r="F39" s="6">
        <v>686125</v>
      </c>
      <c r="G39" s="6">
        <v>652700</v>
      </c>
      <c r="H39" s="6">
        <v>652690</v>
      </c>
      <c r="I39" s="6">
        <v>239550</v>
      </c>
      <c r="J39" s="6">
        <v>398853</v>
      </c>
      <c r="K39" s="6">
        <v>12814</v>
      </c>
      <c r="L39" s="6">
        <v>1473</v>
      </c>
      <c r="M39" s="6">
        <v>46121</v>
      </c>
      <c r="N39" s="6">
        <v>141599</v>
      </c>
      <c r="O39" s="6">
        <v>158993</v>
      </c>
      <c r="P39" s="6">
        <v>179352</v>
      </c>
      <c r="Q39" s="6">
        <v>46657</v>
      </c>
      <c r="R39" s="6">
        <v>79969</v>
      </c>
      <c r="S39" s="6">
        <v>10</v>
      </c>
      <c r="T39" s="6">
        <v>0</v>
      </c>
      <c r="U39" s="6">
        <v>10197</v>
      </c>
      <c r="V39" s="6">
        <v>-893</v>
      </c>
      <c r="W39" s="6">
        <v>24000</v>
      </c>
      <c r="X39" s="6">
        <v>121</v>
      </c>
      <c r="Y39" s="6"/>
      <c r="Z39" s="6"/>
      <c r="AA39" s="6"/>
      <c r="AB39" s="6">
        <v>8534</v>
      </c>
      <c r="AC39" s="6">
        <v>1585</v>
      </c>
      <c r="AD39" s="6">
        <v>0</v>
      </c>
      <c r="AE39" s="6">
        <v>17714</v>
      </c>
      <c r="AF39" s="6">
        <v>9696</v>
      </c>
    </row>
    <row r="40" spans="1:32" x14ac:dyDescent="0.35">
      <c r="A40" s="1">
        <v>37825</v>
      </c>
      <c r="B40" s="6">
        <v>745665</v>
      </c>
      <c r="C40" s="6">
        <v>11039</v>
      </c>
      <c r="D40" s="6">
        <v>2200</v>
      </c>
      <c r="E40" s="6">
        <v>872</v>
      </c>
      <c r="F40" s="6">
        <v>694234</v>
      </c>
      <c r="G40" s="6">
        <v>652837</v>
      </c>
      <c r="H40" s="6">
        <v>652827</v>
      </c>
      <c r="I40" s="6">
        <v>239692</v>
      </c>
      <c r="J40" s="6">
        <v>398853</v>
      </c>
      <c r="K40" s="6">
        <v>12814</v>
      </c>
      <c r="L40" s="6">
        <v>1468</v>
      </c>
      <c r="M40" s="6">
        <v>46160</v>
      </c>
      <c r="N40" s="6">
        <v>140922</v>
      </c>
      <c r="O40" s="6">
        <v>159773</v>
      </c>
      <c r="P40" s="6">
        <v>179350</v>
      </c>
      <c r="Q40" s="6">
        <v>46656</v>
      </c>
      <c r="R40" s="6">
        <v>79967</v>
      </c>
      <c r="S40" s="6">
        <v>10</v>
      </c>
      <c r="T40" s="6">
        <v>0</v>
      </c>
      <c r="U40" s="6">
        <v>10164</v>
      </c>
      <c r="V40" s="6">
        <v>-885</v>
      </c>
      <c r="W40" s="6">
        <v>32000</v>
      </c>
      <c r="X40" s="6">
        <v>118</v>
      </c>
      <c r="Y40" s="6"/>
      <c r="Z40" s="6"/>
      <c r="AA40" s="6"/>
      <c r="AB40" s="6">
        <v>7680</v>
      </c>
      <c r="AC40" s="6">
        <v>1588</v>
      </c>
      <c r="AD40" s="6">
        <v>0</v>
      </c>
      <c r="AE40" s="6">
        <v>17921</v>
      </c>
      <c r="AF40" s="6">
        <v>10131</v>
      </c>
    </row>
    <row r="41" spans="1:32" x14ac:dyDescent="0.35">
      <c r="A41" s="1">
        <v>37832</v>
      </c>
      <c r="B41" s="6">
        <v>740295</v>
      </c>
      <c r="C41" s="6">
        <v>11039</v>
      </c>
      <c r="D41" s="6">
        <v>2200</v>
      </c>
      <c r="E41" s="6">
        <v>869</v>
      </c>
      <c r="F41" s="6">
        <v>688510</v>
      </c>
      <c r="G41" s="6">
        <v>652866</v>
      </c>
      <c r="H41" s="6">
        <v>652856</v>
      </c>
      <c r="I41" s="6">
        <v>239726</v>
      </c>
      <c r="J41" s="6">
        <v>398853</v>
      </c>
      <c r="K41" s="6">
        <v>12814</v>
      </c>
      <c r="L41" s="6">
        <v>1463</v>
      </c>
      <c r="M41" s="6">
        <v>46048</v>
      </c>
      <c r="N41" s="6">
        <v>141180</v>
      </c>
      <c r="O41" s="6">
        <v>159660</v>
      </c>
      <c r="P41" s="6">
        <v>179349</v>
      </c>
      <c r="Q41" s="6">
        <v>46654</v>
      </c>
      <c r="R41" s="6">
        <v>79965</v>
      </c>
      <c r="S41" s="6">
        <v>10</v>
      </c>
      <c r="T41" s="6">
        <v>0</v>
      </c>
      <c r="U41" s="6">
        <v>10130</v>
      </c>
      <c r="V41" s="6">
        <v>-877</v>
      </c>
      <c r="W41" s="6">
        <v>26250</v>
      </c>
      <c r="X41" s="6">
        <v>141</v>
      </c>
      <c r="Y41" s="6"/>
      <c r="Z41" s="6"/>
      <c r="AA41" s="6"/>
      <c r="AB41" s="6">
        <v>7843</v>
      </c>
      <c r="AC41" s="6">
        <v>1586</v>
      </c>
      <c r="AD41" s="6">
        <v>0</v>
      </c>
      <c r="AE41" s="6">
        <v>17707</v>
      </c>
      <c r="AF41" s="6">
        <v>10540</v>
      </c>
    </row>
    <row r="42" spans="1:32" x14ac:dyDescent="0.35">
      <c r="A42" s="1">
        <v>37839</v>
      </c>
      <c r="B42" s="6">
        <v>734018</v>
      </c>
      <c r="C42" s="6">
        <v>11039</v>
      </c>
      <c r="D42" s="6">
        <v>2200</v>
      </c>
      <c r="E42" s="6">
        <v>870</v>
      </c>
      <c r="F42" s="6">
        <v>680651</v>
      </c>
      <c r="G42" s="6">
        <v>653034</v>
      </c>
      <c r="H42" s="6">
        <v>653024</v>
      </c>
      <c r="I42" s="6">
        <v>239892</v>
      </c>
      <c r="J42" s="6">
        <v>398853</v>
      </c>
      <c r="K42" s="6">
        <v>12814</v>
      </c>
      <c r="L42" s="6">
        <v>1465</v>
      </c>
      <c r="M42" s="6">
        <v>51281</v>
      </c>
      <c r="N42" s="6">
        <v>137369</v>
      </c>
      <c r="O42" s="6">
        <v>161900</v>
      </c>
      <c r="P42" s="6">
        <v>177684</v>
      </c>
      <c r="Q42" s="6">
        <v>44824</v>
      </c>
      <c r="R42" s="6">
        <v>79966</v>
      </c>
      <c r="S42" s="6">
        <v>10</v>
      </c>
      <c r="T42" s="6">
        <v>0</v>
      </c>
      <c r="U42" s="6">
        <v>10097</v>
      </c>
      <c r="V42" s="6">
        <v>-873</v>
      </c>
      <c r="W42" s="6">
        <v>18250</v>
      </c>
      <c r="X42" s="6">
        <v>143</v>
      </c>
      <c r="Y42" s="6"/>
      <c r="Z42" s="6"/>
      <c r="AA42" s="6"/>
      <c r="AB42" s="6">
        <v>9337</v>
      </c>
      <c r="AC42" s="6">
        <v>1586</v>
      </c>
      <c r="AD42" s="6">
        <v>0</v>
      </c>
      <c r="AE42" s="6">
        <v>17717</v>
      </c>
      <c r="AF42" s="6">
        <v>10617</v>
      </c>
    </row>
    <row r="43" spans="1:32" x14ac:dyDescent="0.35">
      <c r="A43" s="1">
        <v>37846</v>
      </c>
      <c r="B43" s="6">
        <v>735386</v>
      </c>
      <c r="C43" s="6">
        <v>11039</v>
      </c>
      <c r="D43" s="6">
        <v>2200</v>
      </c>
      <c r="E43" s="6">
        <v>888</v>
      </c>
      <c r="F43" s="6">
        <v>681646</v>
      </c>
      <c r="G43" s="6">
        <v>653288</v>
      </c>
      <c r="H43" s="6">
        <v>653278</v>
      </c>
      <c r="I43" s="6">
        <v>240142</v>
      </c>
      <c r="J43" s="6">
        <v>398853</v>
      </c>
      <c r="K43" s="6">
        <v>12814</v>
      </c>
      <c r="L43" s="6">
        <v>1469</v>
      </c>
      <c r="M43" s="6">
        <v>52151</v>
      </c>
      <c r="N43" s="6">
        <v>136584</v>
      </c>
      <c r="O43" s="6">
        <v>162065</v>
      </c>
      <c r="P43" s="6">
        <v>177685</v>
      </c>
      <c r="Q43" s="6">
        <v>44825</v>
      </c>
      <c r="R43" s="6">
        <v>79967</v>
      </c>
      <c r="S43" s="6">
        <v>10</v>
      </c>
      <c r="T43" s="6">
        <v>0</v>
      </c>
      <c r="U43" s="6">
        <v>10063</v>
      </c>
      <c r="V43" s="6">
        <v>-868</v>
      </c>
      <c r="W43" s="6">
        <v>19000</v>
      </c>
      <c r="X43" s="6">
        <v>164</v>
      </c>
      <c r="Y43" s="6"/>
      <c r="Z43" s="6"/>
      <c r="AA43" s="6"/>
      <c r="AB43" s="6">
        <v>9284</v>
      </c>
      <c r="AC43" s="6">
        <v>1587</v>
      </c>
      <c r="AD43" s="6">
        <v>0</v>
      </c>
      <c r="AE43" s="6">
        <v>17770</v>
      </c>
      <c r="AF43" s="6">
        <v>10972</v>
      </c>
    </row>
    <row r="44" spans="1:32" x14ac:dyDescent="0.35">
      <c r="A44" s="1">
        <v>37853</v>
      </c>
      <c r="B44" s="6">
        <v>750825</v>
      </c>
      <c r="C44" s="6">
        <v>11039</v>
      </c>
      <c r="D44" s="6">
        <v>2200</v>
      </c>
      <c r="E44" s="6">
        <v>897</v>
      </c>
      <c r="F44" s="6">
        <v>702418</v>
      </c>
      <c r="G44" s="6">
        <v>653526</v>
      </c>
      <c r="H44" s="6">
        <v>653516</v>
      </c>
      <c r="I44" s="6">
        <v>240376</v>
      </c>
      <c r="J44" s="6">
        <v>398853</v>
      </c>
      <c r="K44" s="6">
        <v>12814</v>
      </c>
      <c r="L44" s="6">
        <v>1472</v>
      </c>
      <c r="M44" s="6">
        <v>49409</v>
      </c>
      <c r="N44" s="6">
        <v>135851</v>
      </c>
      <c r="O44" s="6">
        <v>160914</v>
      </c>
      <c r="P44" s="6">
        <v>180032</v>
      </c>
      <c r="Q44" s="6">
        <v>50383</v>
      </c>
      <c r="R44" s="6">
        <v>76928</v>
      </c>
      <c r="S44" s="6">
        <v>10</v>
      </c>
      <c r="T44" s="6">
        <v>0</v>
      </c>
      <c r="U44" s="6">
        <v>10030</v>
      </c>
      <c r="V44" s="6">
        <v>-900</v>
      </c>
      <c r="W44" s="6">
        <v>39500</v>
      </c>
      <c r="X44" s="6">
        <v>262</v>
      </c>
      <c r="Y44" s="6"/>
      <c r="Z44" s="6"/>
      <c r="AA44" s="6"/>
      <c r="AB44" s="6">
        <v>7556</v>
      </c>
      <c r="AC44" s="6">
        <v>1590</v>
      </c>
      <c r="AD44" s="6">
        <v>0</v>
      </c>
      <c r="AE44" s="6">
        <v>17646</v>
      </c>
      <c r="AF44" s="6">
        <v>7479</v>
      </c>
    </row>
    <row r="45" spans="1:32" x14ac:dyDescent="0.35">
      <c r="A45" s="1">
        <v>37860</v>
      </c>
      <c r="B45" s="6">
        <v>740637</v>
      </c>
      <c r="C45" s="6">
        <v>11039</v>
      </c>
      <c r="D45" s="6">
        <v>2200</v>
      </c>
      <c r="E45" s="6">
        <v>887</v>
      </c>
      <c r="F45" s="6">
        <v>691943</v>
      </c>
      <c r="G45" s="6">
        <v>653681</v>
      </c>
      <c r="H45" s="6">
        <v>653671</v>
      </c>
      <c r="I45" s="6">
        <v>240528</v>
      </c>
      <c r="J45" s="6">
        <v>398853</v>
      </c>
      <c r="K45" s="6">
        <v>12814</v>
      </c>
      <c r="L45" s="6">
        <v>1476</v>
      </c>
      <c r="M45" s="6">
        <v>50191</v>
      </c>
      <c r="N45" s="6">
        <v>135304</v>
      </c>
      <c r="O45" s="6">
        <v>160830</v>
      </c>
      <c r="P45" s="6">
        <v>180033</v>
      </c>
      <c r="Q45" s="6">
        <v>50384</v>
      </c>
      <c r="R45" s="6">
        <v>76929</v>
      </c>
      <c r="S45" s="6">
        <v>10</v>
      </c>
      <c r="T45" s="6">
        <v>0</v>
      </c>
      <c r="U45" s="6">
        <v>9997</v>
      </c>
      <c r="V45" s="6">
        <v>-897</v>
      </c>
      <c r="W45" s="6">
        <v>29000</v>
      </c>
      <c r="X45" s="6">
        <v>161</v>
      </c>
      <c r="Y45" s="6"/>
      <c r="Z45" s="6"/>
      <c r="AA45" s="6"/>
      <c r="AB45" s="6">
        <v>7586</v>
      </c>
      <c r="AC45" s="6">
        <v>1590</v>
      </c>
      <c r="AD45" s="6">
        <v>0</v>
      </c>
      <c r="AE45" s="6">
        <v>17511</v>
      </c>
      <c r="AF45" s="6">
        <v>7881</v>
      </c>
    </row>
    <row r="46" spans="1:32" x14ac:dyDescent="0.35">
      <c r="A46" s="1">
        <v>37867</v>
      </c>
      <c r="B46" s="6">
        <v>750461</v>
      </c>
      <c r="C46" s="6">
        <v>11039</v>
      </c>
      <c r="D46" s="6">
        <v>2200</v>
      </c>
      <c r="E46" s="6">
        <v>858</v>
      </c>
      <c r="F46" s="6">
        <v>696436</v>
      </c>
      <c r="G46" s="6">
        <v>653941</v>
      </c>
      <c r="H46" s="6">
        <v>653931</v>
      </c>
      <c r="I46" s="6">
        <v>240785</v>
      </c>
      <c r="J46" s="6">
        <v>398853</v>
      </c>
      <c r="K46" s="6">
        <v>12814</v>
      </c>
      <c r="L46" s="6">
        <v>1479</v>
      </c>
      <c r="M46" s="6">
        <v>45481</v>
      </c>
      <c r="N46" s="6">
        <v>140939</v>
      </c>
      <c r="O46" s="6">
        <v>162179</v>
      </c>
      <c r="P46" s="6">
        <v>178017</v>
      </c>
      <c r="Q46" s="6">
        <v>50385</v>
      </c>
      <c r="R46" s="6">
        <v>76931</v>
      </c>
      <c r="S46" s="6">
        <v>10</v>
      </c>
      <c r="T46" s="6">
        <v>0</v>
      </c>
      <c r="U46" s="6">
        <v>9964</v>
      </c>
      <c r="V46" s="6">
        <v>-899</v>
      </c>
      <c r="W46" s="6">
        <v>33250</v>
      </c>
      <c r="X46" s="6">
        <v>180</v>
      </c>
      <c r="Y46" s="6"/>
      <c r="Z46" s="6"/>
      <c r="AA46" s="6"/>
      <c r="AB46" s="6">
        <v>12854</v>
      </c>
      <c r="AC46" s="6">
        <v>1589</v>
      </c>
      <c r="AD46" s="6">
        <v>0</v>
      </c>
      <c r="AE46" s="6">
        <v>17580</v>
      </c>
      <c r="AF46" s="6">
        <v>7905</v>
      </c>
    </row>
    <row r="47" spans="1:32" x14ac:dyDescent="0.35">
      <c r="A47" s="1">
        <v>37874</v>
      </c>
      <c r="B47" s="6">
        <v>737234</v>
      </c>
      <c r="C47" s="6">
        <v>11039</v>
      </c>
      <c r="D47" s="6">
        <v>2200</v>
      </c>
      <c r="E47" s="6">
        <v>850</v>
      </c>
      <c r="F47" s="6">
        <v>687426</v>
      </c>
      <c r="G47" s="6">
        <v>655602</v>
      </c>
      <c r="H47" s="6">
        <v>655592</v>
      </c>
      <c r="I47" s="6">
        <v>241020</v>
      </c>
      <c r="J47" s="6">
        <v>399595</v>
      </c>
      <c r="K47" s="6">
        <v>13454</v>
      </c>
      <c r="L47" s="6">
        <v>1523</v>
      </c>
      <c r="M47" s="6">
        <v>45911</v>
      </c>
      <c r="N47" s="6">
        <v>141474</v>
      </c>
      <c r="O47" s="6">
        <v>161449</v>
      </c>
      <c r="P47" s="6">
        <v>178018</v>
      </c>
      <c r="Q47" s="6">
        <v>51655</v>
      </c>
      <c r="R47" s="6">
        <v>77085</v>
      </c>
      <c r="S47" s="6">
        <v>10</v>
      </c>
      <c r="T47" s="6">
        <v>0</v>
      </c>
      <c r="U47" s="6">
        <v>10070</v>
      </c>
      <c r="V47" s="6">
        <v>-900</v>
      </c>
      <c r="W47" s="6">
        <v>22500</v>
      </c>
      <c r="X47" s="6">
        <v>155</v>
      </c>
      <c r="Y47" s="6"/>
      <c r="Z47" s="6"/>
      <c r="AA47" s="6"/>
      <c r="AB47" s="6">
        <v>8013</v>
      </c>
      <c r="AC47" s="6">
        <v>1590</v>
      </c>
      <c r="AD47" s="6">
        <v>0</v>
      </c>
      <c r="AE47" s="6">
        <v>17813</v>
      </c>
      <c r="AF47" s="6">
        <v>8302</v>
      </c>
    </row>
    <row r="48" spans="1:32" x14ac:dyDescent="0.35">
      <c r="A48" s="1">
        <v>37881</v>
      </c>
      <c r="B48" s="6">
        <v>743939</v>
      </c>
      <c r="C48" s="6">
        <v>11039</v>
      </c>
      <c r="D48" s="6">
        <v>2200</v>
      </c>
      <c r="E48" s="6">
        <v>848</v>
      </c>
      <c r="F48" s="6">
        <v>694508</v>
      </c>
      <c r="G48" s="6">
        <v>655953</v>
      </c>
      <c r="H48" s="6">
        <v>655943</v>
      </c>
      <c r="I48" s="6">
        <v>241367</v>
      </c>
      <c r="J48" s="6">
        <v>399595</v>
      </c>
      <c r="K48" s="6">
        <v>13454</v>
      </c>
      <c r="L48" s="6">
        <v>1526</v>
      </c>
      <c r="M48" s="6">
        <v>52664</v>
      </c>
      <c r="N48" s="6">
        <v>135948</v>
      </c>
      <c r="O48" s="6">
        <v>160569</v>
      </c>
      <c r="P48" s="6">
        <v>178019</v>
      </c>
      <c r="Q48" s="6">
        <v>51656</v>
      </c>
      <c r="R48" s="6">
        <v>77086</v>
      </c>
      <c r="S48" s="6">
        <v>10</v>
      </c>
      <c r="T48" s="6">
        <v>0</v>
      </c>
      <c r="U48" s="6">
        <v>10037</v>
      </c>
      <c r="V48" s="6">
        <v>-896</v>
      </c>
      <c r="W48" s="6">
        <v>29250</v>
      </c>
      <c r="X48" s="6">
        <v>165</v>
      </c>
      <c r="Y48" s="6"/>
      <c r="Z48" s="6"/>
      <c r="AA48" s="6"/>
      <c r="AB48" s="6">
        <v>7157</v>
      </c>
      <c r="AC48" s="6">
        <v>1591</v>
      </c>
      <c r="AD48" s="6">
        <v>0</v>
      </c>
      <c r="AE48" s="6">
        <v>17935</v>
      </c>
      <c r="AF48" s="6">
        <v>8660</v>
      </c>
    </row>
    <row r="49" spans="1:32" x14ac:dyDescent="0.35">
      <c r="A49" s="1">
        <v>37888</v>
      </c>
      <c r="B49" s="6">
        <v>741193</v>
      </c>
      <c r="C49" s="6">
        <v>11039</v>
      </c>
      <c r="D49" s="6">
        <v>2200</v>
      </c>
      <c r="E49" s="6">
        <v>849</v>
      </c>
      <c r="F49" s="6">
        <v>691458</v>
      </c>
      <c r="G49" s="6">
        <v>656003</v>
      </c>
      <c r="H49" s="6">
        <v>655993</v>
      </c>
      <c r="I49" s="6">
        <v>241414</v>
      </c>
      <c r="J49" s="6">
        <v>399595</v>
      </c>
      <c r="K49" s="6">
        <v>13454</v>
      </c>
      <c r="L49" s="6">
        <v>1530</v>
      </c>
      <c r="M49" s="6">
        <v>52428</v>
      </c>
      <c r="N49" s="6">
        <v>137309</v>
      </c>
      <c r="O49" s="6">
        <v>159492</v>
      </c>
      <c r="P49" s="6">
        <v>178020</v>
      </c>
      <c r="Q49" s="6">
        <v>51658</v>
      </c>
      <c r="R49" s="6">
        <v>77088</v>
      </c>
      <c r="S49" s="6">
        <v>10</v>
      </c>
      <c r="T49" s="6">
        <v>0</v>
      </c>
      <c r="U49" s="6">
        <v>10004</v>
      </c>
      <c r="V49" s="6">
        <v>-891</v>
      </c>
      <c r="W49" s="6">
        <v>26000</v>
      </c>
      <c r="X49" s="6">
        <v>341</v>
      </c>
      <c r="Y49" s="6"/>
      <c r="Z49" s="6"/>
      <c r="AA49" s="6"/>
      <c r="AB49" s="6">
        <v>6535</v>
      </c>
      <c r="AC49" s="6">
        <v>1595</v>
      </c>
      <c r="AD49" s="6">
        <v>0</v>
      </c>
      <c r="AE49" s="6">
        <v>18456</v>
      </c>
      <c r="AF49" s="6">
        <v>9061</v>
      </c>
    </row>
    <row r="50" spans="1:32" x14ac:dyDescent="0.35">
      <c r="A50" s="1">
        <v>37895</v>
      </c>
      <c r="B50" s="6">
        <v>753155</v>
      </c>
      <c r="C50" s="6">
        <v>11039</v>
      </c>
      <c r="D50" s="6">
        <v>2200</v>
      </c>
      <c r="E50" s="6">
        <v>839</v>
      </c>
      <c r="F50" s="6">
        <v>702173</v>
      </c>
      <c r="G50" s="6">
        <v>656196</v>
      </c>
      <c r="H50" s="6">
        <v>656186</v>
      </c>
      <c r="I50" s="6">
        <v>241601</v>
      </c>
      <c r="J50" s="6">
        <v>399595</v>
      </c>
      <c r="K50" s="6">
        <v>13454</v>
      </c>
      <c r="L50" s="6">
        <v>1535</v>
      </c>
      <c r="M50" s="6">
        <v>45734</v>
      </c>
      <c r="N50" s="6">
        <v>138437</v>
      </c>
      <c r="O50" s="6">
        <v>166362</v>
      </c>
      <c r="P50" s="6">
        <v>176904</v>
      </c>
      <c r="Q50" s="6">
        <v>51660</v>
      </c>
      <c r="R50" s="6">
        <v>77090</v>
      </c>
      <c r="S50" s="6">
        <v>10</v>
      </c>
      <c r="T50" s="6">
        <v>0</v>
      </c>
      <c r="U50" s="6">
        <v>9966</v>
      </c>
      <c r="V50" s="6">
        <v>-890</v>
      </c>
      <c r="W50" s="6">
        <v>36750</v>
      </c>
      <c r="X50" s="6">
        <v>151</v>
      </c>
      <c r="Y50" s="6"/>
      <c r="Z50" s="6"/>
      <c r="AA50" s="6"/>
      <c r="AB50" s="6">
        <v>7399</v>
      </c>
      <c r="AC50" s="6">
        <v>1594</v>
      </c>
      <c r="AD50" s="6">
        <v>0</v>
      </c>
      <c r="AE50" s="6">
        <v>18750</v>
      </c>
      <c r="AF50" s="6">
        <v>9159</v>
      </c>
    </row>
    <row r="51" spans="1:32" x14ac:dyDescent="0.35">
      <c r="A51" s="1">
        <v>37902</v>
      </c>
      <c r="B51" s="6">
        <v>737108</v>
      </c>
      <c r="C51" s="6">
        <v>11039</v>
      </c>
      <c r="D51" s="6">
        <v>2200</v>
      </c>
      <c r="E51" s="6">
        <v>826</v>
      </c>
      <c r="F51" s="6">
        <v>685190</v>
      </c>
      <c r="G51" s="6">
        <v>656280</v>
      </c>
      <c r="H51" s="6">
        <v>656270</v>
      </c>
      <c r="I51" s="6">
        <v>241672</v>
      </c>
      <c r="J51" s="6">
        <v>399595</v>
      </c>
      <c r="K51" s="6">
        <v>13454</v>
      </c>
      <c r="L51" s="6">
        <v>1548</v>
      </c>
      <c r="M51" s="6">
        <v>45442</v>
      </c>
      <c r="N51" s="6">
        <v>146740</v>
      </c>
      <c r="O51" s="6">
        <v>158422</v>
      </c>
      <c r="P51" s="6">
        <v>176907</v>
      </c>
      <c r="Q51" s="6">
        <v>51664</v>
      </c>
      <c r="R51" s="6">
        <v>77095</v>
      </c>
      <c r="S51" s="6">
        <v>10</v>
      </c>
      <c r="T51" s="6">
        <v>0</v>
      </c>
      <c r="U51" s="6">
        <v>9934</v>
      </c>
      <c r="V51" s="6">
        <v>-888</v>
      </c>
      <c r="W51" s="6">
        <v>19750</v>
      </c>
      <c r="X51" s="6">
        <v>115</v>
      </c>
      <c r="Y51" s="6"/>
      <c r="Z51" s="6"/>
      <c r="AA51" s="6"/>
      <c r="AB51" s="6">
        <v>7751</v>
      </c>
      <c r="AC51" s="6">
        <v>1595</v>
      </c>
      <c r="AD51" s="6">
        <v>0</v>
      </c>
      <c r="AE51" s="6">
        <v>18922</v>
      </c>
      <c r="AF51" s="6">
        <v>9586</v>
      </c>
    </row>
    <row r="52" spans="1:32" x14ac:dyDescent="0.35">
      <c r="A52" s="1">
        <v>37909</v>
      </c>
      <c r="B52" s="6">
        <v>754229</v>
      </c>
      <c r="C52" s="6">
        <v>11039</v>
      </c>
      <c r="D52" s="6">
        <v>2200</v>
      </c>
      <c r="E52" s="6">
        <v>813</v>
      </c>
      <c r="F52" s="6">
        <v>695874</v>
      </c>
      <c r="G52" s="6">
        <v>656499</v>
      </c>
      <c r="H52" s="6">
        <v>656489</v>
      </c>
      <c r="I52" s="6">
        <v>241879</v>
      </c>
      <c r="J52" s="6">
        <v>399595</v>
      </c>
      <c r="K52" s="6">
        <v>13454</v>
      </c>
      <c r="L52" s="6">
        <v>1561</v>
      </c>
      <c r="M52" s="6">
        <v>45028</v>
      </c>
      <c r="N52" s="6">
        <v>147680</v>
      </c>
      <c r="O52" s="6">
        <v>158103</v>
      </c>
      <c r="P52" s="6">
        <v>176910</v>
      </c>
      <c r="Q52" s="6">
        <v>51669</v>
      </c>
      <c r="R52" s="6">
        <v>77100</v>
      </c>
      <c r="S52" s="6">
        <v>10</v>
      </c>
      <c r="T52" s="6">
        <v>0</v>
      </c>
      <c r="U52" s="6">
        <v>9901</v>
      </c>
      <c r="V52" s="6">
        <v>-885</v>
      </c>
      <c r="W52" s="6">
        <v>30250</v>
      </c>
      <c r="X52" s="6">
        <v>110</v>
      </c>
      <c r="Y52" s="6"/>
      <c r="Z52" s="6"/>
      <c r="AA52" s="6"/>
      <c r="AB52" s="6">
        <v>14302</v>
      </c>
      <c r="AC52" s="6">
        <v>1596</v>
      </c>
      <c r="AD52" s="6">
        <v>0</v>
      </c>
      <c r="AE52" s="6">
        <v>18792</v>
      </c>
      <c r="AF52" s="6">
        <v>9613</v>
      </c>
    </row>
    <row r="53" spans="1:32" x14ac:dyDescent="0.35">
      <c r="A53" s="1">
        <v>37916</v>
      </c>
      <c r="B53" s="6">
        <v>743578</v>
      </c>
      <c r="C53" s="6">
        <v>11039</v>
      </c>
      <c r="D53" s="6">
        <v>2200</v>
      </c>
      <c r="E53" s="6">
        <v>810</v>
      </c>
      <c r="F53" s="6">
        <v>691342</v>
      </c>
      <c r="G53" s="6">
        <v>656764</v>
      </c>
      <c r="H53" s="6">
        <v>656754</v>
      </c>
      <c r="I53" s="6">
        <v>242131</v>
      </c>
      <c r="J53" s="6">
        <v>399595</v>
      </c>
      <c r="K53" s="6">
        <v>13454</v>
      </c>
      <c r="L53" s="6">
        <v>1574</v>
      </c>
      <c r="M53" s="6">
        <v>50429</v>
      </c>
      <c r="N53" s="6">
        <v>142802</v>
      </c>
      <c r="O53" s="6">
        <v>157831</v>
      </c>
      <c r="P53" s="6">
        <v>176914</v>
      </c>
      <c r="Q53" s="6">
        <v>51673</v>
      </c>
      <c r="R53" s="6">
        <v>77105</v>
      </c>
      <c r="S53" s="6">
        <v>10</v>
      </c>
      <c r="T53" s="6">
        <v>0</v>
      </c>
      <c r="U53" s="6">
        <v>9868</v>
      </c>
      <c r="V53" s="6">
        <v>-884</v>
      </c>
      <c r="W53" s="6">
        <v>25500</v>
      </c>
      <c r="X53" s="6">
        <v>94</v>
      </c>
      <c r="Y53" s="6"/>
      <c r="Z53" s="6"/>
      <c r="AA53" s="6"/>
      <c r="AB53" s="6">
        <v>7605</v>
      </c>
      <c r="AC53" s="6">
        <v>1597</v>
      </c>
      <c r="AD53" s="6">
        <v>0</v>
      </c>
      <c r="AE53" s="6">
        <v>18979</v>
      </c>
      <c r="AF53" s="6">
        <v>10005</v>
      </c>
    </row>
    <row r="54" spans="1:32" x14ac:dyDescent="0.35">
      <c r="A54" s="1">
        <v>37923</v>
      </c>
      <c r="B54" s="6">
        <v>747272</v>
      </c>
      <c r="C54" s="6">
        <v>11039</v>
      </c>
      <c r="D54" s="6">
        <v>2200</v>
      </c>
      <c r="E54" s="6">
        <v>826</v>
      </c>
      <c r="F54" s="6">
        <v>695813</v>
      </c>
      <c r="G54" s="6">
        <v>658682</v>
      </c>
      <c r="H54" s="6">
        <v>658672</v>
      </c>
      <c r="I54" s="6">
        <v>242308</v>
      </c>
      <c r="J54" s="6">
        <v>401322</v>
      </c>
      <c r="K54" s="6">
        <v>13454</v>
      </c>
      <c r="L54" s="6">
        <v>1587</v>
      </c>
      <c r="M54" s="6">
        <v>49082</v>
      </c>
      <c r="N54" s="6">
        <v>144424</v>
      </c>
      <c r="O54" s="6">
        <v>157733</v>
      </c>
      <c r="P54" s="6">
        <v>178364</v>
      </c>
      <c r="Q54" s="6">
        <v>51958</v>
      </c>
      <c r="R54" s="6">
        <v>77110</v>
      </c>
      <c r="S54" s="6">
        <v>10</v>
      </c>
      <c r="T54" s="6">
        <v>0</v>
      </c>
      <c r="U54" s="6">
        <v>9935</v>
      </c>
      <c r="V54" s="6">
        <v>-886</v>
      </c>
      <c r="W54" s="6">
        <v>28000</v>
      </c>
      <c r="X54" s="6">
        <v>82</v>
      </c>
      <c r="Y54" s="6"/>
      <c r="Z54" s="6"/>
      <c r="AA54" s="6"/>
      <c r="AB54" s="6">
        <v>6443</v>
      </c>
      <c r="AC54" s="6">
        <v>1596</v>
      </c>
      <c r="AD54" s="6">
        <v>0</v>
      </c>
      <c r="AE54" s="6">
        <v>18930</v>
      </c>
      <c r="AF54" s="6">
        <v>10423</v>
      </c>
    </row>
    <row r="55" spans="1:32" x14ac:dyDescent="0.35">
      <c r="A55" s="1">
        <v>37930</v>
      </c>
      <c r="B55" s="6">
        <v>744116</v>
      </c>
      <c r="C55" s="6">
        <v>11039</v>
      </c>
      <c r="D55" s="6">
        <v>2200</v>
      </c>
      <c r="E55" s="6">
        <v>829</v>
      </c>
      <c r="F55" s="6">
        <v>686937</v>
      </c>
      <c r="G55" s="6">
        <v>658885</v>
      </c>
      <c r="H55" s="6">
        <v>658875</v>
      </c>
      <c r="I55" s="6">
        <v>242500</v>
      </c>
      <c r="J55" s="6">
        <v>401322</v>
      </c>
      <c r="K55" s="6">
        <v>13454</v>
      </c>
      <c r="L55" s="6">
        <v>1599</v>
      </c>
      <c r="M55" s="6">
        <v>48825</v>
      </c>
      <c r="N55" s="6">
        <v>144738</v>
      </c>
      <c r="O55" s="6">
        <v>156936</v>
      </c>
      <c r="P55" s="6">
        <v>179300</v>
      </c>
      <c r="Q55" s="6">
        <v>51962</v>
      </c>
      <c r="R55" s="6">
        <v>77114</v>
      </c>
      <c r="S55" s="6">
        <v>10</v>
      </c>
      <c r="T55" s="6">
        <v>0</v>
      </c>
      <c r="U55" s="6">
        <v>9902</v>
      </c>
      <c r="V55" s="6">
        <v>-899</v>
      </c>
      <c r="W55" s="6">
        <v>19000</v>
      </c>
      <c r="X55" s="6">
        <v>49</v>
      </c>
      <c r="Y55" s="6"/>
      <c r="Z55" s="6"/>
      <c r="AA55" s="6"/>
      <c r="AB55" s="6">
        <v>12400</v>
      </c>
      <c r="AC55" s="6">
        <v>1598</v>
      </c>
      <c r="AD55" s="6">
        <v>0</v>
      </c>
      <c r="AE55" s="6">
        <v>18622</v>
      </c>
      <c r="AF55" s="6">
        <v>10490</v>
      </c>
    </row>
    <row r="56" spans="1:32" x14ac:dyDescent="0.35">
      <c r="A56" s="1">
        <v>37937</v>
      </c>
      <c r="B56" s="6">
        <v>745604</v>
      </c>
      <c r="C56" s="6">
        <v>11039</v>
      </c>
      <c r="D56" s="6">
        <v>2200</v>
      </c>
      <c r="E56" s="6">
        <v>819</v>
      </c>
      <c r="F56" s="6">
        <v>693362</v>
      </c>
      <c r="G56" s="6">
        <v>660289</v>
      </c>
      <c r="H56" s="6">
        <v>660279</v>
      </c>
      <c r="I56" s="6">
        <v>242792</v>
      </c>
      <c r="J56" s="6">
        <v>402422</v>
      </c>
      <c r="K56" s="6">
        <v>13454</v>
      </c>
      <c r="L56" s="6">
        <v>1610</v>
      </c>
      <c r="M56" s="6">
        <v>34595</v>
      </c>
      <c r="N56" s="6">
        <v>159321</v>
      </c>
      <c r="O56" s="6">
        <v>157975</v>
      </c>
      <c r="P56" s="6">
        <v>179303</v>
      </c>
      <c r="Q56" s="6">
        <v>51966</v>
      </c>
      <c r="R56" s="6">
        <v>77119</v>
      </c>
      <c r="S56" s="6">
        <v>10</v>
      </c>
      <c r="T56" s="6">
        <v>0</v>
      </c>
      <c r="U56" s="6">
        <v>9919</v>
      </c>
      <c r="V56" s="6">
        <v>-897</v>
      </c>
      <c r="W56" s="6">
        <v>24000</v>
      </c>
      <c r="X56" s="6">
        <v>51</v>
      </c>
      <c r="Y56" s="6"/>
      <c r="Z56" s="6"/>
      <c r="AA56" s="6"/>
      <c r="AB56" s="6">
        <v>6787</v>
      </c>
      <c r="AC56" s="6">
        <v>1600</v>
      </c>
      <c r="AD56" s="6">
        <v>0</v>
      </c>
      <c r="AE56" s="6">
        <v>18887</v>
      </c>
      <c r="AF56" s="6">
        <v>10909</v>
      </c>
    </row>
    <row r="57" spans="1:32" x14ac:dyDescent="0.35">
      <c r="A57" s="1">
        <v>37944</v>
      </c>
      <c r="B57" s="6">
        <v>744521</v>
      </c>
      <c r="C57" s="6">
        <v>11039</v>
      </c>
      <c r="D57" s="6">
        <v>2200</v>
      </c>
      <c r="E57" s="6">
        <v>810</v>
      </c>
      <c r="F57" s="6">
        <v>693766</v>
      </c>
      <c r="G57" s="6">
        <v>662713</v>
      </c>
      <c r="H57" s="6">
        <v>662703</v>
      </c>
      <c r="I57" s="6">
        <v>242958</v>
      </c>
      <c r="J57" s="6">
        <v>404669</v>
      </c>
      <c r="K57" s="6">
        <v>13454</v>
      </c>
      <c r="L57" s="6">
        <v>1621</v>
      </c>
      <c r="M57" s="6">
        <v>50010</v>
      </c>
      <c r="N57" s="6">
        <v>142633</v>
      </c>
      <c r="O57" s="6">
        <v>164942</v>
      </c>
      <c r="P57" s="6">
        <v>177811</v>
      </c>
      <c r="Q57" s="6">
        <v>50183</v>
      </c>
      <c r="R57" s="6">
        <v>77123</v>
      </c>
      <c r="S57" s="6">
        <v>10</v>
      </c>
      <c r="T57" s="6">
        <v>0</v>
      </c>
      <c r="U57" s="6">
        <v>9918</v>
      </c>
      <c r="V57" s="6">
        <v>-912</v>
      </c>
      <c r="W57" s="6">
        <v>22000</v>
      </c>
      <c r="X57" s="6">
        <v>47</v>
      </c>
      <c r="Y57" s="6"/>
      <c r="Z57" s="6"/>
      <c r="AA57" s="6"/>
      <c r="AB57" s="6">
        <v>8698</v>
      </c>
      <c r="AC57" s="6">
        <v>1602</v>
      </c>
      <c r="AD57" s="6">
        <v>0</v>
      </c>
      <c r="AE57" s="6">
        <v>19080</v>
      </c>
      <c r="AF57" s="6">
        <v>7326</v>
      </c>
    </row>
    <row r="58" spans="1:32" x14ac:dyDescent="0.35">
      <c r="A58" s="1">
        <v>37951</v>
      </c>
      <c r="B58" s="6">
        <v>756964</v>
      </c>
      <c r="C58" s="6">
        <v>11039</v>
      </c>
      <c r="D58" s="6">
        <v>2200</v>
      </c>
      <c r="E58" s="6">
        <v>777</v>
      </c>
      <c r="F58" s="6">
        <v>707113</v>
      </c>
      <c r="G58" s="6">
        <v>664525</v>
      </c>
      <c r="H58" s="6">
        <v>664515</v>
      </c>
      <c r="I58" s="6">
        <v>243253</v>
      </c>
      <c r="J58" s="6">
        <v>406173</v>
      </c>
      <c r="K58" s="6">
        <v>13454</v>
      </c>
      <c r="L58" s="6">
        <v>1634</v>
      </c>
      <c r="M58" s="6">
        <v>50036</v>
      </c>
      <c r="N58" s="6">
        <v>142619</v>
      </c>
      <c r="O58" s="6">
        <v>165225</v>
      </c>
      <c r="P58" s="6">
        <v>178532</v>
      </c>
      <c r="Q58" s="6">
        <v>50975</v>
      </c>
      <c r="R58" s="6">
        <v>77128</v>
      </c>
      <c r="S58" s="6">
        <v>10</v>
      </c>
      <c r="T58" s="6">
        <v>0</v>
      </c>
      <c r="U58" s="6">
        <v>9940</v>
      </c>
      <c r="V58" s="6">
        <v>-895</v>
      </c>
      <c r="W58" s="6">
        <v>33500</v>
      </c>
      <c r="X58" s="6">
        <v>43</v>
      </c>
      <c r="Y58" s="6"/>
      <c r="Z58" s="6"/>
      <c r="AA58" s="6"/>
      <c r="AB58" s="6">
        <v>7307</v>
      </c>
      <c r="AC58" s="6">
        <v>1605</v>
      </c>
      <c r="AD58" s="6">
        <v>0</v>
      </c>
      <c r="AE58" s="6">
        <v>19089</v>
      </c>
      <c r="AF58" s="6">
        <v>7834</v>
      </c>
    </row>
    <row r="59" spans="1:32" x14ac:dyDescent="0.35">
      <c r="A59" s="1">
        <v>37958</v>
      </c>
      <c r="B59" s="6">
        <v>749981</v>
      </c>
      <c r="C59" s="6">
        <v>11039</v>
      </c>
      <c r="D59" s="6">
        <v>2200</v>
      </c>
      <c r="E59" s="6">
        <v>744</v>
      </c>
      <c r="F59" s="6">
        <v>697796</v>
      </c>
      <c r="G59" s="6">
        <v>665242</v>
      </c>
      <c r="H59" s="6">
        <v>665232</v>
      </c>
      <c r="I59" s="6">
        <v>243385</v>
      </c>
      <c r="J59" s="6">
        <v>406173</v>
      </c>
      <c r="K59" s="6">
        <v>13994</v>
      </c>
      <c r="L59" s="6">
        <v>1680</v>
      </c>
      <c r="M59" s="6">
        <v>44439</v>
      </c>
      <c r="N59" s="6">
        <v>149930</v>
      </c>
      <c r="O59" s="6">
        <v>163322</v>
      </c>
      <c r="P59" s="6">
        <v>179073</v>
      </c>
      <c r="Q59" s="6">
        <v>51318</v>
      </c>
      <c r="R59" s="6">
        <v>77151</v>
      </c>
      <c r="S59" s="6">
        <v>10</v>
      </c>
      <c r="T59" s="6">
        <v>0</v>
      </c>
      <c r="U59" s="6">
        <v>9927</v>
      </c>
      <c r="V59" s="6">
        <v>-896</v>
      </c>
      <c r="W59" s="6">
        <v>23500</v>
      </c>
      <c r="X59" s="6">
        <v>23</v>
      </c>
      <c r="Y59" s="6"/>
      <c r="Z59" s="6"/>
      <c r="AA59" s="6"/>
      <c r="AB59" s="6">
        <v>9447</v>
      </c>
      <c r="AC59" s="6">
        <v>1606</v>
      </c>
      <c r="AD59" s="6">
        <v>0</v>
      </c>
      <c r="AE59" s="6">
        <v>19322</v>
      </c>
      <c r="AF59" s="6">
        <v>7828</v>
      </c>
    </row>
    <row r="60" spans="1:32" x14ac:dyDescent="0.35">
      <c r="A60" s="1">
        <v>37965</v>
      </c>
      <c r="B60" s="6">
        <v>756585</v>
      </c>
      <c r="C60" s="6">
        <v>11039</v>
      </c>
      <c r="D60" s="6">
        <v>2200</v>
      </c>
      <c r="E60" s="6">
        <v>754</v>
      </c>
      <c r="F60" s="6">
        <v>703890</v>
      </c>
      <c r="G60" s="6">
        <v>665610</v>
      </c>
      <c r="H60" s="6">
        <v>665610</v>
      </c>
      <c r="I60" s="6">
        <v>243767</v>
      </c>
      <c r="J60" s="6">
        <v>406173</v>
      </c>
      <c r="K60" s="6">
        <v>13994</v>
      </c>
      <c r="L60" s="6">
        <v>1676</v>
      </c>
      <c r="M60" s="6">
        <v>29607</v>
      </c>
      <c r="N60" s="6">
        <v>164933</v>
      </c>
      <c r="O60" s="6">
        <v>163532</v>
      </c>
      <c r="P60" s="6">
        <v>179072</v>
      </c>
      <c r="Q60" s="6">
        <v>51316</v>
      </c>
      <c r="R60" s="6">
        <v>77150</v>
      </c>
      <c r="S60" s="6">
        <v>0</v>
      </c>
      <c r="T60" s="6">
        <v>0</v>
      </c>
      <c r="U60" s="6">
        <v>9894</v>
      </c>
      <c r="V60" s="6">
        <v>-896</v>
      </c>
      <c r="W60" s="6">
        <v>29250</v>
      </c>
      <c r="X60" s="6">
        <v>32</v>
      </c>
      <c r="Y60" s="6"/>
      <c r="Z60" s="6"/>
      <c r="AA60" s="6"/>
      <c r="AB60" s="6">
        <v>9457</v>
      </c>
      <c r="AC60" s="6">
        <v>1608</v>
      </c>
      <c r="AD60" s="6">
        <v>0</v>
      </c>
      <c r="AE60" s="6">
        <v>19415</v>
      </c>
      <c r="AF60" s="6">
        <v>8221</v>
      </c>
    </row>
    <row r="61" spans="1:32" x14ac:dyDescent="0.35">
      <c r="A61" s="1">
        <v>37972</v>
      </c>
      <c r="B61" s="6">
        <v>753919</v>
      </c>
      <c r="C61" s="6">
        <v>11039</v>
      </c>
      <c r="D61" s="6">
        <v>2200</v>
      </c>
      <c r="E61" s="6">
        <v>762</v>
      </c>
      <c r="F61" s="6">
        <v>699972</v>
      </c>
      <c r="G61" s="6">
        <v>665953</v>
      </c>
      <c r="H61" s="6">
        <v>665953</v>
      </c>
      <c r="I61" s="6">
        <v>244113</v>
      </c>
      <c r="J61" s="6">
        <v>406173</v>
      </c>
      <c r="K61" s="6">
        <v>13994</v>
      </c>
      <c r="L61" s="6">
        <v>1672</v>
      </c>
      <c r="M61" s="6">
        <v>38268</v>
      </c>
      <c r="N61" s="6">
        <v>155944</v>
      </c>
      <c r="O61" s="6">
        <v>164208</v>
      </c>
      <c r="P61" s="6">
        <v>179071</v>
      </c>
      <c r="Q61" s="6">
        <v>51315</v>
      </c>
      <c r="R61" s="6">
        <v>77149</v>
      </c>
      <c r="S61" s="6">
        <v>0</v>
      </c>
      <c r="T61" s="6">
        <v>0</v>
      </c>
      <c r="U61" s="6">
        <v>9862</v>
      </c>
      <c r="V61" s="6">
        <v>-894</v>
      </c>
      <c r="W61" s="6">
        <v>25000</v>
      </c>
      <c r="X61" s="6">
        <v>50</v>
      </c>
      <c r="Y61" s="6"/>
      <c r="Z61" s="6"/>
      <c r="AA61" s="6"/>
      <c r="AB61" s="6">
        <v>10111</v>
      </c>
      <c r="AC61" s="6">
        <v>1610</v>
      </c>
      <c r="AD61" s="6">
        <v>0</v>
      </c>
      <c r="AE61" s="6">
        <v>19645</v>
      </c>
      <c r="AF61" s="6">
        <v>8581</v>
      </c>
    </row>
    <row r="62" spans="1:32" x14ac:dyDescent="0.35">
      <c r="A62" s="1">
        <v>37979</v>
      </c>
      <c r="B62" s="6">
        <v>767012</v>
      </c>
      <c r="C62" s="6">
        <v>11039</v>
      </c>
      <c r="D62" s="6">
        <v>2200</v>
      </c>
      <c r="E62" s="6">
        <v>747</v>
      </c>
      <c r="F62" s="6">
        <v>711836</v>
      </c>
      <c r="G62" s="6">
        <v>666216</v>
      </c>
      <c r="H62" s="6">
        <v>666216</v>
      </c>
      <c r="I62" s="6">
        <v>244381</v>
      </c>
      <c r="J62" s="6">
        <v>406173</v>
      </c>
      <c r="K62" s="6">
        <v>13994</v>
      </c>
      <c r="L62" s="6">
        <v>1668</v>
      </c>
      <c r="M62" s="6">
        <v>54448</v>
      </c>
      <c r="N62" s="6">
        <v>140122</v>
      </c>
      <c r="O62" s="6">
        <v>164116</v>
      </c>
      <c r="P62" s="6">
        <v>179070</v>
      </c>
      <c r="Q62" s="6">
        <v>51313</v>
      </c>
      <c r="R62" s="6">
        <v>77147</v>
      </c>
      <c r="S62" s="6">
        <v>0</v>
      </c>
      <c r="T62" s="6">
        <v>0</v>
      </c>
      <c r="U62" s="6">
        <v>9825</v>
      </c>
      <c r="V62" s="6">
        <v>-880</v>
      </c>
      <c r="W62" s="6">
        <v>36500</v>
      </c>
      <c r="X62" s="6">
        <v>175</v>
      </c>
      <c r="Y62" s="6"/>
      <c r="Z62" s="6"/>
      <c r="AA62" s="6"/>
      <c r="AB62" s="6">
        <v>10896</v>
      </c>
      <c r="AC62" s="6">
        <v>1623</v>
      </c>
      <c r="AD62" s="6">
        <v>0</v>
      </c>
      <c r="AE62" s="6">
        <v>19734</v>
      </c>
      <c r="AF62" s="6">
        <v>8937</v>
      </c>
    </row>
    <row r="63" spans="1:32" x14ac:dyDescent="0.35">
      <c r="A63" s="1">
        <v>37986</v>
      </c>
      <c r="B63" s="6">
        <v>771551</v>
      </c>
      <c r="C63" s="6">
        <v>11039</v>
      </c>
      <c r="D63" s="6">
        <v>2200</v>
      </c>
      <c r="E63" s="6">
        <v>722</v>
      </c>
      <c r="F63" s="6">
        <v>719382</v>
      </c>
      <c r="G63" s="6">
        <v>666665</v>
      </c>
      <c r="H63" s="6">
        <v>666665</v>
      </c>
      <c r="I63" s="6">
        <v>244833</v>
      </c>
      <c r="J63" s="6">
        <v>406173</v>
      </c>
      <c r="K63" s="6">
        <v>13994</v>
      </c>
      <c r="L63" s="6">
        <v>1665</v>
      </c>
      <c r="M63" s="6">
        <v>47733</v>
      </c>
      <c r="N63" s="6">
        <v>139347</v>
      </c>
      <c r="O63" s="6">
        <v>164071</v>
      </c>
      <c r="P63" s="6">
        <v>187056</v>
      </c>
      <c r="Q63" s="6">
        <v>51312</v>
      </c>
      <c r="R63" s="6">
        <v>77146</v>
      </c>
      <c r="S63" s="6">
        <v>0</v>
      </c>
      <c r="T63" s="6">
        <v>0</v>
      </c>
      <c r="U63" s="6">
        <v>9798</v>
      </c>
      <c r="V63" s="6">
        <v>-893</v>
      </c>
      <c r="W63" s="6">
        <v>43750</v>
      </c>
      <c r="X63" s="6">
        <v>62</v>
      </c>
      <c r="Y63" s="6"/>
      <c r="Z63" s="6"/>
      <c r="AA63" s="6"/>
      <c r="AB63" s="6">
        <v>7793</v>
      </c>
      <c r="AC63" s="6">
        <v>1628</v>
      </c>
      <c r="AD63" s="6">
        <v>0</v>
      </c>
      <c r="AE63" s="6">
        <v>19868</v>
      </c>
      <c r="AF63" s="6">
        <v>8920</v>
      </c>
    </row>
    <row r="64" spans="1:32" x14ac:dyDescent="0.35">
      <c r="A64" s="1">
        <v>37993</v>
      </c>
      <c r="B64" s="6">
        <v>755829</v>
      </c>
      <c r="C64" s="6">
        <v>11039</v>
      </c>
      <c r="D64" s="6">
        <v>2200</v>
      </c>
      <c r="E64" s="6">
        <v>725</v>
      </c>
      <c r="F64" s="6">
        <v>699607</v>
      </c>
      <c r="G64" s="6">
        <v>666720</v>
      </c>
      <c r="H64" s="6">
        <v>666720</v>
      </c>
      <c r="I64" s="6">
        <v>244897</v>
      </c>
      <c r="J64" s="6">
        <v>406173</v>
      </c>
      <c r="K64" s="6">
        <v>13994</v>
      </c>
      <c r="L64" s="6">
        <v>1655</v>
      </c>
      <c r="M64" s="6">
        <v>48447</v>
      </c>
      <c r="N64" s="6">
        <v>147438</v>
      </c>
      <c r="O64" s="6">
        <v>162313</v>
      </c>
      <c r="P64" s="6">
        <v>180071</v>
      </c>
      <c r="Q64" s="6">
        <v>51309</v>
      </c>
      <c r="R64" s="6">
        <v>77142</v>
      </c>
      <c r="S64" s="6">
        <v>0</v>
      </c>
      <c r="T64" s="6">
        <v>0</v>
      </c>
      <c r="U64" s="6">
        <v>9766</v>
      </c>
      <c r="V64" s="6">
        <v>-889</v>
      </c>
      <c r="W64" s="6">
        <v>24000</v>
      </c>
      <c r="X64" s="6">
        <v>11</v>
      </c>
      <c r="Y64" s="6"/>
      <c r="Z64" s="6"/>
      <c r="AA64" s="6"/>
      <c r="AB64" s="6">
        <v>11241</v>
      </c>
      <c r="AC64" s="6">
        <v>1624</v>
      </c>
      <c r="AD64" s="6">
        <v>0</v>
      </c>
      <c r="AE64" s="6">
        <v>20011</v>
      </c>
      <c r="AF64" s="6">
        <v>9382</v>
      </c>
    </row>
    <row r="65" spans="1:32" x14ac:dyDescent="0.35">
      <c r="A65" s="1">
        <v>38000</v>
      </c>
      <c r="B65" s="6">
        <v>752812</v>
      </c>
      <c r="C65" s="6">
        <v>11039</v>
      </c>
      <c r="D65" s="6">
        <v>2200</v>
      </c>
      <c r="E65" s="6">
        <v>752</v>
      </c>
      <c r="F65" s="6">
        <v>699659</v>
      </c>
      <c r="G65" s="6">
        <v>666798</v>
      </c>
      <c r="H65" s="6">
        <v>666798</v>
      </c>
      <c r="I65" s="6">
        <v>244985</v>
      </c>
      <c r="J65" s="6">
        <v>406173</v>
      </c>
      <c r="K65" s="6">
        <v>13994</v>
      </c>
      <c r="L65" s="6">
        <v>1646</v>
      </c>
      <c r="M65" s="6">
        <v>49096</v>
      </c>
      <c r="N65" s="6">
        <v>146987</v>
      </c>
      <c r="O65" s="6">
        <v>162203</v>
      </c>
      <c r="P65" s="6">
        <v>180069</v>
      </c>
      <c r="Q65" s="6">
        <v>51305</v>
      </c>
      <c r="R65" s="6">
        <v>77139</v>
      </c>
      <c r="S65" s="6">
        <v>0</v>
      </c>
      <c r="T65" s="6">
        <v>0</v>
      </c>
      <c r="U65" s="6">
        <v>9734</v>
      </c>
      <c r="V65" s="6">
        <v>-887</v>
      </c>
      <c r="W65" s="6">
        <v>24000</v>
      </c>
      <c r="X65" s="6">
        <v>14</v>
      </c>
      <c r="Y65" s="6"/>
      <c r="Z65" s="6"/>
      <c r="AA65" s="6"/>
      <c r="AB65" s="6">
        <v>7567</v>
      </c>
      <c r="AC65" s="6">
        <v>1625</v>
      </c>
      <c r="AD65" s="6">
        <v>0</v>
      </c>
      <c r="AE65" s="6">
        <v>20116</v>
      </c>
      <c r="AF65" s="6">
        <v>9854</v>
      </c>
    </row>
    <row r="66" spans="1:32" x14ac:dyDescent="0.35">
      <c r="A66" s="1">
        <v>38007</v>
      </c>
      <c r="B66" s="6">
        <v>775833</v>
      </c>
      <c r="C66" s="6">
        <v>11039</v>
      </c>
      <c r="D66" s="6">
        <v>2200</v>
      </c>
      <c r="E66" s="6">
        <v>779</v>
      </c>
      <c r="F66" s="6">
        <v>717780</v>
      </c>
      <c r="G66" s="6">
        <v>666832</v>
      </c>
      <c r="H66" s="6">
        <v>666832</v>
      </c>
      <c r="I66" s="6">
        <v>245028</v>
      </c>
      <c r="J66" s="6">
        <v>406173</v>
      </c>
      <c r="K66" s="6">
        <v>13994</v>
      </c>
      <c r="L66" s="6">
        <v>1636</v>
      </c>
      <c r="M66" s="6">
        <v>54597</v>
      </c>
      <c r="N66" s="6">
        <v>141753</v>
      </c>
      <c r="O66" s="6">
        <v>163385</v>
      </c>
      <c r="P66" s="6">
        <v>182299</v>
      </c>
      <c r="Q66" s="6">
        <v>47663</v>
      </c>
      <c r="R66" s="6">
        <v>77135</v>
      </c>
      <c r="S66" s="6">
        <v>0</v>
      </c>
      <c r="T66" s="6">
        <v>0</v>
      </c>
      <c r="U66" s="6">
        <v>9701</v>
      </c>
      <c r="V66" s="6">
        <v>-884</v>
      </c>
      <c r="W66" s="6">
        <v>42000</v>
      </c>
      <c r="X66" s="6">
        <v>132</v>
      </c>
      <c r="Y66" s="6"/>
      <c r="Z66" s="6"/>
      <c r="AA66" s="6"/>
      <c r="AB66" s="6">
        <v>12751</v>
      </c>
      <c r="AC66" s="6">
        <v>1644</v>
      </c>
      <c r="AD66" s="6">
        <v>0</v>
      </c>
      <c r="AE66" s="6">
        <v>19925</v>
      </c>
      <c r="AF66" s="6">
        <v>9715</v>
      </c>
    </row>
    <row r="67" spans="1:32" x14ac:dyDescent="0.35">
      <c r="A67" s="1">
        <v>38014</v>
      </c>
      <c r="B67" s="6">
        <v>755279</v>
      </c>
      <c r="C67" s="6">
        <v>11039</v>
      </c>
      <c r="D67" s="6">
        <v>2200</v>
      </c>
      <c r="E67" s="6">
        <v>813</v>
      </c>
      <c r="F67" s="6">
        <v>698868</v>
      </c>
      <c r="G67" s="6">
        <v>667060</v>
      </c>
      <c r="H67" s="6">
        <v>667060</v>
      </c>
      <c r="I67" s="6">
        <v>245266</v>
      </c>
      <c r="J67" s="6">
        <v>406173</v>
      </c>
      <c r="K67" s="6">
        <v>13994</v>
      </c>
      <c r="L67" s="6">
        <v>1626</v>
      </c>
      <c r="M67" s="6">
        <v>53516</v>
      </c>
      <c r="N67" s="6">
        <v>143126</v>
      </c>
      <c r="O67" s="6">
        <v>163330</v>
      </c>
      <c r="P67" s="6">
        <v>182295</v>
      </c>
      <c r="Q67" s="6">
        <v>47661</v>
      </c>
      <c r="R67" s="6">
        <v>77131</v>
      </c>
      <c r="S67" s="6">
        <v>0</v>
      </c>
      <c r="T67" s="6">
        <v>0</v>
      </c>
      <c r="U67" s="6">
        <v>9666</v>
      </c>
      <c r="V67" s="6">
        <v>-883</v>
      </c>
      <c r="W67" s="6">
        <v>23000</v>
      </c>
      <c r="X67" s="6">
        <v>25</v>
      </c>
      <c r="Y67" s="6"/>
      <c r="Z67" s="6"/>
      <c r="AA67" s="6"/>
      <c r="AB67" s="6">
        <v>10572</v>
      </c>
      <c r="AC67" s="6">
        <v>1644</v>
      </c>
      <c r="AD67" s="6">
        <v>0</v>
      </c>
      <c r="AE67" s="6">
        <v>20043</v>
      </c>
      <c r="AF67" s="6">
        <v>10099</v>
      </c>
    </row>
    <row r="68" spans="1:32" x14ac:dyDescent="0.35">
      <c r="A68" s="1">
        <v>38021</v>
      </c>
      <c r="B68" s="6">
        <v>754153</v>
      </c>
      <c r="C68" s="6">
        <v>11038</v>
      </c>
      <c r="D68" s="6">
        <v>2200</v>
      </c>
      <c r="E68" s="6">
        <v>858</v>
      </c>
      <c r="F68" s="6">
        <v>699308</v>
      </c>
      <c r="G68" s="6">
        <v>667292</v>
      </c>
      <c r="H68" s="6">
        <v>667292</v>
      </c>
      <c r="I68" s="6">
        <v>245505</v>
      </c>
      <c r="J68" s="6">
        <v>406173</v>
      </c>
      <c r="K68" s="6">
        <v>13994</v>
      </c>
      <c r="L68" s="6">
        <v>1620</v>
      </c>
      <c r="M68" s="6">
        <v>50388</v>
      </c>
      <c r="N68" s="6">
        <v>148245</v>
      </c>
      <c r="O68" s="6">
        <v>162763</v>
      </c>
      <c r="P68" s="6">
        <v>181106</v>
      </c>
      <c r="Q68" s="6">
        <v>47660</v>
      </c>
      <c r="R68" s="6">
        <v>77129</v>
      </c>
      <c r="S68" s="6">
        <v>0</v>
      </c>
      <c r="T68" s="6">
        <v>0</v>
      </c>
      <c r="U68" s="6">
        <v>9632</v>
      </c>
      <c r="V68" s="6">
        <v>-888</v>
      </c>
      <c r="W68" s="6">
        <v>23250</v>
      </c>
      <c r="X68" s="6">
        <v>23</v>
      </c>
      <c r="Y68" s="6"/>
      <c r="Z68" s="6"/>
      <c r="AA68" s="6"/>
      <c r="AB68" s="6">
        <v>8881</v>
      </c>
      <c r="AC68" s="6">
        <v>1644</v>
      </c>
      <c r="AD68" s="6">
        <v>0</v>
      </c>
      <c r="AE68" s="6">
        <v>19988</v>
      </c>
      <c r="AF68" s="6">
        <v>10236</v>
      </c>
    </row>
    <row r="69" spans="1:32" x14ac:dyDescent="0.35">
      <c r="A69" s="1">
        <v>38028</v>
      </c>
      <c r="B69" s="6">
        <v>750999</v>
      </c>
      <c r="C69" s="6">
        <v>11038</v>
      </c>
      <c r="D69" s="6">
        <v>2200</v>
      </c>
      <c r="E69" s="6">
        <v>875</v>
      </c>
      <c r="F69" s="6">
        <v>697404</v>
      </c>
      <c r="G69" s="6">
        <v>669851</v>
      </c>
      <c r="H69" s="6">
        <v>669851</v>
      </c>
      <c r="I69" s="6">
        <v>245847</v>
      </c>
      <c r="J69" s="6">
        <v>408394</v>
      </c>
      <c r="K69" s="6">
        <v>13994</v>
      </c>
      <c r="L69" s="6">
        <v>1616</v>
      </c>
      <c r="M69" s="6">
        <v>50035</v>
      </c>
      <c r="N69" s="6">
        <v>148893</v>
      </c>
      <c r="O69" s="6">
        <v>164122</v>
      </c>
      <c r="P69" s="6">
        <v>181930</v>
      </c>
      <c r="Q69" s="6">
        <v>47744</v>
      </c>
      <c r="R69" s="6">
        <v>77127</v>
      </c>
      <c r="S69" s="6">
        <v>0</v>
      </c>
      <c r="T69" s="6">
        <v>0</v>
      </c>
      <c r="U69" s="6">
        <v>9669</v>
      </c>
      <c r="V69" s="6">
        <v>-884</v>
      </c>
      <c r="W69" s="6">
        <v>18750</v>
      </c>
      <c r="X69" s="6">
        <v>18</v>
      </c>
      <c r="Y69" s="6"/>
      <c r="Z69" s="6"/>
      <c r="AA69" s="6"/>
      <c r="AB69" s="6">
        <v>6874</v>
      </c>
      <c r="AC69" s="6">
        <v>1645</v>
      </c>
      <c r="AD69" s="6">
        <v>0</v>
      </c>
      <c r="AE69" s="6">
        <v>20238</v>
      </c>
      <c r="AF69" s="6">
        <v>10725</v>
      </c>
    </row>
    <row r="70" spans="1:32" x14ac:dyDescent="0.35">
      <c r="A70" s="1">
        <v>38035</v>
      </c>
      <c r="B70" s="6">
        <v>758759</v>
      </c>
      <c r="C70" s="6">
        <v>11038</v>
      </c>
      <c r="D70" s="6">
        <v>2200</v>
      </c>
      <c r="E70" s="6">
        <v>881</v>
      </c>
      <c r="F70" s="6">
        <v>703087</v>
      </c>
      <c r="G70" s="6">
        <v>670786</v>
      </c>
      <c r="H70" s="6">
        <v>670786</v>
      </c>
      <c r="I70" s="6">
        <v>246055</v>
      </c>
      <c r="J70" s="6">
        <v>409124</v>
      </c>
      <c r="K70" s="6">
        <v>13994</v>
      </c>
      <c r="L70" s="6">
        <v>1612</v>
      </c>
      <c r="M70" s="6">
        <v>53103</v>
      </c>
      <c r="N70" s="6">
        <v>150375</v>
      </c>
      <c r="O70" s="6">
        <v>158686</v>
      </c>
      <c r="P70" s="6">
        <v>182680</v>
      </c>
      <c r="Q70" s="6">
        <v>48816</v>
      </c>
      <c r="R70" s="6">
        <v>77126</v>
      </c>
      <c r="S70" s="6">
        <v>0</v>
      </c>
      <c r="T70" s="6">
        <v>0</v>
      </c>
      <c r="U70" s="6">
        <v>9673</v>
      </c>
      <c r="V70" s="6">
        <v>-892</v>
      </c>
      <c r="W70" s="6">
        <v>23500</v>
      </c>
      <c r="X70" s="6">
        <v>20</v>
      </c>
      <c r="Y70" s="6"/>
      <c r="Z70" s="6"/>
      <c r="AA70" s="6"/>
      <c r="AB70" s="6">
        <v>12496</v>
      </c>
      <c r="AC70" s="6">
        <v>1646</v>
      </c>
      <c r="AD70" s="6">
        <v>0</v>
      </c>
      <c r="AE70" s="6">
        <v>20156</v>
      </c>
      <c r="AF70" s="6">
        <v>7255</v>
      </c>
    </row>
    <row r="71" spans="1:32" x14ac:dyDescent="0.35">
      <c r="A71" s="1">
        <v>38042</v>
      </c>
      <c r="B71" s="6">
        <v>750666</v>
      </c>
      <c r="C71" s="6">
        <v>11038</v>
      </c>
      <c r="D71" s="6">
        <v>2200</v>
      </c>
      <c r="E71" s="6">
        <v>878</v>
      </c>
      <c r="F71" s="6">
        <v>700630</v>
      </c>
      <c r="G71" s="6">
        <v>671527</v>
      </c>
      <c r="H71" s="6">
        <v>671527</v>
      </c>
      <c r="I71" s="6">
        <v>246141</v>
      </c>
      <c r="J71" s="6">
        <v>409784</v>
      </c>
      <c r="K71" s="6">
        <v>13994</v>
      </c>
      <c r="L71" s="6">
        <v>1608</v>
      </c>
      <c r="M71" s="6">
        <v>51729</v>
      </c>
      <c r="N71" s="6">
        <v>151629</v>
      </c>
      <c r="O71" s="6">
        <v>158892</v>
      </c>
      <c r="P71" s="6">
        <v>182678</v>
      </c>
      <c r="Q71" s="6">
        <v>49240</v>
      </c>
      <c r="R71" s="6">
        <v>77359</v>
      </c>
      <c r="S71" s="6">
        <v>0</v>
      </c>
      <c r="T71" s="6">
        <v>0</v>
      </c>
      <c r="U71" s="6">
        <v>9722</v>
      </c>
      <c r="V71" s="6">
        <v>-889</v>
      </c>
      <c r="W71" s="6">
        <v>20000</v>
      </c>
      <c r="X71" s="6">
        <v>270</v>
      </c>
      <c r="Y71" s="6"/>
      <c r="Z71" s="6"/>
      <c r="AA71" s="6"/>
      <c r="AB71" s="6">
        <v>6996</v>
      </c>
      <c r="AC71" s="6">
        <v>1650</v>
      </c>
      <c r="AD71" s="6">
        <v>0</v>
      </c>
      <c r="AE71" s="6">
        <v>19676</v>
      </c>
      <c r="AF71" s="6">
        <v>7598</v>
      </c>
    </row>
    <row r="72" spans="1:32" x14ac:dyDescent="0.35">
      <c r="A72" s="1">
        <v>38049</v>
      </c>
      <c r="B72" s="6">
        <v>754867</v>
      </c>
      <c r="C72" s="6">
        <v>11041</v>
      </c>
      <c r="D72" s="6">
        <v>2200</v>
      </c>
      <c r="E72" s="6">
        <v>867</v>
      </c>
      <c r="F72" s="6">
        <v>704197</v>
      </c>
      <c r="G72" s="6">
        <v>671632</v>
      </c>
      <c r="H72" s="6">
        <v>671632</v>
      </c>
      <c r="I72" s="6">
        <v>246240</v>
      </c>
      <c r="J72" s="6">
        <v>409784</v>
      </c>
      <c r="K72" s="6">
        <v>13994</v>
      </c>
      <c r="L72" s="6">
        <v>1613</v>
      </c>
      <c r="M72" s="6">
        <v>42298</v>
      </c>
      <c r="N72" s="6">
        <v>159232</v>
      </c>
      <c r="O72" s="6">
        <v>161152</v>
      </c>
      <c r="P72" s="6">
        <v>182347</v>
      </c>
      <c r="Q72" s="6">
        <v>49241</v>
      </c>
      <c r="R72" s="6">
        <v>77361</v>
      </c>
      <c r="S72" s="6">
        <v>0</v>
      </c>
      <c r="T72" s="6">
        <v>0</v>
      </c>
      <c r="U72" s="6">
        <v>9686</v>
      </c>
      <c r="V72" s="6">
        <v>-897</v>
      </c>
      <c r="W72" s="6">
        <v>23750</v>
      </c>
      <c r="X72" s="6">
        <v>26</v>
      </c>
      <c r="Y72" s="6"/>
      <c r="Z72" s="6"/>
      <c r="AA72" s="6"/>
      <c r="AB72" s="6">
        <v>8054</v>
      </c>
      <c r="AC72" s="6">
        <v>1649</v>
      </c>
      <c r="AD72" s="6">
        <v>0</v>
      </c>
      <c r="AE72" s="6">
        <v>19216</v>
      </c>
      <c r="AF72" s="6">
        <v>7643</v>
      </c>
    </row>
    <row r="73" spans="1:32" x14ac:dyDescent="0.35">
      <c r="A73" s="1">
        <v>38056</v>
      </c>
      <c r="B73" s="6">
        <v>749950</v>
      </c>
      <c r="C73" s="6">
        <v>11041</v>
      </c>
      <c r="D73" s="6">
        <v>2200</v>
      </c>
      <c r="E73" s="6">
        <v>857</v>
      </c>
      <c r="F73" s="6">
        <v>700717</v>
      </c>
      <c r="G73" s="6">
        <v>673039</v>
      </c>
      <c r="H73" s="6">
        <v>673039</v>
      </c>
      <c r="I73" s="6">
        <v>246372</v>
      </c>
      <c r="J73" s="6">
        <v>410563</v>
      </c>
      <c r="K73" s="6">
        <v>14464</v>
      </c>
      <c r="L73" s="6">
        <v>1639</v>
      </c>
      <c r="M73" s="6">
        <v>41734</v>
      </c>
      <c r="N73" s="6">
        <v>159765</v>
      </c>
      <c r="O73" s="6">
        <v>161316</v>
      </c>
      <c r="P73" s="6">
        <v>183073</v>
      </c>
      <c r="Q73" s="6">
        <v>49740</v>
      </c>
      <c r="R73" s="6">
        <v>77413</v>
      </c>
      <c r="S73" s="6">
        <v>0</v>
      </c>
      <c r="T73" s="6">
        <v>0</v>
      </c>
      <c r="U73" s="6">
        <v>9804</v>
      </c>
      <c r="V73" s="6">
        <v>-895</v>
      </c>
      <c r="W73" s="6">
        <v>18750</v>
      </c>
      <c r="X73" s="6">
        <v>19</v>
      </c>
      <c r="Y73" s="6"/>
      <c r="Z73" s="6"/>
      <c r="AA73" s="6"/>
      <c r="AB73" s="6">
        <v>6157</v>
      </c>
      <c r="AC73" s="6">
        <v>1651</v>
      </c>
      <c r="AD73" s="6">
        <v>0</v>
      </c>
      <c r="AE73" s="6">
        <v>19281</v>
      </c>
      <c r="AF73" s="6">
        <v>8047</v>
      </c>
    </row>
    <row r="74" spans="1:32" x14ac:dyDescent="0.35">
      <c r="A74" s="1">
        <v>38063</v>
      </c>
      <c r="B74" s="6">
        <v>760638</v>
      </c>
      <c r="C74" s="6">
        <v>11041</v>
      </c>
      <c r="D74" s="6">
        <v>2200</v>
      </c>
      <c r="E74" s="6">
        <v>846</v>
      </c>
      <c r="F74" s="6">
        <v>711127</v>
      </c>
      <c r="G74" s="6">
        <v>673153</v>
      </c>
      <c r="H74" s="6">
        <v>673153</v>
      </c>
      <c r="I74" s="6">
        <v>246469</v>
      </c>
      <c r="J74" s="6">
        <v>410563</v>
      </c>
      <c r="K74" s="6">
        <v>14464</v>
      </c>
      <c r="L74" s="6">
        <v>1657</v>
      </c>
      <c r="M74" s="6">
        <v>50381</v>
      </c>
      <c r="N74" s="6">
        <v>151412</v>
      </c>
      <c r="O74" s="6">
        <v>161118</v>
      </c>
      <c r="P74" s="6">
        <v>183079</v>
      </c>
      <c r="Q74" s="6">
        <v>49744</v>
      </c>
      <c r="R74" s="6">
        <v>77419</v>
      </c>
      <c r="S74" s="6">
        <v>0</v>
      </c>
      <c r="T74" s="6">
        <v>0</v>
      </c>
      <c r="U74" s="6">
        <v>9768</v>
      </c>
      <c r="V74" s="6">
        <v>-891</v>
      </c>
      <c r="W74" s="6">
        <v>28750</v>
      </c>
      <c r="X74" s="6">
        <v>347</v>
      </c>
      <c r="Y74" s="6"/>
      <c r="Z74" s="6"/>
      <c r="AA74" s="6"/>
      <c r="AB74" s="6">
        <v>5915</v>
      </c>
      <c r="AC74" s="6">
        <v>1653</v>
      </c>
      <c r="AD74" s="6">
        <v>0</v>
      </c>
      <c r="AE74" s="6">
        <v>19486</v>
      </c>
      <c r="AF74" s="6">
        <v>8371</v>
      </c>
    </row>
    <row r="75" spans="1:32" x14ac:dyDescent="0.35">
      <c r="A75" s="1">
        <v>38070</v>
      </c>
      <c r="B75" s="6">
        <v>751510</v>
      </c>
      <c r="C75" s="6">
        <v>11041</v>
      </c>
      <c r="D75" s="6">
        <v>2200</v>
      </c>
      <c r="E75" s="6">
        <v>834</v>
      </c>
      <c r="F75" s="6">
        <v>702709</v>
      </c>
      <c r="G75" s="6">
        <v>673995</v>
      </c>
      <c r="H75" s="6">
        <v>673995</v>
      </c>
      <c r="I75" s="6">
        <v>246469</v>
      </c>
      <c r="J75" s="6">
        <v>411388</v>
      </c>
      <c r="K75" s="6">
        <v>14464</v>
      </c>
      <c r="L75" s="6">
        <v>1674</v>
      </c>
      <c r="M75" s="6">
        <v>50976</v>
      </c>
      <c r="N75" s="6">
        <v>150619</v>
      </c>
      <c r="O75" s="6">
        <v>161315</v>
      </c>
      <c r="P75" s="6">
        <v>183661</v>
      </c>
      <c r="Q75" s="6">
        <v>49998</v>
      </c>
      <c r="R75" s="6">
        <v>77426</v>
      </c>
      <c r="S75" s="6">
        <v>0</v>
      </c>
      <c r="T75" s="6">
        <v>0</v>
      </c>
      <c r="U75" s="6">
        <v>9799</v>
      </c>
      <c r="V75" s="6">
        <v>-882</v>
      </c>
      <c r="W75" s="6">
        <v>19750</v>
      </c>
      <c r="X75" s="6">
        <v>48</v>
      </c>
      <c r="Y75" s="6"/>
      <c r="Z75" s="6"/>
      <c r="AA75" s="6"/>
      <c r="AB75" s="6">
        <v>4627</v>
      </c>
      <c r="AC75" s="6">
        <v>1655</v>
      </c>
      <c r="AD75" s="6">
        <v>0</v>
      </c>
      <c r="AE75" s="6">
        <v>19665</v>
      </c>
      <c r="AF75" s="6">
        <v>8780</v>
      </c>
    </row>
    <row r="76" spans="1:32" x14ac:dyDescent="0.35">
      <c r="A76" s="1">
        <v>38077</v>
      </c>
      <c r="B76" s="6">
        <v>760725</v>
      </c>
      <c r="C76" s="6">
        <v>11041</v>
      </c>
      <c r="D76" s="6">
        <v>2200</v>
      </c>
      <c r="E76" s="6">
        <v>836</v>
      </c>
      <c r="F76" s="6">
        <v>710529</v>
      </c>
      <c r="G76" s="6">
        <v>674084</v>
      </c>
      <c r="H76" s="6">
        <v>674084</v>
      </c>
      <c r="I76" s="6">
        <v>246539</v>
      </c>
      <c r="J76" s="6">
        <v>411388</v>
      </c>
      <c r="K76" s="6">
        <v>14464</v>
      </c>
      <c r="L76" s="6">
        <v>1692</v>
      </c>
      <c r="M76" s="6">
        <v>43703</v>
      </c>
      <c r="N76" s="6">
        <v>149360</v>
      </c>
      <c r="O76" s="6">
        <v>169796</v>
      </c>
      <c r="P76" s="6">
        <v>183791</v>
      </c>
      <c r="Q76" s="6">
        <v>50002</v>
      </c>
      <c r="R76" s="6">
        <v>77432</v>
      </c>
      <c r="S76" s="6">
        <v>0</v>
      </c>
      <c r="T76" s="6">
        <v>0</v>
      </c>
      <c r="U76" s="6">
        <v>9762</v>
      </c>
      <c r="V76" s="6">
        <v>-881</v>
      </c>
      <c r="W76" s="6">
        <v>27500</v>
      </c>
      <c r="X76" s="6">
        <v>64</v>
      </c>
      <c r="Y76" s="6"/>
      <c r="Z76" s="6"/>
      <c r="AA76" s="6"/>
      <c r="AB76" s="6">
        <v>5713</v>
      </c>
      <c r="AC76" s="6">
        <v>1663</v>
      </c>
      <c r="AD76" s="6">
        <v>0</v>
      </c>
      <c r="AE76" s="6">
        <v>19914</v>
      </c>
      <c r="AF76" s="6">
        <v>8829</v>
      </c>
    </row>
    <row r="77" spans="1:32" x14ac:dyDescent="0.35">
      <c r="A77" s="1">
        <v>38084</v>
      </c>
      <c r="B77" s="6">
        <v>754083</v>
      </c>
      <c r="C77" s="6">
        <v>11041</v>
      </c>
      <c r="D77" s="6">
        <v>2200</v>
      </c>
      <c r="E77" s="6">
        <v>844</v>
      </c>
      <c r="F77" s="6">
        <v>702972</v>
      </c>
      <c r="G77" s="6">
        <v>674294</v>
      </c>
      <c r="H77" s="6">
        <v>674294</v>
      </c>
      <c r="I77" s="6">
        <v>246729</v>
      </c>
      <c r="J77" s="6">
        <v>411388</v>
      </c>
      <c r="K77" s="6">
        <v>14464</v>
      </c>
      <c r="L77" s="6">
        <v>1713</v>
      </c>
      <c r="M77" s="6">
        <v>44834</v>
      </c>
      <c r="N77" s="6">
        <v>156195</v>
      </c>
      <c r="O77" s="6">
        <v>162020</v>
      </c>
      <c r="P77" s="6">
        <v>183799</v>
      </c>
      <c r="Q77" s="6">
        <v>50007</v>
      </c>
      <c r="R77" s="6">
        <v>77440</v>
      </c>
      <c r="S77" s="6">
        <v>0</v>
      </c>
      <c r="T77" s="6">
        <v>0</v>
      </c>
      <c r="U77" s="6">
        <v>9726</v>
      </c>
      <c r="V77" s="6">
        <v>-876</v>
      </c>
      <c r="W77" s="6">
        <v>19750</v>
      </c>
      <c r="X77" s="6">
        <v>79</v>
      </c>
      <c r="Y77" s="6"/>
      <c r="Z77" s="6"/>
      <c r="AA77" s="6"/>
      <c r="AB77" s="6">
        <v>6360</v>
      </c>
      <c r="AC77" s="6">
        <v>1658</v>
      </c>
      <c r="AD77" s="6">
        <v>0</v>
      </c>
      <c r="AE77" s="6">
        <v>19725</v>
      </c>
      <c r="AF77" s="6">
        <v>9284</v>
      </c>
    </row>
    <row r="78" spans="1:32" x14ac:dyDescent="0.35">
      <c r="A78" s="1">
        <v>38091</v>
      </c>
      <c r="B78" s="6">
        <v>763734</v>
      </c>
      <c r="C78" s="6">
        <v>11041</v>
      </c>
      <c r="D78" s="6">
        <v>2200</v>
      </c>
      <c r="E78" s="6">
        <v>834</v>
      </c>
      <c r="F78" s="6">
        <v>713321</v>
      </c>
      <c r="G78" s="6">
        <v>674717</v>
      </c>
      <c r="H78" s="6">
        <v>674717</v>
      </c>
      <c r="I78" s="6">
        <v>247132</v>
      </c>
      <c r="J78" s="6">
        <v>411388</v>
      </c>
      <c r="K78" s="6">
        <v>14464</v>
      </c>
      <c r="L78" s="6">
        <v>1733</v>
      </c>
      <c r="M78" s="6">
        <v>46285</v>
      </c>
      <c r="N78" s="6">
        <v>155706</v>
      </c>
      <c r="O78" s="6">
        <v>161460</v>
      </c>
      <c r="P78" s="6">
        <v>183807</v>
      </c>
      <c r="Q78" s="6">
        <v>50012</v>
      </c>
      <c r="R78" s="6">
        <v>77447</v>
      </c>
      <c r="S78" s="6">
        <v>0</v>
      </c>
      <c r="T78" s="6">
        <v>0</v>
      </c>
      <c r="U78" s="6">
        <v>9689</v>
      </c>
      <c r="V78" s="6">
        <v>-871</v>
      </c>
      <c r="W78" s="6">
        <v>29700</v>
      </c>
      <c r="X78" s="6">
        <v>86</v>
      </c>
      <c r="Y78" s="6"/>
      <c r="Z78" s="6"/>
      <c r="AA78" s="6"/>
      <c r="AB78" s="6">
        <v>5721</v>
      </c>
      <c r="AC78" s="6">
        <v>1662</v>
      </c>
      <c r="AD78" s="6">
        <v>0</v>
      </c>
      <c r="AE78" s="6">
        <v>19250</v>
      </c>
      <c r="AF78" s="6">
        <v>9705</v>
      </c>
    </row>
    <row r="79" spans="1:32" x14ac:dyDescent="0.35">
      <c r="A79" s="1">
        <v>38098</v>
      </c>
      <c r="B79" s="6">
        <v>757984</v>
      </c>
      <c r="C79" s="6">
        <v>11041</v>
      </c>
      <c r="D79" s="6">
        <v>2200</v>
      </c>
      <c r="E79" s="6">
        <v>831</v>
      </c>
      <c r="F79" s="6">
        <v>706558</v>
      </c>
      <c r="G79" s="6">
        <v>674937</v>
      </c>
      <c r="H79" s="6">
        <v>674937</v>
      </c>
      <c r="I79" s="6">
        <v>247332</v>
      </c>
      <c r="J79" s="6">
        <v>411388</v>
      </c>
      <c r="K79" s="6">
        <v>14464</v>
      </c>
      <c r="L79" s="6">
        <v>1753</v>
      </c>
      <c r="M79" s="6">
        <v>55679</v>
      </c>
      <c r="N79" s="6">
        <v>147434</v>
      </c>
      <c r="O79" s="6">
        <v>160538</v>
      </c>
      <c r="P79" s="6">
        <v>183815</v>
      </c>
      <c r="Q79" s="6">
        <v>50017</v>
      </c>
      <c r="R79" s="6">
        <v>77455</v>
      </c>
      <c r="S79" s="6">
        <v>0</v>
      </c>
      <c r="T79" s="6">
        <v>0</v>
      </c>
      <c r="U79" s="6">
        <v>9653</v>
      </c>
      <c r="V79" s="6">
        <v>-865</v>
      </c>
      <c r="W79" s="6">
        <v>22750</v>
      </c>
      <c r="X79" s="6">
        <v>83</v>
      </c>
      <c r="Y79" s="6"/>
      <c r="Z79" s="6"/>
      <c r="AA79" s="6"/>
      <c r="AB79" s="6">
        <v>6844</v>
      </c>
      <c r="AC79" s="6">
        <v>1663</v>
      </c>
      <c r="AD79" s="6">
        <v>0</v>
      </c>
      <c r="AE79" s="6">
        <v>19097</v>
      </c>
      <c r="AF79" s="6">
        <v>9751</v>
      </c>
    </row>
    <row r="80" spans="1:32" x14ac:dyDescent="0.35">
      <c r="A80" s="1">
        <v>38105</v>
      </c>
      <c r="B80" s="6">
        <v>772927</v>
      </c>
      <c r="C80" s="6">
        <v>11041</v>
      </c>
      <c r="D80" s="6">
        <v>2200</v>
      </c>
      <c r="E80" s="6">
        <v>816</v>
      </c>
      <c r="F80" s="6">
        <v>722716</v>
      </c>
      <c r="G80" s="6">
        <v>676383</v>
      </c>
      <c r="H80" s="6">
        <v>676383</v>
      </c>
      <c r="I80" s="6">
        <v>248757</v>
      </c>
      <c r="J80" s="6">
        <v>411388</v>
      </c>
      <c r="K80" s="6">
        <v>14464</v>
      </c>
      <c r="L80" s="6">
        <v>1774</v>
      </c>
      <c r="M80" s="6">
        <v>56704</v>
      </c>
      <c r="N80" s="6">
        <v>148668</v>
      </c>
      <c r="O80" s="6">
        <v>159705</v>
      </c>
      <c r="P80" s="6">
        <v>183823</v>
      </c>
      <c r="Q80" s="6">
        <v>50022</v>
      </c>
      <c r="R80" s="6">
        <v>77462</v>
      </c>
      <c r="S80" s="6">
        <v>0</v>
      </c>
      <c r="T80" s="6">
        <v>0</v>
      </c>
      <c r="U80" s="6">
        <v>9616</v>
      </c>
      <c r="V80" s="6">
        <v>-864</v>
      </c>
      <c r="W80" s="6">
        <v>37500</v>
      </c>
      <c r="X80" s="6">
        <v>81</v>
      </c>
      <c r="Y80" s="6"/>
      <c r="Z80" s="6"/>
      <c r="AA80" s="6"/>
      <c r="AB80" s="6">
        <v>5307</v>
      </c>
      <c r="AC80" s="6">
        <v>1664</v>
      </c>
      <c r="AD80" s="6">
        <v>0</v>
      </c>
      <c r="AE80" s="6">
        <v>19058</v>
      </c>
      <c r="AF80" s="6">
        <v>10126</v>
      </c>
    </row>
    <row r="81" spans="1:32" x14ac:dyDescent="0.35">
      <c r="A81" s="1">
        <v>38112</v>
      </c>
      <c r="B81" s="6">
        <v>758838</v>
      </c>
      <c r="C81" s="6">
        <v>11041</v>
      </c>
      <c r="D81" s="6">
        <v>2200</v>
      </c>
      <c r="E81" s="6">
        <v>799</v>
      </c>
      <c r="F81" s="6">
        <v>706615</v>
      </c>
      <c r="G81" s="6">
        <v>677811</v>
      </c>
      <c r="H81" s="6">
        <v>677811</v>
      </c>
      <c r="I81" s="6">
        <v>250163</v>
      </c>
      <c r="J81" s="6">
        <v>411388</v>
      </c>
      <c r="K81" s="6">
        <v>14464</v>
      </c>
      <c r="L81" s="6">
        <v>1796</v>
      </c>
      <c r="M81" s="6">
        <v>58392</v>
      </c>
      <c r="N81" s="6">
        <v>146267</v>
      </c>
      <c r="O81" s="6">
        <v>160782</v>
      </c>
      <c r="P81" s="6">
        <v>184872</v>
      </c>
      <c r="Q81" s="6">
        <v>50027</v>
      </c>
      <c r="R81" s="6">
        <v>77470</v>
      </c>
      <c r="S81" s="6">
        <v>0</v>
      </c>
      <c r="T81" s="6">
        <v>0</v>
      </c>
      <c r="U81" s="6">
        <v>9580</v>
      </c>
      <c r="V81" s="6">
        <v>-873</v>
      </c>
      <c r="W81" s="6">
        <v>20000</v>
      </c>
      <c r="X81" s="6">
        <v>97</v>
      </c>
      <c r="Y81" s="6"/>
      <c r="Z81" s="6"/>
      <c r="AA81" s="6"/>
      <c r="AB81" s="6">
        <v>6843</v>
      </c>
      <c r="AC81" s="6">
        <v>1672</v>
      </c>
      <c r="AD81" s="6">
        <v>0</v>
      </c>
      <c r="AE81" s="6">
        <v>19466</v>
      </c>
      <c r="AF81" s="6">
        <v>10202</v>
      </c>
    </row>
    <row r="82" spans="1:32" x14ac:dyDescent="0.35">
      <c r="A82" s="1">
        <v>38119</v>
      </c>
      <c r="B82" s="6">
        <v>764835</v>
      </c>
      <c r="C82" s="6">
        <v>11041</v>
      </c>
      <c r="D82" s="6">
        <v>2200</v>
      </c>
      <c r="E82" s="6">
        <v>777</v>
      </c>
      <c r="F82" s="6">
        <v>713929</v>
      </c>
      <c r="G82" s="6">
        <v>677835</v>
      </c>
      <c r="H82" s="6">
        <v>677835</v>
      </c>
      <c r="I82" s="6">
        <v>250163</v>
      </c>
      <c r="J82" s="6">
        <v>411388</v>
      </c>
      <c r="K82" s="6">
        <v>14464</v>
      </c>
      <c r="L82" s="6">
        <v>1820</v>
      </c>
      <c r="M82" s="6">
        <v>58947</v>
      </c>
      <c r="N82" s="6">
        <v>146308</v>
      </c>
      <c r="O82" s="6">
        <v>160187</v>
      </c>
      <c r="P82" s="6">
        <v>184881</v>
      </c>
      <c r="Q82" s="6">
        <v>50033</v>
      </c>
      <c r="R82" s="6">
        <v>77479</v>
      </c>
      <c r="S82" s="6">
        <v>0</v>
      </c>
      <c r="T82" s="6">
        <v>0</v>
      </c>
      <c r="U82" s="6">
        <v>9543</v>
      </c>
      <c r="V82" s="6">
        <v>-876</v>
      </c>
      <c r="W82" s="6">
        <v>27250</v>
      </c>
      <c r="X82" s="6">
        <v>176</v>
      </c>
      <c r="Y82" s="6"/>
      <c r="Z82" s="6"/>
      <c r="AA82" s="6"/>
      <c r="AB82" s="6">
        <v>5728</v>
      </c>
      <c r="AC82" s="6">
        <v>1672</v>
      </c>
      <c r="AD82" s="6">
        <v>0</v>
      </c>
      <c r="AE82" s="6">
        <v>18884</v>
      </c>
      <c r="AF82" s="6">
        <v>10605</v>
      </c>
    </row>
    <row r="83" spans="1:32" x14ac:dyDescent="0.35">
      <c r="A83" s="1">
        <v>38126</v>
      </c>
      <c r="B83" s="6">
        <v>756874</v>
      </c>
      <c r="C83" s="6">
        <v>11041</v>
      </c>
      <c r="D83" s="6">
        <v>2200</v>
      </c>
      <c r="E83" s="6">
        <v>757</v>
      </c>
      <c r="F83" s="6">
        <v>709597</v>
      </c>
      <c r="G83" s="6">
        <v>679618</v>
      </c>
      <c r="H83" s="6">
        <v>679618</v>
      </c>
      <c r="I83" s="6">
        <v>250230</v>
      </c>
      <c r="J83" s="6">
        <v>413080</v>
      </c>
      <c r="K83" s="6">
        <v>14464</v>
      </c>
      <c r="L83" s="6">
        <v>1844</v>
      </c>
      <c r="M83" s="6">
        <v>56046</v>
      </c>
      <c r="N83" s="6">
        <v>147682</v>
      </c>
      <c r="O83" s="6">
        <v>164308</v>
      </c>
      <c r="P83" s="6">
        <v>184387</v>
      </c>
      <c r="Q83" s="6">
        <v>50576</v>
      </c>
      <c r="R83" s="6">
        <v>76618</v>
      </c>
      <c r="S83" s="6">
        <v>0</v>
      </c>
      <c r="T83" s="6">
        <v>0</v>
      </c>
      <c r="U83" s="6">
        <v>9535</v>
      </c>
      <c r="V83" s="6">
        <v>-917</v>
      </c>
      <c r="W83" s="6">
        <v>21250</v>
      </c>
      <c r="X83" s="6">
        <v>111</v>
      </c>
      <c r="Y83" s="6"/>
      <c r="Z83" s="6"/>
      <c r="AA83" s="6"/>
      <c r="AB83" s="6">
        <v>5504</v>
      </c>
      <c r="AC83" s="6">
        <v>1676</v>
      </c>
      <c r="AD83" s="6">
        <v>0</v>
      </c>
      <c r="AE83" s="6">
        <v>19013</v>
      </c>
      <c r="AF83" s="6">
        <v>7086</v>
      </c>
    </row>
    <row r="84" spans="1:32" x14ac:dyDescent="0.35">
      <c r="A84" s="1">
        <v>38133</v>
      </c>
      <c r="B84" s="6">
        <v>771108</v>
      </c>
      <c r="C84" s="6">
        <v>11041</v>
      </c>
      <c r="D84" s="6">
        <v>2200</v>
      </c>
      <c r="E84" s="6">
        <v>741</v>
      </c>
      <c r="F84" s="6">
        <v>723142</v>
      </c>
      <c r="G84" s="6">
        <v>680633</v>
      </c>
      <c r="H84" s="6">
        <v>680633</v>
      </c>
      <c r="I84" s="6">
        <v>250439</v>
      </c>
      <c r="J84" s="6">
        <v>413863</v>
      </c>
      <c r="K84" s="6">
        <v>14464</v>
      </c>
      <c r="L84" s="6">
        <v>1867</v>
      </c>
      <c r="M84" s="6">
        <v>55260</v>
      </c>
      <c r="N84" s="6">
        <v>149402</v>
      </c>
      <c r="O84" s="6">
        <v>163583</v>
      </c>
      <c r="P84" s="6">
        <v>185179</v>
      </c>
      <c r="Q84" s="6">
        <v>50582</v>
      </c>
      <c r="R84" s="6">
        <v>76627</v>
      </c>
      <c r="S84" s="6">
        <v>0</v>
      </c>
      <c r="T84" s="6">
        <v>0</v>
      </c>
      <c r="U84" s="6">
        <v>9557</v>
      </c>
      <c r="V84" s="6">
        <v>-926</v>
      </c>
      <c r="W84" s="6">
        <v>33750</v>
      </c>
      <c r="X84" s="6">
        <v>128</v>
      </c>
      <c r="Y84" s="6"/>
      <c r="Z84" s="6"/>
      <c r="AA84" s="6"/>
      <c r="AB84" s="6">
        <v>5712</v>
      </c>
      <c r="AC84" s="6">
        <v>1678</v>
      </c>
      <c r="AD84" s="6">
        <v>0</v>
      </c>
      <c r="AE84" s="6">
        <v>19175</v>
      </c>
      <c r="AF84" s="6">
        <v>7419</v>
      </c>
    </row>
    <row r="85" spans="1:32" x14ac:dyDescent="0.35">
      <c r="A85" s="1">
        <v>38140</v>
      </c>
      <c r="B85" s="6">
        <v>764090</v>
      </c>
      <c r="C85" s="6">
        <v>11041</v>
      </c>
      <c r="D85" s="6">
        <v>2200</v>
      </c>
      <c r="E85" s="6">
        <v>718</v>
      </c>
      <c r="F85" s="6">
        <v>712734</v>
      </c>
      <c r="G85" s="6">
        <v>681483</v>
      </c>
      <c r="H85" s="6">
        <v>681483</v>
      </c>
      <c r="I85" s="6">
        <v>250472</v>
      </c>
      <c r="J85" s="6">
        <v>414659</v>
      </c>
      <c r="K85" s="6">
        <v>14464</v>
      </c>
      <c r="L85" s="6">
        <v>1888</v>
      </c>
      <c r="M85" s="6">
        <v>47941</v>
      </c>
      <c r="N85" s="6">
        <v>158769</v>
      </c>
      <c r="O85" s="6">
        <v>161315</v>
      </c>
      <c r="P85" s="6">
        <v>185440</v>
      </c>
      <c r="Q85" s="6">
        <v>51299</v>
      </c>
      <c r="R85" s="6">
        <v>76719</v>
      </c>
      <c r="S85" s="6">
        <v>0</v>
      </c>
      <c r="T85" s="6">
        <v>0</v>
      </c>
      <c r="U85" s="6">
        <v>9540</v>
      </c>
      <c r="V85" s="6">
        <v>-952</v>
      </c>
      <c r="W85" s="6">
        <v>22500</v>
      </c>
      <c r="X85" s="6">
        <v>162</v>
      </c>
      <c r="Y85" s="6"/>
      <c r="Z85" s="6"/>
      <c r="AA85" s="6"/>
      <c r="AB85" s="6">
        <v>8714</v>
      </c>
      <c r="AC85" s="6">
        <v>1683</v>
      </c>
      <c r="AD85" s="6">
        <v>0</v>
      </c>
      <c r="AE85" s="6">
        <v>19420</v>
      </c>
      <c r="AF85" s="6">
        <v>7581</v>
      </c>
    </row>
    <row r="86" spans="1:32" x14ac:dyDescent="0.35">
      <c r="A86" s="1">
        <v>38147</v>
      </c>
      <c r="B86" s="6">
        <v>772187</v>
      </c>
      <c r="C86" s="6">
        <v>11041</v>
      </c>
      <c r="D86" s="6">
        <v>2200</v>
      </c>
      <c r="E86" s="6">
        <v>726</v>
      </c>
      <c r="F86" s="6">
        <v>722890</v>
      </c>
      <c r="G86" s="6">
        <v>683932</v>
      </c>
      <c r="H86" s="6">
        <v>683932</v>
      </c>
      <c r="I86" s="6">
        <v>251908</v>
      </c>
      <c r="J86" s="6">
        <v>415659</v>
      </c>
      <c r="K86" s="6">
        <v>14464</v>
      </c>
      <c r="L86" s="6">
        <v>1900</v>
      </c>
      <c r="M86" s="6">
        <v>47092</v>
      </c>
      <c r="N86" s="6">
        <v>166556</v>
      </c>
      <c r="O86" s="6">
        <v>155813</v>
      </c>
      <c r="P86" s="6">
        <v>186170</v>
      </c>
      <c r="Q86" s="6">
        <v>51577</v>
      </c>
      <c r="R86" s="6">
        <v>76723</v>
      </c>
      <c r="S86" s="6">
        <v>0</v>
      </c>
      <c r="T86" s="6">
        <v>0</v>
      </c>
      <c r="U86" s="6">
        <v>9535</v>
      </c>
      <c r="V86" s="6">
        <v>-984</v>
      </c>
      <c r="W86" s="6">
        <v>30250</v>
      </c>
      <c r="X86" s="6">
        <v>157</v>
      </c>
      <c r="Y86" s="6"/>
      <c r="Z86" s="6"/>
      <c r="AA86" s="6"/>
      <c r="AB86" s="6">
        <v>6349</v>
      </c>
      <c r="AC86" s="6">
        <v>1685</v>
      </c>
      <c r="AD86" s="6">
        <v>0</v>
      </c>
      <c r="AE86" s="6">
        <v>19332</v>
      </c>
      <c r="AF86" s="6">
        <v>7964</v>
      </c>
    </row>
    <row r="87" spans="1:32" x14ac:dyDescent="0.35">
      <c r="A87" s="1">
        <v>38154</v>
      </c>
      <c r="B87" s="6">
        <v>761834</v>
      </c>
      <c r="C87" s="6">
        <v>11041</v>
      </c>
      <c r="D87" s="6">
        <v>2200</v>
      </c>
      <c r="E87" s="6">
        <v>744</v>
      </c>
      <c r="F87" s="6">
        <v>712739</v>
      </c>
      <c r="G87" s="6">
        <v>684993</v>
      </c>
      <c r="H87" s="6">
        <v>684993</v>
      </c>
      <c r="I87" s="6">
        <v>251922</v>
      </c>
      <c r="J87" s="6">
        <v>416694</v>
      </c>
      <c r="K87" s="6">
        <v>14464</v>
      </c>
      <c r="L87" s="6">
        <v>1912</v>
      </c>
      <c r="M87" s="6">
        <v>54571</v>
      </c>
      <c r="N87" s="6">
        <v>153376</v>
      </c>
      <c r="O87" s="6">
        <v>161528</v>
      </c>
      <c r="P87" s="6">
        <v>187210</v>
      </c>
      <c r="Q87" s="6">
        <v>51580</v>
      </c>
      <c r="R87" s="6">
        <v>76728</v>
      </c>
      <c r="S87" s="6">
        <v>0</v>
      </c>
      <c r="T87" s="6">
        <v>0</v>
      </c>
      <c r="U87" s="6">
        <v>9572</v>
      </c>
      <c r="V87" s="6">
        <v>-999</v>
      </c>
      <c r="W87" s="6">
        <v>19000</v>
      </c>
      <c r="X87" s="6">
        <v>174</v>
      </c>
      <c r="Y87" s="6"/>
      <c r="Z87" s="6"/>
      <c r="AA87" s="6"/>
      <c r="AB87" s="6">
        <v>5877</v>
      </c>
      <c r="AC87" s="6">
        <v>1688</v>
      </c>
      <c r="AD87" s="6">
        <v>0</v>
      </c>
      <c r="AE87" s="6">
        <v>19224</v>
      </c>
      <c r="AF87" s="6">
        <v>8320</v>
      </c>
    </row>
    <row r="88" spans="1:32" x14ac:dyDescent="0.35">
      <c r="A88" s="1">
        <v>38161</v>
      </c>
      <c r="B88" s="6">
        <v>775261</v>
      </c>
      <c r="C88" s="6">
        <v>11041</v>
      </c>
      <c r="D88" s="6">
        <v>2200</v>
      </c>
      <c r="E88" s="6">
        <v>754</v>
      </c>
      <c r="F88" s="6">
        <v>725860</v>
      </c>
      <c r="G88" s="6">
        <v>685177</v>
      </c>
      <c r="H88" s="6">
        <v>685177</v>
      </c>
      <c r="I88" s="6">
        <v>252094</v>
      </c>
      <c r="J88" s="6">
        <v>416694</v>
      </c>
      <c r="K88" s="6">
        <v>14464</v>
      </c>
      <c r="L88" s="6">
        <v>1924</v>
      </c>
      <c r="M88" s="6">
        <v>54688</v>
      </c>
      <c r="N88" s="6">
        <v>153424</v>
      </c>
      <c r="O88" s="6">
        <v>161535</v>
      </c>
      <c r="P88" s="6">
        <v>187215</v>
      </c>
      <c r="Q88" s="6">
        <v>51583</v>
      </c>
      <c r="R88" s="6">
        <v>76732</v>
      </c>
      <c r="S88" s="6">
        <v>0</v>
      </c>
      <c r="T88" s="6">
        <v>0</v>
      </c>
      <c r="U88" s="6">
        <v>9539</v>
      </c>
      <c r="V88" s="6">
        <v>-1021</v>
      </c>
      <c r="W88" s="6">
        <v>32000</v>
      </c>
      <c r="X88" s="6">
        <v>165</v>
      </c>
      <c r="Y88" s="6"/>
      <c r="Z88" s="6"/>
      <c r="AA88" s="6"/>
      <c r="AB88" s="6">
        <v>5560</v>
      </c>
      <c r="AC88" s="6">
        <v>1691</v>
      </c>
      <c r="AD88" s="6">
        <v>0</v>
      </c>
      <c r="AE88" s="6">
        <v>19422</v>
      </c>
      <c r="AF88" s="6">
        <v>8733</v>
      </c>
    </row>
    <row r="89" spans="1:32" x14ac:dyDescent="0.35">
      <c r="A89" s="1">
        <v>38168</v>
      </c>
      <c r="B89" s="6">
        <v>779578</v>
      </c>
      <c r="C89" s="6">
        <v>11040</v>
      </c>
      <c r="D89" s="6">
        <v>2200</v>
      </c>
      <c r="E89" s="6">
        <v>744</v>
      </c>
      <c r="F89" s="6">
        <v>729674</v>
      </c>
      <c r="G89" s="6">
        <v>687391</v>
      </c>
      <c r="H89" s="6">
        <v>687391</v>
      </c>
      <c r="I89" s="6">
        <v>254295</v>
      </c>
      <c r="J89" s="6">
        <v>416694</v>
      </c>
      <c r="K89" s="6">
        <v>14464</v>
      </c>
      <c r="L89" s="6">
        <v>1936</v>
      </c>
      <c r="M89" s="6">
        <v>47329</v>
      </c>
      <c r="N89" s="6">
        <v>155351</v>
      </c>
      <c r="O89" s="6">
        <v>168585</v>
      </c>
      <c r="P89" s="6">
        <v>187803</v>
      </c>
      <c r="Q89" s="6">
        <v>51586</v>
      </c>
      <c r="R89" s="6">
        <v>76737</v>
      </c>
      <c r="S89" s="6">
        <v>0</v>
      </c>
      <c r="T89" s="6">
        <v>0</v>
      </c>
      <c r="U89" s="6">
        <v>9506</v>
      </c>
      <c r="V89" s="6">
        <v>-1046</v>
      </c>
      <c r="W89" s="6">
        <v>33500</v>
      </c>
      <c r="X89" s="6">
        <v>323</v>
      </c>
      <c r="Y89" s="6"/>
      <c r="Z89" s="6"/>
      <c r="AA89" s="6"/>
      <c r="AB89" s="6">
        <v>5961</v>
      </c>
      <c r="AC89" s="6">
        <v>1702</v>
      </c>
      <c r="AD89" s="6">
        <v>0</v>
      </c>
      <c r="AE89" s="6">
        <v>19444</v>
      </c>
      <c r="AF89" s="6">
        <v>8814</v>
      </c>
    </row>
    <row r="90" spans="1:32" x14ac:dyDescent="0.35">
      <c r="A90" s="1">
        <v>38175</v>
      </c>
      <c r="B90" s="6">
        <v>778163</v>
      </c>
      <c r="C90" s="6">
        <v>11040</v>
      </c>
      <c r="D90" s="6">
        <v>2200</v>
      </c>
      <c r="E90" s="6">
        <v>712</v>
      </c>
      <c r="F90" s="6">
        <v>724527</v>
      </c>
      <c r="G90" s="6">
        <v>687893</v>
      </c>
      <c r="H90" s="6">
        <v>687893</v>
      </c>
      <c r="I90" s="6">
        <v>254776</v>
      </c>
      <c r="J90" s="6">
        <v>416694</v>
      </c>
      <c r="K90" s="6">
        <v>14464</v>
      </c>
      <c r="L90" s="6">
        <v>1958</v>
      </c>
      <c r="M90" s="6">
        <v>46828</v>
      </c>
      <c r="N90" s="6">
        <v>163730</v>
      </c>
      <c r="O90" s="6">
        <v>161187</v>
      </c>
      <c r="P90" s="6">
        <v>187811</v>
      </c>
      <c r="Q90" s="6">
        <v>51591</v>
      </c>
      <c r="R90" s="6">
        <v>76745</v>
      </c>
      <c r="S90" s="6">
        <v>0</v>
      </c>
      <c r="T90" s="6">
        <v>0</v>
      </c>
      <c r="U90" s="6">
        <v>9474</v>
      </c>
      <c r="V90" s="6">
        <v>-1064</v>
      </c>
      <c r="W90" s="6">
        <v>28000</v>
      </c>
      <c r="X90" s="6">
        <v>225</v>
      </c>
      <c r="Y90" s="6"/>
      <c r="Z90" s="6"/>
      <c r="AA90" s="6"/>
      <c r="AB90" s="6">
        <v>9066</v>
      </c>
      <c r="AC90" s="6">
        <v>1697</v>
      </c>
      <c r="AD90" s="6">
        <v>0</v>
      </c>
      <c r="AE90" s="6">
        <v>19714</v>
      </c>
      <c r="AF90" s="6">
        <v>9207</v>
      </c>
    </row>
    <row r="91" spans="1:32" x14ac:dyDescent="0.35">
      <c r="A91" s="1">
        <v>38182</v>
      </c>
      <c r="B91" s="6">
        <v>775536</v>
      </c>
      <c r="C91" s="6">
        <v>11040</v>
      </c>
      <c r="D91" s="6">
        <v>2200</v>
      </c>
      <c r="E91" s="6">
        <v>710</v>
      </c>
      <c r="F91" s="6">
        <v>724515</v>
      </c>
      <c r="G91" s="6">
        <v>690309</v>
      </c>
      <c r="H91" s="6">
        <v>690309</v>
      </c>
      <c r="I91" s="6">
        <v>255178</v>
      </c>
      <c r="J91" s="6">
        <v>418251</v>
      </c>
      <c r="K91" s="6">
        <v>14862</v>
      </c>
      <c r="L91" s="6">
        <v>2017</v>
      </c>
      <c r="M91" s="6">
        <v>47148</v>
      </c>
      <c r="N91" s="6">
        <v>163185</v>
      </c>
      <c r="O91" s="6">
        <v>161815</v>
      </c>
      <c r="P91" s="6">
        <v>189520</v>
      </c>
      <c r="Q91" s="6">
        <v>51854</v>
      </c>
      <c r="R91" s="6">
        <v>76786</v>
      </c>
      <c r="S91" s="6">
        <v>0</v>
      </c>
      <c r="T91" s="6">
        <v>0</v>
      </c>
      <c r="U91" s="6">
        <v>9528</v>
      </c>
      <c r="V91" s="6">
        <v>-1083</v>
      </c>
      <c r="W91" s="6">
        <v>25500</v>
      </c>
      <c r="X91" s="6">
        <v>260</v>
      </c>
      <c r="Y91" s="6"/>
      <c r="Z91" s="6"/>
      <c r="AA91" s="6"/>
      <c r="AB91" s="6">
        <v>6004</v>
      </c>
      <c r="AC91" s="6">
        <v>1697</v>
      </c>
      <c r="AD91" s="6">
        <v>0</v>
      </c>
      <c r="AE91" s="6">
        <v>19661</v>
      </c>
      <c r="AF91" s="6">
        <v>9709</v>
      </c>
    </row>
    <row r="92" spans="1:32" x14ac:dyDescent="0.35">
      <c r="A92" s="1">
        <v>38189</v>
      </c>
      <c r="B92" s="6">
        <v>776764</v>
      </c>
      <c r="C92" s="6">
        <v>11040</v>
      </c>
      <c r="D92" s="6">
        <v>2200</v>
      </c>
      <c r="E92" s="6">
        <v>725</v>
      </c>
      <c r="F92" s="6">
        <v>726439</v>
      </c>
      <c r="G92" s="6">
        <v>692299</v>
      </c>
      <c r="H92" s="6">
        <v>692299</v>
      </c>
      <c r="I92" s="6">
        <v>255248</v>
      </c>
      <c r="J92" s="6">
        <v>420150</v>
      </c>
      <c r="K92" s="6">
        <v>14862</v>
      </c>
      <c r="L92" s="6">
        <v>2039</v>
      </c>
      <c r="M92" s="6">
        <v>55036</v>
      </c>
      <c r="N92" s="6">
        <v>154431</v>
      </c>
      <c r="O92" s="6">
        <v>164648</v>
      </c>
      <c r="P92" s="6">
        <v>189529</v>
      </c>
      <c r="Q92" s="6">
        <v>51859</v>
      </c>
      <c r="R92" s="6">
        <v>76794</v>
      </c>
      <c r="S92" s="6">
        <v>0</v>
      </c>
      <c r="T92" s="6">
        <v>0</v>
      </c>
      <c r="U92" s="6">
        <v>9504</v>
      </c>
      <c r="V92" s="6">
        <v>-1097</v>
      </c>
      <c r="W92" s="6">
        <v>25500</v>
      </c>
      <c r="X92" s="6">
        <v>233</v>
      </c>
      <c r="Y92" s="6"/>
      <c r="Z92" s="6"/>
      <c r="AA92" s="6"/>
      <c r="AB92" s="6">
        <v>5558</v>
      </c>
      <c r="AC92" s="6">
        <v>1700</v>
      </c>
      <c r="AD92" s="6">
        <v>0</v>
      </c>
      <c r="AE92" s="6">
        <v>19446</v>
      </c>
      <c r="AF92" s="6">
        <v>9655</v>
      </c>
    </row>
    <row r="93" spans="1:32" x14ac:dyDescent="0.35">
      <c r="A93" s="1">
        <v>38196</v>
      </c>
      <c r="B93" s="6">
        <v>773916</v>
      </c>
      <c r="C93" s="6">
        <v>11040</v>
      </c>
      <c r="D93" s="6">
        <v>2200</v>
      </c>
      <c r="E93" s="6">
        <v>735</v>
      </c>
      <c r="F93" s="6">
        <v>724044</v>
      </c>
      <c r="G93" s="6">
        <v>693717</v>
      </c>
      <c r="H93" s="6">
        <v>693717</v>
      </c>
      <c r="I93" s="6">
        <v>255248</v>
      </c>
      <c r="J93" s="6">
        <v>421546</v>
      </c>
      <c r="K93" s="6">
        <v>14862</v>
      </c>
      <c r="L93" s="6">
        <v>2061</v>
      </c>
      <c r="M93" s="6">
        <v>55955</v>
      </c>
      <c r="N93" s="6">
        <v>153010</v>
      </c>
      <c r="O93" s="6">
        <v>165151</v>
      </c>
      <c r="P93" s="6">
        <v>190934</v>
      </c>
      <c r="Q93" s="6">
        <v>51865</v>
      </c>
      <c r="R93" s="6">
        <v>76802</v>
      </c>
      <c r="S93" s="6">
        <v>0</v>
      </c>
      <c r="T93" s="6">
        <v>0</v>
      </c>
      <c r="U93" s="6">
        <v>9505</v>
      </c>
      <c r="V93" s="6">
        <v>-1110</v>
      </c>
      <c r="W93" s="6">
        <v>21500</v>
      </c>
      <c r="X93" s="6">
        <v>432</v>
      </c>
      <c r="Y93" s="6"/>
      <c r="Z93" s="6"/>
      <c r="AA93" s="6"/>
      <c r="AB93" s="6">
        <v>4983</v>
      </c>
      <c r="AC93" s="6">
        <v>1707</v>
      </c>
      <c r="AD93" s="6">
        <v>0</v>
      </c>
      <c r="AE93" s="6">
        <v>19164</v>
      </c>
      <c r="AF93" s="6">
        <v>10042</v>
      </c>
    </row>
    <row r="94" spans="1:32" x14ac:dyDescent="0.35">
      <c r="A94" s="1">
        <v>38203</v>
      </c>
      <c r="B94" s="6">
        <v>772085</v>
      </c>
      <c r="C94" s="6">
        <v>11040</v>
      </c>
      <c r="D94" s="6">
        <v>2200</v>
      </c>
      <c r="E94" s="6">
        <v>740</v>
      </c>
      <c r="F94" s="6">
        <v>719392</v>
      </c>
      <c r="G94" s="6">
        <v>693734</v>
      </c>
      <c r="H94" s="6">
        <v>693734</v>
      </c>
      <c r="I94" s="6">
        <v>255248</v>
      </c>
      <c r="J94" s="6">
        <v>421546</v>
      </c>
      <c r="K94" s="6">
        <v>14862</v>
      </c>
      <c r="L94" s="6">
        <v>2078</v>
      </c>
      <c r="M94" s="6">
        <v>56302</v>
      </c>
      <c r="N94" s="6">
        <v>150366</v>
      </c>
      <c r="O94" s="6">
        <v>165961</v>
      </c>
      <c r="P94" s="6">
        <v>192427</v>
      </c>
      <c r="Q94" s="6">
        <v>51869</v>
      </c>
      <c r="R94" s="6">
        <v>76808</v>
      </c>
      <c r="S94" s="6">
        <v>0</v>
      </c>
      <c r="T94" s="6">
        <v>0</v>
      </c>
      <c r="U94" s="6">
        <v>9471</v>
      </c>
      <c r="V94" s="6">
        <v>-1133</v>
      </c>
      <c r="W94" s="6">
        <v>17000</v>
      </c>
      <c r="X94" s="6">
        <v>321</v>
      </c>
      <c r="Y94" s="6"/>
      <c r="Z94" s="6"/>
      <c r="AA94" s="6"/>
      <c r="AB94" s="6">
        <v>7611</v>
      </c>
      <c r="AC94" s="6">
        <v>1709</v>
      </c>
      <c r="AD94" s="6">
        <v>0</v>
      </c>
      <c r="AE94" s="6">
        <v>19216</v>
      </c>
      <c r="AF94" s="6">
        <v>10177</v>
      </c>
    </row>
    <row r="95" spans="1:32" x14ac:dyDescent="0.35">
      <c r="A95" s="1">
        <v>38210</v>
      </c>
      <c r="B95" s="6">
        <v>769265</v>
      </c>
      <c r="C95" s="6">
        <v>11040</v>
      </c>
      <c r="D95" s="6">
        <v>2200</v>
      </c>
      <c r="E95" s="6">
        <v>750</v>
      </c>
      <c r="F95" s="6">
        <v>718260</v>
      </c>
      <c r="G95" s="6">
        <v>693746</v>
      </c>
      <c r="H95" s="6">
        <v>693746</v>
      </c>
      <c r="I95" s="6">
        <v>255248</v>
      </c>
      <c r="J95" s="6">
        <v>421546</v>
      </c>
      <c r="K95" s="6">
        <v>14862</v>
      </c>
      <c r="L95" s="6">
        <v>2090</v>
      </c>
      <c r="M95" s="6">
        <v>56565</v>
      </c>
      <c r="N95" s="6">
        <v>149322</v>
      </c>
      <c r="O95" s="6">
        <v>166742</v>
      </c>
      <c r="P95" s="6">
        <v>192432</v>
      </c>
      <c r="Q95" s="6">
        <v>51872</v>
      </c>
      <c r="R95" s="6">
        <v>76813</v>
      </c>
      <c r="S95" s="6">
        <v>0</v>
      </c>
      <c r="T95" s="6">
        <v>0</v>
      </c>
      <c r="U95" s="6">
        <v>9437</v>
      </c>
      <c r="V95" s="6">
        <v>-1153</v>
      </c>
      <c r="W95" s="6">
        <v>16000</v>
      </c>
      <c r="X95" s="6">
        <v>231</v>
      </c>
      <c r="Y95" s="6"/>
      <c r="Z95" s="6"/>
      <c r="AA95" s="6"/>
      <c r="AB95" s="6">
        <v>5317</v>
      </c>
      <c r="AC95" s="6">
        <v>1710</v>
      </c>
      <c r="AD95" s="6">
        <v>0</v>
      </c>
      <c r="AE95" s="6">
        <v>19407</v>
      </c>
      <c r="AF95" s="6">
        <v>10581</v>
      </c>
    </row>
    <row r="96" spans="1:32" x14ac:dyDescent="0.35">
      <c r="A96" s="1">
        <v>38217</v>
      </c>
      <c r="B96" s="6">
        <v>767595</v>
      </c>
      <c r="C96" s="6">
        <v>11040</v>
      </c>
      <c r="D96" s="6">
        <v>2200</v>
      </c>
      <c r="E96" s="6">
        <v>754</v>
      </c>
      <c r="F96" s="6">
        <v>719779</v>
      </c>
      <c r="G96" s="6">
        <v>694760</v>
      </c>
      <c r="H96" s="6">
        <v>694760</v>
      </c>
      <c r="I96" s="6">
        <v>255254</v>
      </c>
      <c r="J96" s="6">
        <v>422541</v>
      </c>
      <c r="K96" s="6">
        <v>14862</v>
      </c>
      <c r="L96" s="6">
        <v>2102</v>
      </c>
      <c r="M96" s="6">
        <v>58065</v>
      </c>
      <c r="N96" s="6">
        <v>151192</v>
      </c>
      <c r="O96" s="6">
        <v>162157</v>
      </c>
      <c r="P96" s="6">
        <v>197632</v>
      </c>
      <c r="Q96" s="6">
        <v>49803</v>
      </c>
      <c r="R96" s="6">
        <v>75911</v>
      </c>
      <c r="S96" s="6">
        <v>0</v>
      </c>
      <c r="T96" s="6">
        <v>0</v>
      </c>
      <c r="U96" s="6">
        <v>9457</v>
      </c>
      <c r="V96" s="6">
        <v>-1180</v>
      </c>
      <c r="W96" s="6">
        <v>16500</v>
      </c>
      <c r="X96" s="6">
        <v>241</v>
      </c>
      <c r="Y96" s="6"/>
      <c r="Z96" s="6"/>
      <c r="AA96" s="6"/>
      <c r="AB96" s="6">
        <v>5571</v>
      </c>
      <c r="AC96" s="6">
        <v>1711</v>
      </c>
      <c r="AD96" s="6">
        <v>0</v>
      </c>
      <c r="AE96" s="6">
        <v>19564</v>
      </c>
      <c r="AF96" s="6">
        <v>6977</v>
      </c>
    </row>
    <row r="97" spans="1:32" x14ac:dyDescent="0.35">
      <c r="A97" s="1">
        <v>38224</v>
      </c>
      <c r="B97" s="6">
        <v>775437</v>
      </c>
      <c r="C97" s="6">
        <v>11040</v>
      </c>
      <c r="D97" s="6">
        <v>2200</v>
      </c>
      <c r="E97" s="6">
        <v>764</v>
      </c>
      <c r="F97" s="6">
        <v>727806</v>
      </c>
      <c r="G97" s="6">
        <v>694840</v>
      </c>
      <c r="H97" s="6">
        <v>694840</v>
      </c>
      <c r="I97" s="6">
        <v>255322</v>
      </c>
      <c r="J97" s="6">
        <v>422541</v>
      </c>
      <c r="K97" s="6">
        <v>14862</v>
      </c>
      <c r="L97" s="6">
        <v>2114</v>
      </c>
      <c r="M97" s="6">
        <v>57989</v>
      </c>
      <c r="N97" s="6">
        <v>150619</v>
      </c>
      <c r="O97" s="6">
        <v>162874</v>
      </c>
      <c r="P97" s="6">
        <v>197636</v>
      </c>
      <c r="Q97" s="6">
        <v>49806</v>
      </c>
      <c r="R97" s="6">
        <v>75916</v>
      </c>
      <c r="S97" s="6">
        <v>0</v>
      </c>
      <c r="T97" s="6">
        <v>0</v>
      </c>
      <c r="U97" s="6">
        <v>9427</v>
      </c>
      <c r="V97" s="6">
        <v>-1197</v>
      </c>
      <c r="W97" s="6">
        <v>24500</v>
      </c>
      <c r="X97" s="6">
        <v>236</v>
      </c>
      <c r="Y97" s="6"/>
      <c r="Z97" s="6"/>
      <c r="AA97" s="6"/>
      <c r="AB97" s="6">
        <v>5215</v>
      </c>
      <c r="AC97" s="6">
        <v>1718</v>
      </c>
      <c r="AD97" s="6">
        <v>0</v>
      </c>
      <c r="AE97" s="6">
        <v>19331</v>
      </c>
      <c r="AF97" s="6">
        <v>7364</v>
      </c>
    </row>
    <row r="98" spans="1:32" x14ac:dyDescent="0.35">
      <c r="A98" s="1">
        <v>38231</v>
      </c>
      <c r="B98" s="6">
        <v>785273</v>
      </c>
      <c r="C98" s="6">
        <v>11039</v>
      </c>
      <c r="D98" s="6">
        <v>2200</v>
      </c>
      <c r="E98" s="6">
        <v>777</v>
      </c>
      <c r="F98" s="6">
        <v>735763</v>
      </c>
      <c r="G98" s="6">
        <v>694858</v>
      </c>
      <c r="H98" s="6">
        <v>694858</v>
      </c>
      <c r="I98" s="6">
        <v>255330</v>
      </c>
      <c r="J98" s="6">
        <v>422541</v>
      </c>
      <c r="K98" s="6">
        <v>14862</v>
      </c>
      <c r="L98" s="6">
        <v>2124</v>
      </c>
      <c r="M98" s="6">
        <v>49340</v>
      </c>
      <c r="N98" s="6">
        <v>156878</v>
      </c>
      <c r="O98" s="6">
        <v>164194</v>
      </c>
      <c r="P98" s="6">
        <v>198719</v>
      </c>
      <c r="Q98" s="6">
        <v>49808</v>
      </c>
      <c r="R98" s="6">
        <v>75919</v>
      </c>
      <c r="S98" s="6">
        <v>0</v>
      </c>
      <c r="T98" s="6">
        <v>0</v>
      </c>
      <c r="U98" s="6">
        <v>9396</v>
      </c>
      <c r="V98" s="6">
        <v>-1230</v>
      </c>
      <c r="W98" s="6">
        <v>32500</v>
      </c>
      <c r="X98" s="6">
        <v>239</v>
      </c>
      <c r="Y98" s="6"/>
      <c r="Z98" s="6"/>
      <c r="AA98" s="6"/>
      <c r="AB98" s="6">
        <v>6842</v>
      </c>
      <c r="AC98" s="6">
        <v>1718</v>
      </c>
      <c r="AD98" s="6">
        <v>0</v>
      </c>
      <c r="AE98" s="6">
        <v>19475</v>
      </c>
      <c r="AF98" s="6">
        <v>7459</v>
      </c>
    </row>
    <row r="99" spans="1:32" x14ac:dyDescent="0.35">
      <c r="A99" s="1">
        <v>38238</v>
      </c>
      <c r="B99" s="6">
        <v>788602</v>
      </c>
      <c r="C99" s="6">
        <v>11039</v>
      </c>
      <c r="D99" s="6">
        <v>2200</v>
      </c>
      <c r="E99" s="6">
        <v>770</v>
      </c>
      <c r="F99" s="6">
        <v>736407</v>
      </c>
      <c r="G99" s="6">
        <v>694869</v>
      </c>
      <c r="H99" s="6">
        <v>694869</v>
      </c>
      <c r="I99" s="6">
        <v>255348</v>
      </c>
      <c r="J99" s="6">
        <v>422541</v>
      </c>
      <c r="K99" s="6">
        <v>14862</v>
      </c>
      <c r="L99" s="6">
        <v>2117</v>
      </c>
      <c r="M99" s="6">
        <v>48287</v>
      </c>
      <c r="N99" s="6">
        <v>157266</v>
      </c>
      <c r="O99" s="6">
        <v>164877</v>
      </c>
      <c r="P99" s="6">
        <v>198716</v>
      </c>
      <c r="Q99" s="6">
        <v>49807</v>
      </c>
      <c r="R99" s="6">
        <v>75917</v>
      </c>
      <c r="S99" s="6">
        <v>0</v>
      </c>
      <c r="T99" s="6">
        <v>0</v>
      </c>
      <c r="U99" s="6">
        <v>9366</v>
      </c>
      <c r="V99" s="6">
        <v>-1247</v>
      </c>
      <c r="W99" s="6">
        <v>33000</v>
      </c>
      <c r="X99" s="6">
        <v>418</v>
      </c>
      <c r="Y99" s="6"/>
      <c r="Z99" s="6"/>
      <c r="AA99" s="6"/>
      <c r="AB99" s="6">
        <v>9080</v>
      </c>
      <c r="AC99" s="6">
        <v>1718</v>
      </c>
      <c r="AD99" s="6">
        <v>0</v>
      </c>
      <c r="AE99" s="6">
        <v>19498</v>
      </c>
      <c r="AF99" s="6">
        <v>7891</v>
      </c>
    </row>
    <row r="100" spans="1:32" x14ac:dyDescent="0.35">
      <c r="A100" s="1">
        <v>38245</v>
      </c>
      <c r="B100" s="6">
        <v>789128</v>
      </c>
      <c r="C100" s="6">
        <v>11039</v>
      </c>
      <c r="D100" s="6">
        <v>2200</v>
      </c>
      <c r="E100" s="6">
        <v>770</v>
      </c>
      <c r="F100" s="6">
        <v>739616</v>
      </c>
      <c r="G100" s="6">
        <v>695703</v>
      </c>
      <c r="H100" s="6">
        <v>695703</v>
      </c>
      <c r="I100" s="6">
        <v>255389</v>
      </c>
      <c r="J100" s="6">
        <v>423341</v>
      </c>
      <c r="K100" s="6">
        <v>14862</v>
      </c>
      <c r="L100" s="6">
        <v>2111</v>
      </c>
      <c r="M100" s="6">
        <v>54771</v>
      </c>
      <c r="N100" s="6">
        <v>150162</v>
      </c>
      <c r="O100" s="6">
        <v>165537</v>
      </c>
      <c r="P100" s="6">
        <v>199513</v>
      </c>
      <c r="Q100" s="6">
        <v>49805</v>
      </c>
      <c r="R100" s="6">
        <v>75915</v>
      </c>
      <c r="S100" s="6">
        <v>0</v>
      </c>
      <c r="T100" s="6">
        <v>0</v>
      </c>
      <c r="U100" s="6">
        <v>9366</v>
      </c>
      <c r="V100" s="6">
        <v>-1257</v>
      </c>
      <c r="W100" s="6">
        <v>35500</v>
      </c>
      <c r="X100" s="6">
        <v>303</v>
      </c>
      <c r="Y100" s="6"/>
      <c r="Z100" s="6"/>
      <c r="AA100" s="6"/>
      <c r="AB100" s="6">
        <v>6234</v>
      </c>
      <c r="AC100" s="6">
        <v>1722</v>
      </c>
      <c r="AD100" s="6">
        <v>0</v>
      </c>
      <c r="AE100" s="6">
        <v>19397</v>
      </c>
      <c r="AF100" s="6">
        <v>8151</v>
      </c>
    </row>
    <row r="101" spans="1:32" x14ac:dyDescent="0.35">
      <c r="A101" s="1">
        <v>38252</v>
      </c>
      <c r="B101" s="6">
        <v>782124</v>
      </c>
      <c r="C101" s="6">
        <v>11039</v>
      </c>
      <c r="D101" s="6">
        <v>2200</v>
      </c>
      <c r="E101" s="6">
        <v>773</v>
      </c>
      <c r="F101" s="6">
        <v>733063</v>
      </c>
      <c r="G101" s="6">
        <v>698161</v>
      </c>
      <c r="H101" s="6">
        <v>698161</v>
      </c>
      <c r="I101" s="6">
        <v>257053</v>
      </c>
      <c r="J101" s="6">
        <v>424141</v>
      </c>
      <c r="K101" s="6">
        <v>14862</v>
      </c>
      <c r="L101" s="6">
        <v>2105</v>
      </c>
      <c r="M101" s="6">
        <v>54069</v>
      </c>
      <c r="N101" s="6">
        <v>152191</v>
      </c>
      <c r="O101" s="6">
        <v>165875</v>
      </c>
      <c r="P101" s="6">
        <v>199511</v>
      </c>
      <c r="Q101" s="6">
        <v>50203</v>
      </c>
      <c r="R101" s="6">
        <v>76312</v>
      </c>
      <c r="S101" s="6">
        <v>0</v>
      </c>
      <c r="T101" s="6">
        <v>0</v>
      </c>
      <c r="U101" s="6">
        <v>9415</v>
      </c>
      <c r="V101" s="6">
        <v>-1267</v>
      </c>
      <c r="W101" s="6">
        <v>26500</v>
      </c>
      <c r="X101" s="6">
        <v>255</v>
      </c>
      <c r="Y101" s="6"/>
      <c r="Z101" s="6"/>
      <c r="AA101" s="6"/>
      <c r="AB101" s="6">
        <v>5294</v>
      </c>
      <c r="AC101" s="6">
        <v>1723</v>
      </c>
      <c r="AD101" s="6">
        <v>0</v>
      </c>
      <c r="AE101" s="6">
        <v>19492</v>
      </c>
      <c r="AF101" s="6">
        <v>8540</v>
      </c>
    </row>
    <row r="102" spans="1:32" x14ac:dyDescent="0.35">
      <c r="A102" s="1">
        <v>38259</v>
      </c>
      <c r="B102" s="6">
        <v>786330</v>
      </c>
      <c r="C102" s="6">
        <v>11039</v>
      </c>
      <c r="D102" s="6">
        <v>2200</v>
      </c>
      <c r="E102" s="6">
        <v>777</v>
      </c>
      <c r="F102" s="6">
        <v>736520</v>
      </c>
      <c r="G102" s="6">
        <v>698617</v>
      </c>
      <c r="H102" s="6">
        <v>698617</v>
      </c>
      <c r="I102" s="6">
        <v>257079</v>
      </c>
      <c r="J102" s="6">
        <v>424141</v>
      </c>
      <c r="K102" s="6">
        <v>15262</v>
      </c>
      <c r="L102" s="6">
        <v>2135</v>
      </c>
      <c r="M102" s="6">
        <v>53247</v>
      </c>
      <c r="N102" s="6">
        <v>152822</v>
      </c>
      <c r="O102" s="6">
        <v>166092</v>
      </c>
      <c r="P102" s="6">
        <v>199624</v>
      </c>
      <c r="Q102" s="6">
        <v>50517</v>
      </c>
      <c r="R102" s="6">
        <v>76315</v>
      </c>
      <c r="S102" s="6">
        <v>0</v>
      </c>
      <c r="T102" s="6">
        <v>0</v>
      </c>
      <c r="U102" s="6">
        <v>9427</v>
      </c>
      <c r="V102" s="6">
        <v>-1275</v>
      </c>
      <c r="W102" s="6">
        <v>29500</v>
      </c>
      <c r="X102" s="6">
        <v>251</v>
      </c>
      <c r="Y102" s="6"/>
      <c r="Z102" s="6"/>
      <c r="AA102" s="6"/>
      <c r="AB102" s="6">
        <v>5602</v>
      </c>
      <c r="AC102" s="6">
        <v>1731</v>
      </c>
      <c r="AD102" s="6">
        <v>0</v>
      </c>
      <c r="AE102" s="6">
        <v>19511</v>
      </c>
      <c r="AF102" s="6">
        <v>8950</v>
      </c>
    </row>
    <row r="103" spans="1:32" x14ac:dyDescent="0.35">
      <c r="A103" s="1">
        <v>38266</v>
      </c>
      <c r="B103" s="6">
        <v>781777</v>
      </c>
      <c r="C103" s="6">
        <v>11039</v>
      </c>
      <c r="D103" s="6">
        <v>2200</v>
      </c>
      <c r="E103" s="6">
        <v>764</v>
      </c>
      <c r="F103" s="6">
        <v>730867</v>
      </c>
      <c r="G103" s="6">
        <v>701586</v>
      </c>
      <c r="H103" s="6">
        <v>701586</v>
      </c>
      <c r="I103" s="6">
        <v>258849</v>
      </c>
      <c r="J103" s="6">
        <v>425339</v>
      </c>
      <c r="K103" s="6">
        <v>15262</v>
      </c>
      <c r="L103" s="6">
        <v>2136</v>
      </c>
      <c r="M103" s="6">
        <v>44846</v>
      </c>
      <c r="N103" s="6">
        <v>161100</v>
      </c>
      <c r="O103" s="6">
        <v>166867</v>
      </c>
      <c r="P103" s="6">
        <v>201940</v>
      </c>
      <c r="Q103" s="6">
        <v>50517</v>
      </c>
      <c r="R103" s="6">
        <v>76316</v>
      </c>
      <c r="S103" s="6">
        <v>0</v>
      </c>
      <c r="T103" s="6">
        <v>0</v>
      </c>
      <c r="U103" s="6">
        <v>9402</v>
      </c>
      <c r="V103" s="6">
        <v>-1317</v>
      </c>
      <c r="W103" s="6">
        <v>21000</v>
      </c>
      <c r="X103" s="6">
        <v>196</v>
      </c>
      <c r="Y103" s="6"/>
      <c r="Z103" s="6"/>
      <c r="AA103" s="6"/>
      <c r="AB103" s="6">
        <v>6609</v>
      </c>
      <c r="AC103" s="6">
        <v>1730</v>
      </c>
      <c r="AD103" s="6">
        <v>0</v>
      </c>
      <c r="AE103" s="6">
        <v>19473</v>
      </c>
      <c r="AF103" s="6">
        <v>9095</v>
      </c>
    </row>
    <row r="104" spans="1:32" x14ac:dyDescent="0.35">
      <c r="A104" s="1">
        <v>38273</v>
      </c>
      <c r="B104" s="6">
        <v>795483</v>
      </c>
      <c r="C104" s="6">
        <v>11039</v>
      </c>
      <c r="D104" s="6">
        <v>2200</v>
      </c>
      <c r="E104" s="6">
        <v>748</v>
      </c>
      <c r="F104" s="6">
        <v>740095</v>
      </c>
      <c r="G104" s="6">
        <v>701617</v>
      </c>
      <c r="H104" s="6">
        <v>701617</v>
      </c>
      <c r="I104" s="6">
        <v>258878</v>
      </c>
      <c r="J104" s="6">
        <v>425339</v>
      </c>
      <c r="K104" s="6">
        <v>15262</v>
      </c>
      <c r="L104" s="6">
        <v>2138</v>
      </c>
      <c r="M104" s="6">
        <v>44652</v>
      </c>
      <c r="N104" s="6">
        <v>161134</v>
      </c>
      <c r="O104" s="6">
        <v>167056</v>
      </c>
      <c r="P104" s="6">
        <v>201941</v>
      </c>
      <c r="Q104" s="6">
        <v>50518</v>
      </c>
      <c r="R104" s="6">
        <v>76316</v>
      </c>
      <c r="S104" s="6">
        <v>0</v>
      </c>
      <c r="T104" s="6">
        <v>0</v>
      </c>
      <c r="U104" s="6">
        <v>9371</v>
      </c>
      <c r="V104" s="6">
        <v>-1328</v>
      </c>
      <c r="W104" s="6">
        <v>30250</v>
      </c>
      <c r="X104" s="6">
        <v>186</v>
      </c>
      <c r="Y104" s="6"/>
      <c r="Z104" s="6"/>
      <c r="AA104" s="6"/>
      <c r="AB104" s="6">
        <v>10600</v>
      </c>
      <c r="AC104" s="6">
        <v>1732</v>
      </c>
      <c r="AD104" s="6">
        <v>0</v>
      </c>
      <c r="AE104" s="6">
        <v>19575</v>
      </c>
      <c r="AF104" s="6">
        <v>9493</v>
      </c>
    </row>
    <row r="105" spans="1:32" x14ac:dyDescent="0.35">
      <c r="A105" s="1">
        <v>38280</v>
      </c>
      <c r="B105" s="6">
        <v>784954</v>
      </c>
      <c r="C105" s="6">
        <v>11039</v>
      </c>
      <c r="D105" s="6">
        <v>2200</v>
      </c>
      <c r="E105" s="6">
        <v>758</v>
      </c>
      <c r="F105" s="6">
        <v>732294</v>
      </c>
      <c r="G105" s="6">
        <v>702813</v>
      </c>
      <c r="H105" s="6">
        <v>702813</v>
      </c>
      <c r="I105" s="6">
        <v>259078</v>
      </c>
      <c r="J105" s="6">
        <v>426333</v>
      </c>
      <c r="K105" s="6">
        <v>15262</v>
      </c>
      <c r="L105" s="6">
        <v>2140</v>
      </c>
      <c r="M105" s="6">
        <v>50635</v>
      </c>
      <c r="N105" s="6">
        <v>155425</v>
      </c>
      <c r="O105" s="6">
        <v>167785</v>
      </c>
      <c r="P105" s="6">
        <v>202112</v>
      </c>
      <c r="Q105" s="6">
        <v>50539</v>
      </c>
      <c r="R105" s="6">
        <v>76317</v>
      </c>
      <c r="S105" s="6">
        <v>0</v>
      </c>
      <c r="T105" s="6">
        <v>0</v>
      </c>
      <c r="U105" s="6">
        <v>9378</v>
      </c>
      <c r="V105" s="6">
        <v>-1325</v>
      </c>
      <c r="W105" s="6">
        <v>21250</v>
      </c>
      <c r="X105" s="6">
        <v>179</v>
      </c>
      <c r="Y105" s="6"/>
      <c r="Z105" s="6"/>
      <c r="AA105" s="6"/>
      <c r="AB105" s="6">
        <v>7412</v>
      </c>
      <c r="AC105" s="6">
        <v>1735</v>
      </c>
      <c r="AD105" s="6">
        <v>0</v>
      </c>
      <c r="AE105" s="6">
        <v>20028</v>
      </c>
      <c r="AF105" s="6">
        <v>9488</v>
      </c>
    </row>
    <row r="106" spans="1:32" x14ac:dyDescent="0.35">
      <c r="A106" s="1">
        <v>38287</v>
      </c>
      <c r="B106" s="6">
        <v>791336</v>
      </c>
      <c r="C106" s="6">
        <v>11039</v>
      </c>
      <c r="D106" s="6">
        <v>2200</v>
      </c>
      <c r="E106" s="6">
        <v>767</v>
      </c>
      <c r="F106" s="6">
        <v>738784</v>
      </c>
      <c r="G106" s="6">
        <v>706730</v>
      </c>
      <c r="H106" s="6">
        <v>706730</v>
      </c>
      <c r="I106" s="6">
        <v>259201</v>
      </c>
      <c r="J106" s="6">
        <v>430125</v>
      </c>
      <c r="K106" s="6">
        <v>15262</v>
      </c>
      <c r="L106" s="6">
        <v>2142</v>
      </c>
      <c r="M106" s="6">
        <v>35892</v>
      </c>
      <c r="N106" s="6">
        <v>170306</v>
      </c>
      <c r="O106" s="6">
        <v>169363</v>
      </c>
      <c r="P106" s="6">
        <v>203509</v>
      </c>
      <c r="Q106" s="6">
        <v>50942</v>
      </c>
      <c r="R106" s="6">
        <v>76718</v>
      </c>
      <c r="S106" s="6">
        <v>0</v>
      </c>
      <c r="T106" s="6">
        <v>0</v>
      </c>
      <c r="U106" s="6">
        <v>9489</v>
      </c>
      <c r="V106" s="6">
        <v>-1325</v>
      </c>
      <c r="W106" s="6">
        <v>23750</v>
      </c>
      <c r="X106" s="6">
        <v>140</v>
      </c>
      <c r="Y106" s="6"/>
      <c r="Z106" s="6"/>
      <c r="AA106" s="6"/>
      <c r="AB106" s="6">
        <v>6630</v>
      </c>
      <c r="AC106" s="6">
        <v>1748</v>
      </c>
      <c r="AD106" s="6">
        <v>0</v>
      </c>
      <c r="AE106" s="6">
        <v>20243</v>
      </c>
      <c r="AF106" s="6">
        <v>9925</v>
      </c>
    </row>
    <row r="107" spans="1:32" x14ac:dyDescent="0.35">
      <c r="A107" s="1">
        <v>38294</v>
      </c>
      <c r="B107" s="6">
        <v>790552</v>
      </c>
      <c r="C107" s="6">
        <v>11039</v>
      </c>
      <c r="D107" s="6">
        <v>2200</v>
      </c>
      <c r="E107" s="6">
        <v>779</v>
      </c>
      <c r="F107" s="6">
        <v>736658</v>
      </c>
      <c r="G107" s="6">
        <v>708130</v>
      </c>
      <c r="H107" s="6">
        <v>708130</v>
      </c>
      <c r="I107" s="6">
        <v>259393</v>
      </c>
      <c r="J107" s="6">
        <v>431328</v>
      </c>
      <c r="K107" s="6">
        <v>15262</v>
      </c>
      <c r="L107" s="6">
        <v>2147</v>
      </c>
      <c r="M107" s="6">
        <v>56199</v>
      </c>
      <c r="N107" s="6">
        <v>152081</v>
      </c>
      <c r="O107" s="6">
        <v>168281</v>
      </c>
      <c r="P107" s="6">
        <v>203789</v>
      </c>
      <c r="Q107" s="6">
        <v>51060</v>
      </c>
      <c r="R107" s="6">
        <v>76720</v>
      </c>
      <c r="S107" s="6">
        <v>0</v>
      </c>
      <c r="T107" s="6">
        <v>0</v>
      </c>
      <c r="U107" s="6">
        <v>9548</v>
      </c>
      <c r="V107" s="6">
        <v>-1352</v>
      </c>
      <c r="W107" s="6">
        <v>20250</v>
      </c>
      <c r="X107" s="6">
        <v>82</v>
      </c>
      <c r="Y107" s="6"/>
      <c r="Z107" s="6"/>
      <c r="AA107" s="6"/>
      <c r="AB107" s="6">
        <v>7714</v>
      </c>
      <c r="AC107" s="6">
        <v>1741</v>
      </c>
      <c r="AD107" s="6">
        <v>0</v>
      </c>
      <c r="AE107" s="6">
        <v>20343</v>
      </c>
      <c r="AF107" s="6">
        <v>10079</v>
      </c>
    </row>
    <row r="108" spans="1:32" x14ac:dyDescent="0.35">
      <c r="A108" s="1">
        <v>38301</v>
      </c>
      <c r="B108" s="6">
        <v>800473</v>
      </c>
      <c r="C108" s="6">
        <v>11039</v>
      </c>
      <c r="D108" s="6">
        <v>2200</v>
      </c>
      <c r="E108" s="6">
        <v>772</v>
      </c>
      <c r="F108" s="6">
        <v>746682</v>
      </c>
      <c r="G108" s="6">
        <v>708909</v>
      </c>
      <c r="H108" s="6">
        <v>708909</v>
      </c>
      <c r="I108" s="6">
        <v>259720</v>
      </c>
      <c r="J108" s="6">
        <v>431328</v>
      </c>
      <c r="K108" s="6">
        <v>15683</v>
      </c>
      <c r="L108" s="6">
        <v>2178</v>
      </c>
      <c r="M108" s="6">
        <v>41934</v>
      </c>
      <c r="N108" s="6">
        <v>167164</v>
      </c>
      <c r="O108" s="6">
        <v>168865</v>
      </c>
      <c r="P108" s="6">
        <v>203793</v>
      </c>
      <c r="Q108" s="6">
        <v>50330</v>
      </c>
      <c r="R108" s="6">
        <v>76822</v>
      </c>
      <c r="S108" s="6">
        <v>0</v>
      </c>
      <c r="T108" s="6">
        <v>0</v>
      </c>
      <c r="U108" s="6">
        <v>9554</v>
      </c>
      <c r="V108" s="6">
        <v>-1359</v>
      </c>
      <c r="W108" s="6">
        <v>29500</v>
      </c>
      <c r="X108" s="6">
        <v>77</v>
      </c>
      <c r="Y108" s="6"/>
      <c r="Z108" s="6"/>
      <c r="AA108" s="6"/>
      <c r="AB108" s="6">
        <v>7071</v>
      </c>
      <c r="AC108" s="6">
        <v>1745</v>
      </c>
      <c r="AD108" s="6">
        <v>0</v>
      </c>
      <c r="AE108" s="6">
        <v>20413</v>
      </c>
      <c r="AF108" s="6">
        <v>10550</v>
      </c>
    </row>
    <row r="109" spans="1:32" x14ac:dyDescent="0.35">
      <c r="A109" s="1">
        <v>38308</v>
      </c>
      <c r="B109" s="6">
        <v>794090</v>
      </c>
      <c r="C109" s="6">
        <v>11039</v>
      </c>
      <c r="D109" s="6">
        <v>2200</v>
      </c>
      <c r="E109" s="6">
        <v>756</v>
      </c>
      <c r="F109" s="6">
        <v>742326</v>
      </c>
      <c r="G109" s="6">
        <v>710134</v>
      </c>
      <c r="H109" s="6">
        <v>710134</v>
      </c>
      <c r="I109" s="6">
        <v>259739</v>
      </c>
      <c r="J109" s="6">
        <v>432526</v>
      </c>
      <c r="K109" s="6">
        <v>15683</v>
      </c>
      <c r="L109" s="6">
        <v>2186</v>
      </c>
      <c r="M109" s="6">
        <v>51157</v>
      </c>
      <c r="N109" s="6">
        <v>150923</v>
      </c>
      <c r="O109" s="6">
        <v>171751</v>
      </c>
      <c r="P109" s="6">
        <v>206675</v>
      </c>
      <c r="Q109" s="6">
        <v>53998</v>
      </c>
      <c r="R109" s="6">
        <v>75630</v>
      </c>
      <c r="S109" s="6">
        <v>0</v>
      </c>
      <c r="T109" s="6">
        <v>0</v>
      </c>
      <c r="U109" s="6">
        <v>9530</v>
      </c>
      <c r="V109" s="6">
        <v>-1420</v>
      </c>
      <c r="W109" s="6">
        <v>24000</v>
      </c>
      <c r="X109" s="6">
        <v>82</v>
      </c>
      <c r="Y109" s="6"/>
      <c r="Z109" s="6"/>
      <c r="AA109" s="6"/>
      <c r="AB109" s="6">
        <v>8228</v>
      </c>
      <c r="AC109" s="6">
        <v>1747</v>
      </c>
      <c r="AD109" s="6">
        <v>0</v>
      </c>
      <c r="AE109" s="6">
        <v>20745</v>
      </c>
      <c r="AF109" s="6">
        <v>7049</v>
      </c>
    </row>
    <row r="110" spans="1:32" x14ac:dyDescent="0.35">
      <c r="A110" s="1">
        <v>38315</v>
      </c>
      <c r="B110" s="6">
        <v>809956</v>
      </c>
      <c r="C110" s="6">
        <v>11039</v>
      </c>
      <c r="D110" s="6">
        <v>2200</v>
      </c>
      <c r="E110" s="6">
        <v>739</v>
      </c>
      <c r="F110" s="6">
        <v>758715</v>
      </c>
      <c r="G110" s="6">
        <v>711595</v>
      </c>
      <c r="H110" s="6">
        <v>711595</v>
      </c>
      <c r="I110" s="6">
        <v>261190</v>
      </c>
      <c r="J110" s="6">
        <v>432526</v>
      </c>
      <c r="K110" s="6">
        <v>15683</v>
      </c>
      <c r="L110" s="6">
        <v>2196</v>
      </c>
      <c r="M110" s="6">
        <v>51078</v>
      </c>
      <c r="N110" s="6">
        <v>150884</v>
      </c>
      <c r="O110" s="6">
        <v>173321</v>
      </c>
      <c r="P110" s="6">
        <v>206678</v>
      </c>
      <c r="Q110" s="6">
        <v>54001</v>
      </c>
      <c r="R110" s="6">
        <v>75633</v>
      </c>
      <c r="S110" s="6">
        <v>0</v>
      </c>
      <c r="T110" s="6">
        <v>0</v>
      </c>
      <c r="U110" s="6">
        <v>9495</v>
      </c>
      <c r="V110" s="6">
        <v>-1447</v>
      </c>
      <c r="W110" s="6">
        <v>39000</v>
      </c>
      <c r="X110" s="6">
        <v>72</v>
      </c>
      <c r="Y110" s="6"/>
      <c r="Z110" s="6"/>
      <c r="AA110" s="6"/>
      <c r="AB110" s="6">
        <v>7047</v>
      </c>
      <c r="AC110" s="6">
        <v>1753</v>
      </c>
      <c r="AD110" s="6">
        <v>0</v>
      </c>
      <c r="AE110" s="6">
        <v>20978</v>
      </c>
      <c r="AF110" s="6">
        <v>7485</v>
      </c>
    </row>
    <row r="111" spans="1:32" x14ac:dyDescent="0.35">
      <c r="A111" s="1">
        <v>38322</v>
      </c>
      <c r="B111" s="6">
        <v>807063</v>
      </c>
      <c r="C111" s="6">
        <v>11039</v>
      </c>
      <c r="D111" s="6">
        <v>2200</v>
      </c>
      <c r="E111" s="6">
        <v>703</v>
      </c>
      <c r="F111" s="6">
        <v>754677</v>
      </c>
      <c r="G111" s="6">
        <v>712891</v>
      </c>
      <c r="H111" s="6">
        <v>712891</v>
      </c>
      <c r="I111" s="6">
        <v>262477</v>
      </c>
      <c r="J111" s="6">
        <v>432526</v>
      </c>
      <c r="K111" s="6">
        <v>15683</v>
      </c>
      <c r="L111" s="6">
        <v>2205</v>
      </c>
      <c r="M111" s="6">
        <v>42564</v>
      </c>
      <c r="N111" s="6">
        <v>162381</v>
      </c>
      <c r="O111" s="6">
        <v>172435</v>
      </c>
      <c r="P111" s="6">
        <v>205870</v>
      </c>
      <c r="Q111" s="6">
        <v>54003</v>
      </c>
      <c r="R111" s="6">
        <v>75637</v>
      </c>
      <c r="S111" s="6">
        <v>0</v>
      </c>
      <c r="T111" s="6">
        <v>0</v>
      </c>
      <c r="U111" s="6">
        <v>9469</v>
      </c>
      <c r="V111" s="6">
        <v>-1489</v>
      </c>
      <c r="W111" s="6">
        <v>33750</v>
      </c>
      <c r="X111" s="6">
        <v>56</v>
      </c>
      <c r="Y111" s="6"/>
      <c r="Z111" s="6"/>
      <c r="AA111" s="6"/>
      <c r="AB111" s="6">
        <v>8003</v>
      </c>
      <c r="AC111" s="6">
        <v>1752</v>
      </c>
      <c r="AD111" s="6">
        <v>0</v>
      </c>
      <c r="AE111" s="6">
        <v>21128</v>
      </c>
      <c r="AF111" s="6">
        <v>7563</v>
      </c>
    </row>
    <row r="112" spans="1:32" x14ac:dyDescent="0.35">
      <c r="A112" s="1">
        <v>38329</v>
      </c>
      <c r="B112" s="6">
        <v>808495</v>
      </c>
      <c r="C112" s="6">
        <v>11039</v>
      </c>
      <c r="D112" s="6">
        <v>2200</v>
      </c>
      <c r="E112" s="6">
        <v>710</v>
      </c>
      <c r="F112" s="6">
        <v>755580</v>
      </c>
      <c r="G112" s="6">
        <v>717072</v>
      </c>
      <c r="H112" s="6">
        <v>717072</v>
      </c>
      <c r="I112" s="6">
        <v>262733</v>
      </c>
      <c r="J112" s="6">
        <v>436429</v>
      </c>
      <c r="K112" s="6">
        <v>15683</v>
      </c>
      <c r="L112" s="6">
        <v>2226</v>
      </c>
      <c r="M112" s="6">
        <v>42470</v>
      </c>
      <c r="N112" s="6">
        <v>163759</v>
      </c>
      <c r="O112" s="6">
        <v>172907</v>
      </c>
      <c r="P112" s="6">
        <v>208282</v>
      </c>
      <c r="Q112" s="6">
        <v>54009</v>
      </c>
      <c r="R112" s="6">
        <v>75644</v>
      </c>
      <c r="S112" s="6">
        <v>0</v>
      </c>
      <c r="T112" s="6">
        <v>0</v>
      </c>
      <c r="U112" s="6">
        <v>9473</v>
      </c>
      <c r="V112" s="6">
        <v>-1518</v>
      </c>
      <c r="W112" s="6">
        <v>30500</v>
      </c>
      <c r="X112" s="6">
        <v>53</v>
      </c>
      <c r="Y112" s="6"/>
      <c r="Z112" s="6"/>
      <c r="AA112" s="6"/>
      <c r="AB112" s="6">
        <v>8309</v>
      </c>
      <c r="AC112" s="6">
        <v>1756</v>
      </c>
      <c r="AD112" s="6">
        <v>0</v>
      </c>
      <c r="AE112" s="6">
        <v>20911</v>
      </c>
      <c r="AF112" s="6">
        <v>7991</v>
      </c>
    </row>
    <row r="113" spans="1:32" x14ac:dyDescent="0.35">
      <c r="A113" s="1">
        <v>38336</v>
      </c>
      <c r="B113" s="6">
        <v>807028</v>
      </c>
      <c r="C113" s="6">
        <v>11039</v>
      </c>
      <c r="D113" s="6">
        <v>2200</v>
      </c>
      <c r="E113" s="6">
        <v>723</v>
      </c>
      <c r="F113" s="6">
        <v>754412</v>
      </c>
      <c r="G113" s="6">
        <v>717661</v>
      </c>
      <c r="H113" s="6">
        <v>717661</v>
      </c>
      <c r="I113" s="6">
        <v>262861</v>
      </c>
      <c r="J113" s="6">
        <v>436429</v>
      </c>
      <c r="K113" s="6">
        <v>16108</v>
      </c>
      <c r="L113" s="6">
        <v>2262</v>
      </c>
      <c r="M113" s="6">
        <v>42923</v>
      </c>
      <c r="N113" s="6">
        <v>164367</v>
      </c>
      <c r="O113" s="6">
        <v>171974</v>
      </c>
      <c r="P113" s="6">
        <v>208290</v>
      </c>
      <c r="Q113" s="6">
        <v>54358</v>
      </c>
      <c r="R113" s="6">
        <v>75748</v>
      </c>
      <c r="S113" s="6">
        <v>0</v>
      </c>
      <c r="T113" s="6">
        <v>0</v>
      </c>
      <c r="U113" s="6">
        <v>9475</v>
      </c>
      <c r="V113" s="6">
        <v>-1529</v>
      </c>
      <c r="W113" s="6">
        <v>28750</v>
      </c>
      <c r="X113" s="6">
        <v>56</v>
      </c>
      <c r="Y113" s="6"/>
      <c r="Z113" s="6"/>
      <c r="AA113" s="6"/>
      <c r="AB113" s="6">
        <v>7435</v>
      </c>
      <c r="AC113" s="6">
        <v>1762</v>
      </c>
      <c r="AD113" s="6">
        <v>0</v>
      </c>
      <c r="AE113" s="6">
        <v>21138</v>
      </c>
      <c r="AF113" s="6">
        <v>8319</v>
      </c>
    </row>
    <row r="114" spans="1:32" x14ac:dyDescent="0.35">
      <c r="A114" s="1">
        <v>38343</v>
      </c>
      <c r="B114" s="6">
        <v>811333</v>
      </c>
      <c r="C114" s="6">
        <v>11039</v>
      </c>
      <c r="D114" s="6">
        <v>2200</v>
      </c>
      <c r="E114" s="6">
        <v>722</v>
      </c>
      <c r="F114" s="6">
        <v>757680</v>
      </c>
      <c r="G114" s="6">
        <v>717682</v>
      </c>
      <c r="H114" s="6">
        <v>717682</v>
      </c>
      <c r="I114" s="6">
        <v>262861</v>
      </c>
      <c r="J114" s="6">
        <v>436429</v>
      </c>
      <c r="K114" s="6">
        <v>16108</v>
      </c>
      <c r="L114" s="6">
        <v>2284</v>
      </c>
      <c r="M114" s="6">
        <v>54407</v>
      </c>
      <c r="N114" s="6">
        <v>153944</v>
      </c>
      <c r="O114" s="6">
        <v>170913</v>
      </c>
      <c r="P114" s="6">
        <v>208298</v>
      </c>
      <c r="Q114" s="6">
        <v>54364</v>
      </c>
      <c r="R114" s="6">
        <v>75755</v>
      </c>
      <c r="S114" s="6">
        <v>0</v>
      </c>
      <c r="T114" s="6">
        <v>0</v>
      </c>
      <c r="U114" s="6">
        <v>9444</v>
      </c>
      <c r="V114" s="6">
        <v>-1525</v>
      </c>
      <c r="W114" s="6">
        <v>32000</v>
      </c>
      <c r="X114" s="6">
        <v>79</v>
      </c>
      <c r="Y114" s="6"/>
      <c r="Z114" s="6"/>
      <c r="AA114" s="6"/>
      <c r="AB114" s="6">
        <v>8098</v>
      </c>
      <c r="AC114" s="6">
        <v>1773</v>
      </c>
      <c r="AD114" s="6">
        <v>0</v>
      </c>
      <c r="AE114" s="6">
        <v>21115</v>
      </c>
      <c r="AF114" s="6">
        <v>8705</v>
      </c>
    </row>
    <row r="115" spans="1:32" x14ac:dyDescent="0.35">
      <c r="A115" s="1">
        <v>38350</v>
      </c>
      <c r="B115" s="6">
        <v>810944</v>
      </c>
      <c r="C115" s="6">
        <v>11041</v>
      </c>
      <c r="D115" s="6">
        <v>2200</v>
      </c>
      <c r="E115" s="6">
        <v>717</v>
      </c>
      <c r="F115" s="6">
        <v>758750</v>
      </c>
      <c r="G115" s="6">
        <v>717813</v>
      </c>
      <c r="H115" s="6">
        <v>717813</v>
      </c>
      <c r="I115" s="6">
        <v>262970</v>
      </c>
      <c r="J115" s="6">
        <v>436429</v>
      </c>
      <c r="K115" s="6">
        <v>16108</v>
      </c>
      <c r="L115" s="6">
        <v>2306</v>
      </c>
      <c r="M115" s="6">
        <v>54111</v>
      </c>
      <c r="N115" s="6">
        <v>154406</v>
      </c>
      <c r="O115" s="6">
        <v>170856</v>
      </c>
      <c r="P115" s="6">
        <v>208306</v>
      </c>
      <c r="Q115" s="6">
        <v>54371</v>
      </c>
      <c r="R115" s="6">
        <v>75763</v>
      </c>
      <c r="S115" s="6">
        <v>0</v>
      </c>
      <c r="T115" s="6">
        <v>0</v>
      </c>
      <c r="U115" s="6">
        <v>9414</v>
      </c>
      <c r="V115" s="6">
        <v>-1534</v>
      </c>
      <c r="W115" s="6">
        <v>33000</v>
      </c>
      <c r="X115" s="6">
        <v>57</v>
      </c>
      <c r="Y115" s="6"/>
      <c r="Z115" s="6"/>
      <c r="AA115" s="6"/>
      <c r="AB115" s="6">
        <v>6104</v>
      </c>
      <c r="AC115" s="6">
        <v>1787</v>
      </c>
      <c r="AD115" s="6">
        <v>0</v>
      </c>
      <c r="AE115" s="6">
        <v>21260</v>
      </c>
      <c r="AF115" s="6">
        <v>9085</v>
      </c>
    </row>
    <row r="116" spans="1:32" x14ac:dyDescent="0.35">
      <c r="A116" s="1">
        <v>38357</v>
      </c>
      <c r="B116" s="6">
        <v>815702</v>
      </c>
      <c r="C116" s="6">
        <v>11041</v>
      </c>
      <c r="D116" s="6">
        <v>2200</v>
      </c>
      <c r="E116" s="6">
        <v>719</v>
      </c>
      <c r="F116" s="6">
        <v>760184</v>
      </c>
      <c r="G116" s="6">
        <v>717821</v>
      </c>
      <c r="H116" s="6">
        <v>717821</v>
      </c>
      <c r="I116" s="6">
        <v>262970</v>
      </c>
      <c r="J116" s="6">
        <v>436429</v>
      </c>
      <c r="K116" s="6">
        <v>16108</v>
      </c>
      <c r="L116" s="6">
        <v>2313</v>
      </c>
      <c r="M116" s="6">
        <v>46224</v>
      </c>
      <c r="N116" s="6">
        <v>162778</v>
      </c>
      <c r="O116" s="6">
        <v>170411</v>
      </c>
      <c r="P116" s="6">
        <v>208270</v>
      </c>
      <c r="Q116" s="6">
        <v>54373</v>
      </c>
      <c r="R116" s="6">
        <v>75766</v>
      </c>
      <c r="S116" s="6">
        <v>0</v>
      </c>
      <c r="T116" s="6">
        <v>0</v>
      </c>
      <c r="U116" s="6">
        <v>9383</v>
      </c>
      <c r="V116" s="6">
        <v>-1564</v>
      </c>
      <c r="W116" s="6">
        <v>34500</v>
      </c>
      <c r="X116" s="6">
        <v>44</v>
      </c>
      <c r="Y116" s="6"/>
      <c r="Z116" s="6"/>
      <c r="AA116" s="6"/>
      <c r="AB116" s="6">
        <v>9541</v>
      </c>
      <c r="AC116" s="6">
        <v>1774</v>
      </c>
      <c r="AD116" s="6">
        <v>0</v>
      </c>
      <c r="AE116" s="6">
        <v>21039</v>
      </c>
      <c r="AF116" s="6">
        <v>9206</v>
      </c>
    </row>
    <row r="117" spans="1:32" x14ac:dyDescent="0.35">
      <c r="A117" s="1">
        <v>38364</v>
      </c>
      <c r="B117" s="6">
        <v>798455</v>
      </c>
      <c r="C117" s="6">
        <v>11041</v>
      </c>
      <c r="D117" s="6">
        <v>2200</v>
      </c>
      <c r="E117" s="6">
        <v>737</v>
      </c>
      <c r="F117" s="6">
        <v>743898</v>
      </c>
      <c r="G117" s="6">
        <v>717823</v>
      </c>
      <c r="H117" s="6">
        <v>717823</v>
      </c>
      <c r="I117" s="6">
        <v>262970</v>
      </c>
      <c r="J117" s="6">
        <v>436429</v>
      </c>
      <c r="K117" s="6">
        <v>16108</v>
      </c>
      <c r="L117" s="6">
        <v>2316</v>
      </c>
      <c r="M117" s="6">
        <v>46453</v>
      </c>
      <c r="N117" s="6">
        <v>163095</v>
      </c>
      <c r="O117" s="6">
        <v>169865</v>
      </c>
      <c r="P117" s="6">
        <v>208270</v>
      </c>
      <c r="Q117" s="6">
        <v>54373</v>
      </c>
      <c r="R117" s="6">
        <v>75766</v>
      </c>
      <c r="S117" s="6">
        <v>0</v>
      </c>
      <c r="T117" s="6">
        <v>0</v>
      </c>
      <c r="U117" s="6">
        <v>9352</v>
      </c>
      <c r="V117" s="6">
        <v>-1578</v>
      </c>
      <c r="W117" s="6">
        <v>18250</v>
      </c>
      <c r="X117" s="6">
        <v>50</v>
      </c>
      <c r="Y117" s="6"/>
      <c r="Z117" s="6"/>
      <c r="AA117" s="6"/>
      <c r="AB117" s="6">
        <v>7994</v>
      </c>
      <c r="AC117" s="6">
        <v>1776</v>
      </c>
      <c r="AD117" s="6">
        <v>0</v>
      </c>
      <c r="AE117" s="6">
        <v>21185</v>
      </c>
      <c r="AF117" s="6">
        <v>9624</v>
      </c>
    </row>
    <row r="118" spans="1:32" x14ac:dyDescent="0.35">
      <c r="A118" s="1">
        <v>38371</v>
      </c>
      <c r="B118" s="6">
        <v>806960</v>
      </c>
      <c r="C118" s="6">
        <v>11041</v>
      </c>
      <c r="D118" s="6">
        <v>2200</v>
      </c>
      <c r="E118" s="6">
        <v>751</v>
      </c>
      <c r="F118" s="6">
        <v>748125</v>
      </c>
      <c r="G118" s="6">
        <v>717825</v>
      </c>
      <c r="H118" s="6">
        <v>717825</v>
      </c>
      <c r="I118" s="6">
        <v>262970</v>
      </c>
      <c r="J118" s="6">
        <v>436429</v>
      </c>
      <c r="K118" s="6">
        <v>16108</v>
      </c>
      <c r="L118" s="6">
        <v>2318</v>
      </c>
      <c r="M118" s="6">
        <v>56493</v>
      </c>
      <c r="N118" s="6">
        <v>154007</v>
      </c>
      <c r="O118" s="6">
        <v>170089</v>
      </c>
      <c r="P118" s="6">
        <v>209683</v>
      </c>
      <c r="Q118" s="6">
        <v>51786</v>
      </c>
      <c r="R118" s="6">
        <v>75767</v>
      </c>
      <c r="S118" s="6">
        <v>0</v>
      </c>
      <c r="T118" s="6">
        <v>0</v>
      </c>
      <c r="U118" s="6">
        <v>9322</v>
      </c>
      <c r="V118" s="6">
        <v>-1584</v>
      </c>
      <c r="W118" s="6">
        <v>22500</v>
      </c>
      <c r="X118" s="6">
        <v>61</v>
      </c>
      <c r="Y118" s="6"/>
      <c r="Z118" s="6"/>
      <c r="AA118" s="6"/>
      <c r="AB118" s="6">
        <v>12550</v>
      </c>
      <c r="AC118" s="6">
        <v>1779</v>
      </c>
      <c r="AD118" s="6">
        <v>0</v>
      </c>
      <c r="AE118" s="6">
        <v>20946</v>
      </c>
      <c r="AF118" s="6">
        <v>9568</v>
      </c>
    </row>
    <row r="119" spans="1:32" x14ac:dyDescent="0.35">
      <c r="A119" s="1">
        <v>38378</v>
      </c>
      <c r="B119" s="6">
        <v>807262</v>
      </c>
      <c r="C119" s="6">
        <v>11041</v>
      </c>
      <c r="D119" s="6">
        <v>2200</v>
      </c>
      <c r="E119" s="6">
        <v>785</v>
      </c>
      <c r="F119" s="6">
        <v>754337</v>
      </c>
      <c r="G119" s="6">
        <v>717827</v>
      </c>
      <c r="H119" s="6">
        <v>717827</v>
      </c>
      <c r="I119" s="6">
        <v>262970</v>
      </c>
      <c r="J119" s="6">
        <v>436429</v>
      </c>
      <c r="K119" s="6">
        <v>16108</v>
      </c>
      <c r="L119" s="6">
        <v>2320</v>
      </c>
      <c r="M119" s="6">
        <v>57750</v>
      </c>
      <c r="N119" s="6">
        <v>153159</v>
      </c>
      <c r="O119" s="6">
        <v>169681</v>
      </c>
      <c r="P119" s="6">
        <v>209684</v>
      </c>
      <c r="Q119" s="6">
        <v>51786</v>
      </c>
      <c r="R119" s="6">
        <v>75768</v>
      </c>
      <c r="S119" s="6">
        <v>0</v>
      </c>
      <c r="T119" s="6">
        <v>0</v>
      </c>
      <c r="U119" s="6">
        <v>9291</v>
      </c>
      <c r="V119" s="6">
        <v>-1601</v>
      </c>
      <c r="W119" s="6">
        <v>28750</v>
      </c>
      <c r="X119" s="6">
        <v>69</v>
      </c>
      <c r="Y119" s="6"/>
      <c r="Z119" s="6"/>
      <c r="AA119" s="6"/>
      <c r="AB119" s="6">
        <v>6204</v>
      </c>
      <c r="AC119" s="6">
        <v>1778</v>
      </c>
      <c r="AD119" s="6">
        <v>0</v>
      </c>
      <c r="AE119" s="6">
        <v>20958</v>
      </c>
      <c r="AF119" s="6">
        <v>9959</v>
      </c>
    </row>
    <row r="120" spans="1:32" x14ac:dyDescent="0.35">
      <c r="A120" s="1">
        <v>38385</v>
      </c>
      <c r="B120" s="6">
        <v>804746</v>
      </c>
      <c r="C120" s="6">
        <v>11038</v>
      </c>
      <c r="D120" s="6">
        <v>2200</v>
      </c>
      <c r="E120" s="6">
        <v>806</v>
      </c>
      <c r="F120" s="6">
        <v>750057</v>
      </c>
      <c r="G120" s="6">
        <v>717898</v>
      </c>
      <c r="H120" s="6">
        <v>717898</v>
      </c>
      <c r="I120" s="6">
        <v>263005</v>
      </c>
      <c r="J120" s="6">
        <v>433429</v>
      </c>
      <c r="K120" s="6">
        <v>19108</v>
      </c>
      <c r="L120" s="6">
        <v>2356</v>
      </c>
      <c r="M120" s="6">
        <v>55168</v>
      </c>
      <c r="N120" s="6">
        <v>156730</v>
      </c>
      <c r="O120" s="6">
        <v>167654</v>
      </c>
      <c r="P120" s="6">
        <v>207754</v>
      </c>
      <c r="Q120" s="6">
        <v>51786</v>
      </c>
      <c r="R120" s="6">
        <v>78806</v>
      </c>
      <c r="S120" s="6">
        <v>0</v>
      </c>
      <c r="T120" s="6">
        <v>0</v>
      </c>
      <c r="U120" s="6">
        <v>9447</v>
      </c>
      <c r="V120" s="6">
        <v>-1621</v>
      </c>
      <c r="W120" s="6">
        <v>24250</v>
      </c>
      <c r="X120" s="6">
        <v>83</v>
      </c>
      <c r="Y120" s="6"/>
      <c r="Z120" s="6"/>
      <c r="AA120" s="6"/>
      <c r="AB120" s="6">
        <v>7946</v>
      </c>
      <c r="AC120" s="6">
        <v>1781</v>
      </c>
      <c r="AD120" s="6">
        <v>0</v>
      </c>
      <c r="AE120" s="6">
        <v>20803</v>
      </c>
      <c r="AF120" s="6">
        <v>10115</v>
      </c>
    </row>
    <row r="121" spans="1:32" x14ac:dyDescent="0.35">
      <c r="A121" s="1">
        <v>38392</v>
      </c>
      <c r="B121" s="6">
        <v>797299</v>
      </c>
      <c r="C121" s="6">
        <v>11038</v>
      </c>
      <c r="D121" s="6">
        <v>2200</v>
      </c>
      <c r="E121" s="6">
        <v>831</v>
      </c>
      <c r="F121" s="6">
        <v>740182</v>
      </c>
      <c r="G121" s="6">
        <v>717879</v>
      </c>
      <c r="H121" s="6">
        <v>717879</v>
      </c>
      <c r="I121" s="6">
        <v>263005</v>
      </c>
      <c r="J121" s="6">
        <v>433429</v>
      </c>
      <c r="K121" s="6">
        <v>19108</v>
      </c>
      <c r="L121" s="6">
        <v>2336</v>
      </c>
      <c r="M121" s="6">
        <v>54759</v>
      </c>
      <c r="N121" s="6">
        <v>157604</v>
      </c>
      <c r="O121" s="6">
        <v>167189</v>
      </c>
      <c r="P121" s="6">
        <v>207747</v>
      </c>
      <c r="Q121" s="6">
        <v>51782</v>
      </c>
      <c r="R121" s="6">
        <v>78797</v>
      </c>
      <c r="S121" s="6">
        <v>0</v>
      </c>
      <c r="T121" s="6">
        <v>0</v>
      </c>
      <c r="U121" s="6">
        <v>9417</v>
      </c>
      <c r="V121" s="6">
        <v>-1643</v>
      </c>
      <c r="W121" s="6">
        <v>14500</v>
      </c>
      <c r="X121" s="6">
        <v>30</v>
      </c>
      <c r="Y121" s="6"/>
      <c r="Z121" s="6"/>
      <c r="AA121" s="6"/>
      <c r="AB121" s="6">
        <v>10312</v>
      </c>
      <c r="AC121" s="6">
        <v>1783</v>
      </c>
      <c r="AD121" s="6">
        <v>0</v>
      </c>
      <c r="AE121" s="6">
        <v>20459</v>
      </c>
      <c r="AF121" s="6">
        <v>10494</v>
      </c>
    </row>
    <row r="122" spans="1:32" x14ac:dyDescent="0.35">
      <c r="A122" s="1">
        <v>38399</v>
      </c>
      <c r="B122" s="6">
        <v>795606</v>
      </c>
      <c r="C122" s="6">
        <v>11038</v>
      </c>
      <c r="D122" s="6">
        <v>2200</v>
      </c>
      <c r="E122" s="6">
        <v>828</v>
      </c>
      <c r="F122" s="6">
        <v>744092</v>
      </c>
      <c r="G122" s="6">
        <v>717859</v>
      </c>
      <c r="H122" s="6">
        <v>717859</v>
      </c>
      <c r="I122" s="6">
        <v>263005</v>
      </c>
      <c r="J122" s="6">
        <v>433429</v>
      </c>
      <c r="K122" s="6">
        <v>19108</v>
      </c>
      <c r="L122" s="6">
        <v>2316</v>
      </c>
      <c r="M122" s="6">
        <v>57692</v>
      </c>
      <c r="N122" s="6">
        <v>161489</v>
      </c>
      <c r="O122" s="6">
        <v>158651</v>
      </c>
      <c r="P122" s="6">
        <v>212802</v>
      </c>
      <c r="Q122" s="6">
        <v>47225</v>
      </c>
      <c r="R122" s="6">
        <v>80000</v>
      </c>
      <c r="S122" s="6">
        <v>0</v>
      </c>
      <c r="T122" s="6">
        <v>0</v>
      </c>
      <c r="U122" s="6">
        <v>9387</v>
      </c>
      <c r="V122" s="6">
        <v>-1680</v>
      </c>
      <c r="W122" s="6">
        <v>18500</v>
      </c>
      <c r="X122" s="6">
        <v>27</v>
      </c>
      <c r="Y122" s="6"/>
      <c r="Z122" s="6"/>
      <c r="AA122" s="6"/>
      <c r="AB122" s="6">
        <v>8003</v>
      </c>
      <c r="AC122" s="6">
        <v>1783</v>
      </c>
      <c r="AD122" s="6">
        <v>0</v>
      </c>
      <c r="AE122" s="6">
        <v>20661</v>
      </c>
      <c r="AF122" s="6">
        <v>7001</v>
      </c>
    </row>
    <row r="123" spans="1:32" x14ac:dyDescent="0.35">
      <c r="A123" s="1">
        <v>38406</v>
      </c>
      <c r="B123" s="6">
        <v>804576</v>
      </c>
      <c r="C123" s="6">
        <v>11038</v>
      </c>
      <c r="D123" s="6">
        <v>2200</v>
      </c>
      <c r="E123" s="6">
        <v>810</v>
      </c>
      <c r="F123" s="6">
        <v>750777</v>
      </c>
      <c r="G123" s="6">
        <v>717839</v>
      </c>
      <c r="H123" s="6">
        <v>717839</v>
      </c>
      <c r="I123" s="6">
        <v>263005</v>
      </c>
      <c r="J123" s="6">
        <v>433429</v>
      </c>
      <c r="K123" s="6">
        <v>19108</v>
      </c>
      <c r="L123" s="6">
        <v>2297</v>
      </c>
      <c r="M123" s="6">
        <v>56852</v>
      </c>
      <c r="N123" s="6">
        <v>163184</v>
      </c>
      <c r="O123" s="6">
        <v>157795</v>
      </c>
      <c r="P123" s="6">
        <v>212794</v>
      </c>
      <c r="Q123" s="6">
        <v>50279</v>
      </c>
      <c r="R123" s="6">
        <v>76934</v>
      </c>
      <c r="S123" s="6">
        <v>0</v>
      </c>
      <c r="T123" s="6">
        <v>0</v>
      </c>
      <c r="U123" s="6">
        <v>9359</v>
      </c>
      <c r="V123" s="6">
        <v>-1696</v>
      </c>
      <c r="W123" s="6">
        <v>25250</v>
      </c>
      <c r="X123" s="6">
        <v>24</v>
      </c>
      <c r="Y123" s="6"/>
      <c r="Z123" s="6"/>
      <c r="AA123" s="6"/>
      <c r="AB123" s="6">
        <v>9655</v>
      </c>
      <c r="AC123" s="6">
        <v>1784</v>
      </c>
      <c r="AD123" s="6">
        <v>0</v>
      </c>
      <c r="AE123" s="6">
        <v>20916</v>
      </c>
      <c r="AF123" s="6">
        <v>7396</v>
      </c>
    </row>
    <row r="124" spans="1:32" x14ac:dyDescent="0.35">
      <c r="A124" s="1">
        <v>38413</v>
      </c>
      <c r="B124" s="6">
        <v>801252</v>
      </c>
      <c r="C124" s="6">
        <v>11037</v>
      </c>
      <c r="D124" s="6">
        <v>2200</v>
      </c>
      <c r="E124" s="6">
        <v>793</v>
      </c>
      <c r="F124" s="6">
        <v>749668</v>
      </c>
      <c r="G124" s="6">
        <v>717495</v>
      </c>
      <c r="H124" s="6">
        <v>717495</v>
      </c>
      <c r="I124" s="6">
        <v>263005</v>
      </c>
      <c r="J124" s="6">
        <v>433096</v>
      </c>
      <c r="K124" s="6">
        <v>19108</v>
      </c>
      <c r="L124" s="6">
        <v>2286</v>
      </c>
      <c r="M124" s="6">
        <v>47997</v>
      </c>
      <c r="N124" s="6">
        <v>170674</v>
      </c>
      <c r="O124" s="6">
        <v>158827</v>
      </c>
      <c r="P124" s="6">
        <v>212790</v>
      </c>
      <c r="Q124" s="6">
        <v>50277</v>
      </c>
      <c r="R124" s="6">
        <v>76929</v>
      </c>
      <c r="S124" s="6">
        <v>0</v>
      </c>
      <c r="T124" s="6">
        <v>0</v>
      </c>
      <c r="U124" s="6">
        <v>9332</v>
      </c>
      <c r="V124" s="6">
        <v>-1734</v>
      </c>
      <c r="W124" s="6">
        <v>24250</v>
      </c>
      <c r="X124" s="6">
        <v>325</v>
      </c>
      <c r="Y124" s="6"/>
      <c r="Z124" s="6"/>
      <c r="AA124" s="6"/>
      <c r="AB124" s="6">
        <v>7379</v>
      </c>
      <c r="AC124" s="6">
        <v>1791</v>
      </c>
      <c r="AD124" s="6">
        <v>0</v>
      </c>
      <c r="AE124" s="6">
        <v>20870</v>
      </c>
      <c r="AF124" s="6">
        <v>7514</v>
      </c>
    </row>
    <row r="125" spans="1:32" x14ac:dyDescent="0.35">
      <c r="A125" s="1">
        <v>38420</v>
      </c>
      <c r="B125" s="6">
        <v>799250</v>
      </c>
      <c r="C125" s="6">
        <v>11037</v>
      </c>
      <c r="D125" s="6">
        <v>2200</v>
      </c>
      <c r="E125" s="6">
        <v>773</v>
      </c>
      <c r="F125" s="6">
        <v>747086</v>
      </c>
      <c r="G125" s="6">
        <v>717505</v>
      </c>
      <c r="H125" s="6">
        <v>717505</v>
      </c>
      <c r="I125" s="6">
        <v>263005</v>
      </c>
      <c r="J125" s="6">
        <v>433096</v>
      </c>
      <c r="K125" s="6">
        <v>19108</v>
      </c>
      <c r="L125" s="6">
        <v>2296</v>
      </c>
      <c r="M125" s="6">
        <v>47070</v>
      </c>
      <c r="N125" s="6">
        <v>171518</v>
      </c>
      <c r="O125" s="6">
        <v>158911</v>
      </c>
      <c r="P125" s="6">
        <v>212794</v>
      </c>
      <c r="Q125" s="6">
        <v>50279</v>
      </c>
      <c r="R125" s="6">
        <v>76934</v>
      </c>
      <c r="S125" s="6">
        <v>0</v>
      </c>
      <c r="T125" s="6">
        <v>0</v>
      </c>
      <c r="U125" s="6">
        <v>9304</v>
      </c>
      <c r="V125" s="6">
        <v>-1756</v>
      </c>
      <c r="W125" s="6">
        <v>22000</v>
      </c>
      <c r="X125" s="6">
        <v>32</v>
      </c>
      <c r="Y125" s="6"/>
      <c r="Z125" s="6"/>
      <c r="AA125" s="6"/>
      <c r="AB125" s="6">
        <v>7299</v>
      </c>
      <c r="AC125" s="6">
        <v>1793</v>
      </c>
      <c r="AD125" s="6">
        <v>0</v>
      </c>
      <c r="AE125" s="6">
        <v>21180</v>
      </c>
      <c r="AF125" s="6">
        <v>7881</v>
      </c>
    </row>
    <row r="126" spans="1:32" x14ac:dyDescent="0.35">
      <c r="A126" s="1">
        <v>38427</v>
      </c>
      <c r="B126" s="6">
        <v>807211</v>
      </c>
      <c r="C126" s="6">
        <v>11037</v>
      </c>
      <c r="D126" s="6">
        <v>2200</v>
      </c>
      <c r="E126" s="6">
        <v>746</v>
      </c>
      <c r="F126" s="6">
        <v>755324</v>
      </c>
      <c r="G126" s="6">
        <v>717515</v>
      </c>
      <c r="H126" s="6">
        <v>717515</v>
      </c>
      <c r="I126" s="6">
        <v>263005</v>
      </c>
      <c r="J126" s="6">
        <v>433096</v>
      </c>
      <c r="K126" s="6">
        <v>19108</v>
      </c>
      <c r="L126" s="6">
        <v>2306</v>
      </c>
      <c r="M126" s="6">
        <v>54797</v>
      </c>
      <c r="N126" s="6">
        <v>163608</v>
      </c>
      <c r="O126" s="6">
        <v>159093</v>
      </c>
      <c r="P126" s="6">
        <v>212798</v>
      </c>
      <c r="Q126" s="6">
        <v>50281</v>
      </c>
      <c r="R126" s="6">
        <v>76938</v>
      </c>
      <c r="S126" s="6">
        <v>0</v>
      </c>
      <c r="T126" s="6">
        <v>0</v>
      </c>
      <c r="U126" s="6">
        <v>9277</v>
      </c>
      <c r="V126" s="6">
        <v>-1776</v>
      </c>
      <c r="W126" s="6">
        <v>30250</v>
      </c>
      <c r="X126" s="6">
        <v>58</v>
      </c>
      <c r="Y126" s="6"/>
      <c r="Z126" s="6"/>
      <c r="AA126" s="6"/>
      <c r="AB126" s="6">
        <v>6654</v>
      </c>
      <c r="AC126" s="6">
        <v>1797</v>
      </c>
      <c r="AD126" s="6">
        <v>0</v>
      </c>
      <c r="AE126" s="6">
        <v>21201</v>
      </c>
      <c r="AF126" s="6">
        <v>8251</v>
      </c>
    </row>
    <row r="127" spans="1:32" x14ac:dyDescent="0.35">
      <c r="A127" s="1">
        <v>38434</v>
      </c>
      <c r="B127" s="6">
        <v>797094</v>
      </c>
      <c r="C127" s="6">
        <v>11037</v>
      </c>
      <c r="D127" s="6">
        <v>2200</v>
      </c>
      <c r="E127" s="6">
        <v>730</v>
      </c>
      <c r="F127" s="6">
        <v>744273</v>
      </c>
      <c r="G127" s="6">
        <v>717526</v>
      </c>
      <c r="H127" s="6">
        <v>717526</v>
      </c>
      <c r="I127" s="6">
        <v>263005</v>
      </c>
      <c r="J127" s="6">
        <v>433096</v>
      </c>
      <c r="K127" s="6">
        <v>19108</v>
      </c>
      <c r="L127" s="6">
        <v>2316</v>
      </c>
      <c r="M127" s="6">
        <v>54765</v>
      </c>
      <c r="N127" s="6">
        <v>163118</v>
      </c>
      <c r="O127" s="6">
        <v>159615</v>
      </c>
      <c r="P127" s="6">
        <v>212802</v>
      </c>
      <c r="Q127" s="6">
        <v>50283</v>
      </c>
      <c r="R127" s="6">
        <v>76943</v>
      </c>
      <c r="S127" s="6">
        <v>0</v>
      </c>
      <c r="T127" s="6">
        <v>0</v>
      </c>
      <c r="U127" s="6">
        <v>9249</v>
      </c>
      <c r="V127" s="6">
        <v>-1795</v>
      </c>
      <c r="W127" s="6">
        <v>19250</v>
      </c>
      <c r="X127" s="6">
        <v>43</v>
      </c>
      <c r="Y127" s="6"/>
      <c r="Z127" s="6"/>
      <c r="AA127" s="6"/>
      <c r="AB127" s="6">
        <v>7721</v>
      </c>
      <c r="AC127" s="6">
        <v>1801</v>
      </c>
      <c r="AD127" s="6">
        <v>0</v>
      </c>
      <c r="AE127" s="6">
        <v>20687</v>
      </c>
      <c r="AF127" s="6">
        <v>8646</v>
      </c>
    </row>
    <row r="128" spans="1:32" x14ac:dyDescent="0.35">
      <c r="A128" s="1">
        <v>38441</v>
      </c>
      <c r="B128" s="6">
        <v>807551</v>
      </c>
      <c r="C128" s="6">
        <v>11037</v>
      </c>
      <c r="D128" s="6">
        <v>2200</v>
      </c>
      <c r="E128" s="6">
        <v>713</v>
      </c>
      <c r="F128" s="6">
        <v>756756</v>
      </c>
      <c r="G128" s="6">
        <v>717536</v>
      </c>
      <c r="H128" s="6">
        <v>717536</v>
      </c>
      <c r="I128" s="6">
        <v>263005</v>
      </c>
      <c r="J128" s="6">
        <v>433096</v>
      </c>
      <c r="K128" s="6">
        <v>19108</v>
      </c>
      <c r="L128" s="6">
        <v>2326</v>
      </c>
      <c r="M128" s="6">
        <v>54851</v>
      </c>
      <c r="N128" s="6">
        <v>162697</v>
      </c>
      <c r="O128" s="6">
        <v>159950</v>
      </c>
      <c r="P128" s="6">
        <v>212806</v>
      </c>
      <c r="Q128" s="6">
        <v>50284</v>
      </c>
      <c r="R128" s="6">
        <v>76947</v>
      </c>
      <c r="S128" s="6">
        <v>0</v>
      </c>
      <c r="T128" s="6">
        <v>0</v>
      </c>
      <c r="U128" s="6">
        <v>9222</v>
      </c>
      <c r="V128" s="6">
        <v>-1813</v>
      </c>
      <c r="W128" s="6">
        <v>31750</v>
      </c>
      <c r="X128" s="6">
        <v>62</v>
      </c>
      <c r="Y128" s="6"/>
      <c r="Z128" s="6"/>
      <c r="AA128" s="6"/>
      <c r="AB128" s="6">
        <v>5529</v>
      </c>
      <c r="AC128" s="6">
        <v>1806</v>
      </c>
      <c r="AD128" s="6">
        <v>0</v>
      </c>
      <c r="AE128" s="6">
        <v>20507</v>
      </c>
      <c r="AF128" s="6">
        <v>9003</v>
      </c>
    </row>
    <row r="129" spans="1:32" x14ac:dyDescent="0.35">
      <c r="A129" s="1">
        <v>38448</v>
      </c>
      <c r="B129" s="6">
        <v>797327</v>
      </c>
      <c r="C129" s="6">
        <v>11037</v>
      </c>
      <c r="D129" s="6">
        <v>2200</v>
      </c>
      <c r="E129" s="6">
        <v>720</v>
      </c>
      <c r="F129" s="6">
        <v>744767</v>
      </c>
      <c r="G129" s="6">
        <v>717351</v>
      </c>
      <c r="H129" s="6">
        <v>717351</v>
      </c>
      <c r="I129" s="6">
        <v>263005</v>
      </c>
      <c r="J129" s="6">
        <v>432885</v>
      </c>
      <c r="K129" s="6">
        <v>19108</v>
      </c>
      <c r="L129" s="6">
        <v>2352</v>
      </c>
      <c r="M129" s="6">
        <v>47012</v>
      </c>
      <c r="N129" s="6">
        <v>170291</v>
      </c>
      <c r="O129" s="6">
        <v>160318</v>
      </c>
      <c r="P129" s="6">
        <v>212482</v>
      </c>
      <c r="Q129" s="6">
        <v>50289</v>
      </c>
      <c r="R129" s="6">
        <v>76959</v>
      </c>
      <c r="S129" s="6">
        <v>0</v>
      </c>
      <c r="T129" s="6">
        <v>0</v>
      </c>
      <c r="U129" s="6">
        <v>9194</v>
      </c>
      <c r="V129" s="6">
        <v>-1844</v>
      </c>
      <c r="W129" s="6">
        <v>20000</v>
      </c>
      <c r="X129" s="6">
        <v>65</v>
      </c>
      <c r="Y129" s="6"/>
      <c r="Z129" s="6"/>
      <c r="AA129" s="6"/>
      <c r="AB129" s="6">
        <v>7349</v>
      </c>
      <c r="AC129" s="6">
        <v>1802</v>
      </c>
      <c r="AD129" s="6">
        <v>0</v>
      </c>
      <c r="AE129" s="6">
        <v>20335</v>
      </c>
      <c r="AF129" s="6">
        <v>9117</v>
      </c>
    </row>
    <row r="130" spans="1:32" x14ac:dyDescent="0.35">
      <c r="A130" s="1">
        <v>38455</v>
      </c>
      <c r="B130" s="6">
        <v>805707</v>
      </c>
      <c r="C130" s="6">
        <v>11037</v>
      </c>
      <c r="D130" s="6">
        <v>2200</v>
      </c>
      <c r="E130" s="6">
        <v>725</v>
      </c>
      <c r="F130" s="6">
        <v>753023</v>
      </c>
      <c r="G130" s="6">
        <v>717380</v>
      </c>
      <c r="H130" s="6">
        <v>717380</v>
      </c>
      <c r="I130" s="6">
        <v>263005</v>
      </c>
      <c r="J130" s="6">
        <v>432885</v>
      </c>
      <c r="K130" s="6">
        <v>19108</v>
      </c>
      <c r="L130" s="6">
        <v>2381</v>
      </c>
      <c r="M130" s="6">
        <v>47907</v>
      </c>
      <c r="N130" s="6">
        <v>169735</v>
      </c>
      <c r="O130" s="6">
        <v>159979</v>
      </c>
      <c r="P130" s="6">
        <v>212493</v>
      </c>
      <c r="Q130" s="6">
        <v>50294</v>
      </c>
      <c r="R130" s="6">
        <v>76971</v>
      </c>
      <c r="S130" s="6">
        <v>0</v>
      </c>
      <c r="T130" s="6">
        <v>0</v>
      </c>
      <c r="U130" s="6">
        <v>9167</v>
      </c>
      <c r="V130" s="6">
        <v>-1850</v>
      </c>
      <c r="W130" s="6">
        <v>28250</v>
      </c>
      <c r="X130" s="6">
        <v>76</v>
      </c>
      <c r="Y130" s="6"/>
      <c r="Z130" s="6"/>
      <c r="AA130" s="6"/>
      <c r="AB130" s="6">
        <v>6877</v>
      </c>
      <c r="AC130" s="6">
        <v>1803</v>
      </c>
      <c r="AD130" s="6">
        <v>0</v>
      </c>
      <c r="AE130" s="6">
        <v>20495</v>
      </c>
      <c r="AF130" s="6">
        <v>9547</v>
      </c>
    </row>
    <row r="131" spans="1:32" x14ac:dyDescent="0.35">
      <c r="A131" s="1">
        <v>38462</v>
      </c>
      <c r="B131" s="6">
        <v>801793</v>
      </c>
      <c r="C131" s="6">
        <v>11037</v>
      </c>
      <c r="D131" s="6">
        <v>2200</v>
      </c>
      <c r="E131" s="6">
        <v>716</v>
      </c>
      <c r="F131" s="6">
        <v>748537</v>
      </c>
      <c r="G131" s="6">
        <v>717409</v>
      </c>
      <c r="H131" s="6">
        <v>717409</v>
      </c>
      <c r="I131" s="6">
        <v>263005</v>
      </c>
      <c r="J131" s="6">
        <v>432885</v>
      </c>
      <c r="K131" s="6">
        <v>19108</v>
      </c>
      <c r="L131" s="6">
        <v>2410</v>
      </c>
      <c r="M131" s="6">
        <v>58118</v>
      </c>
      <c r="N131" s="6">
        <v>159809</v>
      </c>
      <c r="O131" s="6">
        <v>159694</v>
      </c>
      <c r="P131" s="6">
        <v>212919</v>
      </c>
      <c r="Q131" s="6">
        <v>49885</v>
      </c>
      <c r="R131" s="6">
        <v>76984</v>
      </c>
      <c r="S131" s="6">
        <v>0</v>
      </c>
      <c r="T131" s="6">
        <v>0</v>
      </c>
      <c r="U131" s="6">
        <v>9139</v>
      </c>
      <c r="V131" s="6">
        <v>-1849</v>
      </c>
      <c r="W131" s="6">
        <v>23750</v>
      </c>
      <c r="X131" s="6">
        <v>88</v>
      </c>
      <c r="Y131" s="6"/>
      <c r="Z131" s="6"/>
      <c r="AA131" s="6"/>
      <c r="AB131" s="6">
        <v>7210</v>
      </c>
      <c r="AC131" s="6">
        <v>1805</v>
      </c>
      <c r="AD131" s="6">
        <v>0</v>
      </c>
      <c r="AE131" s="6">
        <v>20689</v>
      </c>
      <c r="AF131" s="6">
        <v>9599</v>
      </c>
    </row>
    <row r="132" spans="1:32" x14ac:dyDescent="0.35">
      <c r="A132" s="1">
        <v>38469</v>
      </c>
      <c r="B132" s="6">
        <v>809797</v>
      </c>
      <c r="C132" s="6">
        <v>11037</v>
      </c>
      <c r="D132" s="6">
        <v>2200</v>
      </c>
      <c r="E132" s="6">
        <v>710</v>
      </c>
      <c r="F132" s="6">
        <v>756742</v>
      </c>
      <c r="G132" s="6">
        <v>718638</v>
      </c>
      <c r="H132" s="6">
        <v>718638</v>
      </c>
      <c r="I132" s="6">
        <v>263005</v>
      </c>
      <c r="J132" s="6">
        <v>434085</v>
      </c>
      <c r="K132" s="6">
        <v>19108</v>
      </c>
      <c r="L132" s="6">
        <v>2439</v>
      </c>
      <c r="M132" s="6">
        <v>59781</v>
      </c>
      <c r="N132" s="6">
        <v>158808</v>
      </c>
      <c r="O132" s="6">
        <v>159032</v>
      </c>
      <c r="P132" s="6">
        <v>214130</v>
      </c>
      <c r="Q132" s="6">
        <v>49890</v>
      </c>
      <c r="R132" s="6">
        <v>76996</v>
      </c>
      <c r="S132" s="6">
        <v>0</v>
      </c>
      <c r="T132" s="6">
        <v>0</v>
      </c>
      <c r="U132" s="6">
        <v>9108</v>
      </c>
      <c r="V132" s="6">
        <v>-1859</v>
      </c>
      <c r="W132" s="6">
        <v>30750</v>
      </c>
      <c r="X132" s="6">
        <v>105</v>
      </c>
      <c r="Y132" s="6"/>
      <c r="Z132" s="6"/>
      <c r="AA132" s="6"/>
      <c r="AB132" s="6">
        <v>6649</v>
      </c>
      <c r="AC132" s="6">
        <v>1809</v>
      </c>
      <c r="AD132" s="6">
        <v>0</v>
      </c>
      <c r="AE132" s="6">
        <v>20636</v>
      </c>
      <c r="AF132" s="6">
        <v>10013</v>
      </c>
    </row>
    <row r="133" spans="1:32" x14ac:dyDescent="0.35">
      <c r="A133" s="1">
        <v>38476</v>
      </c>
      <c r="B133" s="6">
        <v>802412</v>
      </c>
      <c r="C133" s="6">
        <v>11037</v>
      </c>
      <c r="D133" s="6">
        <v>2200</v>
      </c>
      <c r="E133" s="6">
        <v>688</v>
      </c>
      <c r="F133" s="6">
        <v>748287</v>
      </c>
      <c r="G133" s="6">
        <v>719372</v>
      </c>
      <c r="H133" s="6">
        <v>719372</v>
      </c>
      <c r="I133" s="6">
        <v>263005</v>
      </c>
      <c r="J133" s="6">
        <v>434785</v>
      </c>
      <c r="K133" s="6">
        <v>19108</v>
      </c>
      <c r="L133" s="6">
        <v>2473</v>
      </c>
      <c r="M133" s="6">
        <v>63851</v>
      </c>
      <c r="N133" s="6">
        <v>153048</v>
      </c>
      <c r="O133" s="6">
        <v>161061</v>
      </c>
      <c r="P133" s="6">
        <v>213805</v>
      </c>
      <c r="Q133" s="6">
        <v>50365</v>
      </c>
      <c r="R133" s="6">
        <v>77241</v>
      </c>
      <c r="S133" s="6">
        <v>0</v>
      </c>
      <c r="T133" s="6">
        <v>0</v>
      </c>
      <c r="U133" s="6">
        <v>9141</v>
      </c>
      <c r="V133" s="6">
        <v>-1850</v>
      </c>
      <c r="W133" s="6">
        <v>21500</v>
      </c>
      <c r="X133" s="6">
        <v>124</v>
      </c>
      <c r="Y133" s="6"/>
      <c r="Z133" s="6"/>
      <c r="AA133" s="6"/>
      <c r="AB133" s="6">
        <v>7545</v>
      </c>
      <c r="AC133" s="6">
        <v>1810</v>
      </c>
      <c r="AD133" s="6">
        <v>0</v>
      </c>
      <c r="AE133" s="6">
        <v>20742</v>
      </c>
      <c r="AF133" s="6">
        <v>10102</v>
      </c>
    </row>
    <row r="134" spans="1:32" x14ac:dyDescent="0.35">
      <c r="A134" s="1">
        <v>38483</v>
      </c>
      <c r="B134" s="6">
        <v>808378</v>
      </c>
      <c r="C134" s="6">
        <v>11037</v>
      </c>
      <c r="D134" s="6">
        <v>2200</v>
      </c>
      <c r="E134" s="6">
        <v>675</v>
      </c>
      <c r="F134" s="6">
        <v>754990</v>
      </c>
      <c r="G134" s="6">
        <v>721565</v>
      </c>
      <c r="H134" s="6">
        <v>721565</v>
      </c>
      <c r="I134" s="6">
        <v>264263</v>
      </c>
      <c r="J134" s="6">
        <v>435683</v>
      </c>
      <c r="K134" s="6">
        <v>19108</v>
      </c>
      <c r="L134" s="6">
        <v>2511</v>
      </c>
      <c r="M134" s="6">
        <v>64301</v>
      </c>
      <c r="N134" s="6">
        <v>154816</v>
      </c>
      <c r="O134" s="6">
        <v>160101</v>
      </c>
      <c r="P134" s="6">
        <v>213945</v>
      </c>
      <c r="Q134" s="6">
        <v>51144</v>
      </c>
      <c r="R134" s="6">
        <v>77258</v>
      </c>
      <c r="S134" s="6">
        <v>0</v>
      </c>
      <c r="T134" s="6">
        <v>0</v>
      </c>
      <c r="U134" s="6">
        <v>9139</v>
      </c>
      <c r="V134" s="6">
        <v>-1852</v>
      </c>
      <c r="W134" s="6">
        <v>26000</v>
      </c>
      <c r="X134" s="6">
        <v>138</v>
      </c>
      <c r="Y134" s="6"/>
      <c r="Z134" s="6"/>
      <c r="AA134" s="6"/>
      <c r="AB134" s="6">
        <v>6600</v>
      </c>
      <c r="AC134" s="6">
        <v>1814</v>
      </c>
      <c r="AD134" s="6">
        <v>0</v>
      </c>
      <c r="AE134" s="6">
        <v>20545</v>
      </c>
      <c r="AF134" s="6">
        <v>10517</v>
      </c>
    </row>
    <row r="135" spans="1:32" x14ac:dyDescent="0.35">
      <c r="A135" s="1">
        <v>38490</v>
      </c>
      <c r="B135" s="6">
        <v>801546</v>
      </c>
      <c r="C135" s="6">
        <v>11037</v>
      </c>
      <c r="D135" s="6">
        <v>2200</v>
      </c>
      <c r="E135" s="6">
        <v>656</v>
      </c>
      <c r="F135" s="6">
        <v>752751</v>
      </c>
      <c r="G135" s="6">
        <v>721629</v>
      </c>
      <c r="H135" s="6">
        <v>721629</v>
      </c>
      <c r="I135" s="6">
        <v>264288</v>
      </c>
      <c r="J135" s="6">
        <v>435683</v>
      </c>
      <c r="K135" s="6">
        <v>19108</v>
      </c>
      <c r="L135" s="6">
        <v>2549</v>
      </c>
      <c r="M135" s="6">
        <v>61702</v>
      </c>
      <c r="N135" s="6">
        <v>153168</v>
      </c>
      <c r="O135" s="6">
        <v>161583</v>
      </c>
      <c r="P135" s="6">
        <v>214280</v>
      </c>
      <c r="Q135" s="6">
        <v>53621</v>
      </c>
      <c r="R135" s="6">
        <v>77275</v>
      </c>
      <c r="S135" s="6">
        <v>0</v>
      </c>
      <c r="T135" s="6">
        <v>0</v>
      </c>
      <c r="U135" s="6">
        <v>9113</v>
      </c>
      <c r="V135" s="6">
        <v>-1882</v>
      </c>
      <c r="W135" s="6">
        <v>23750</v>
      </c>
      <c r="X135" s="6">
        <v>141</v>
      </c>
      <c r="Y135" s="6"/>
      <c r="Z135" s="6"/>
      <c r="AA135" s="6"/>
      <c r="AB135" s="6">
        <v>5494</v>
      </c>
      <c r="AC135" s="6">
        <v>1815</v>
      </c>
      <c r="AD135" s="6">
        <v>0</v>
      </c>
      <c r="AE135" s="6">
        <v>20311</v>
      </c>
      <c r="AF135" s="6">
        <v>7282</v>
      </c>
    </row>
    <row r="136" spans="1:32" x14ac:dyDescent="0.35">
      <c r="A136" s="1">
        <v>38497</v>
      </c>
      <c r="B136" s="6">
        <v>810160</v>
      </c>
      <c r="C136" s="6">
        <v>11037</v>
      </c>
      <c r="D136" s="6">
        <v>2200</v>
      </c>
      <c r="E136" s="6">
        <v>633</v>
      </c>
      <c r="F136" s="6">
        <v>761346</v>
      </c>
      <c r="G136" s="6">
        <v>722992</v>
      </c>
      <c r="H136" s="6">
        <v>722992</v>
      </c>
      <c r="I136" s="6">
        <v>264515</v>
      </c>
      <c r="J136" s="6">
        <v>436781</v>
      </c>
      <c r="K136" s="6">
        <v>19108</v>
      </c>
      <c r="L136" s="6">
        <v>2587</v>
      </c>
      <c r="M136" s="6">
        <v>62611</v>
      </c>
      <c r="N136" s="6">
        <v>153140</v>
      </c>
      <c r="O136" s="6">
        <v>160928</v>
      </c>
      <c r="P136" s="6">
        <v>215344</v>
      </c>
      <c r="Q136" s="6">
        <v>53677</v>
      </c>
      <c r="R136" s="6">
        <v>77291</v>
      </c>
      <c r="S136" s="6">
        <v>0</v>
      </c>
      <c r="T136" s="6">
        <v>0</v>
      </c>
      <c r="U136" s="6">
        <v>9105</v>
      </c>
      <c r="V136" s="6">
        <v>-1900</v>
      </c>
      <c r="W136" s="6">
        <v>31000</v>
      </c>
      <c r="X136" s="6">
        <v>149</v>
      </c>
      <c r="Y136" s="6"/>
      <c r="Z136" s="6"/>
      <c r="AA136" s="6"/>
      <c r="AB136" s="6">
        <v>5210</v>
      </c>
      <c r="AC136" s="6">
        <v>1818</v>
      </c>
      <c r="AD136" s="6">
        <v>0</v>
      </c>
      <c r="AE136" s="6">
        <v>20208</v>
      </c>
      <c r="AF136" s="6">
        <v>7708</v>
      </c>
    </row>
    <row r="137" spans="1:32" x14ac:dyDescent="0.35">
      <c r="A137" s="1">
        <v>38504</v>
      </c>
      <c r="B137" s="6">
        <v>817335</v>
      </c>
      <c r="C137" s="6">
        <v>11037</v>
      </c>
      <c r="D137" s="6">
        <v>2200</v>
      </c>
      <c r="E137" s="6">
        <v>602</v>
      </c>
      <c r="F137" s="6">
        <v>764476</v>
      </c>
      <c r="G137" s="6">
        <v>725426</v>
      </c>
      <c r="H137" s="6">
        <v>725426</v>
      </c>
      <c r="I137" s="6">
        <v>265015</v>
      </c>
      <c r="J137" s="6">
        <v>438678</v>
      </c>
      <c r="K137" s="6">
        <v>19108</v>
      </c>
      <c r="L137" s="6">
        <v>2625</v>
      </c>
      <c r="M137" s="6">
        <v>55701</v>
      </c>
      <c r="N137" s="6">
        <v>153864</v>
      </c>
      <c r="O137" s="6">
        <v>167571</v>
      </c>
      <c r="P137" s="6">
        <v>216525</v>
      </c>
      <c r="Q137" s="6">
        <v>53758</v>
      </c>
      <c r="R137" s="6">
        <v>78008</v>
      </c>
      <c r="S137" s="6">
        <v>0</v>
      </c>
      <c r="T137" s="6">
        <v>0</v>
      </c>
      <c r="U137" s="6">
        <v>9339</v>
      </c>
      <c r="V137" s="6">
        <v>-1933</v>
      </c>
      <c r="W137" s="6">
        <v>31500</v>
      </c>
      <c r="X137" s="6">
        <v>144</v>
      </c>
      <c r="Y137" s="6"/>
      <c r="Z137" s="6"/>
      <c r="AA137" s="6"/>
      <c r="AB137" s="6">
        <v>9515</v>
      </c>
      <c r="AC137" s="6">
        <v>1817</v>
      </c>
      <c r="AD137" s="6">
        <v>0</v>
      </c>
      <c r="AE137" s="6">
        <v>19822</v>
      </c>
      <c r="AF137" s="6">
        <v>7865</v>
      </c>
    </row>
    <row r="138" spans="1:32" x14ac:dyDescent="0.35">
      <c r="A138" s="1">
        <v>38511</v>
      </c>
      <c r="B138" s="6">
        <v>814172</v>
      </c>
      <c r="C138" s="6">
        <v>11037</v>
      </c>
      <c r="D138" s="6">
        <v>2200</v>
      </c>
      <c r="E138" s="6">
        <v>612</v>
      </c>
      <c r="F138" s="6">
        <v>763478</v>
      </c>
      <c r="G138" s="6">
        <v>725460</v>
      </c>
      <c r="H138" s="6">
        <v>725460</v>
      </c>
      <c r="I138" s="6">
        <v>265015</v>
      </c>
      <c r="J138" s="6">
        <v>438678</v>
      </c>
      <c r="K138" s="6">
        <v>19108</v>
      </c>
      <c r="L138" s="6">
        <v>2659</v>
      </c>
      <c r="M138" s="6">
        <v>54615</v>
      </c>
      <c r="N138" s="6">
        <v>162630</v>
      </c>
      <c r="O138" s="6">
        <v>159891</v>
      </c>
      <c r="P138" s="6">
        <v>216538</v>
      </c>
      <c r="Q138" s="6">
        <v>53764</v>
      </c>
      <c r="R138" s="6">
        <v>78023</v>
      </c>
      <c r="S138" s="6">
        <v>0</v>
      </c>
      <c r="T138" s="6">
        <v>0</v>
      </c>
      <c r="U138" s="6">
        <v>9314</v>
      </c>
      <c r="V138" s="6">
        <v>-1946</v>
      </c>
      <c r="W138" s="6">
        <v>30500</v>
      </c>
      <c r="X138" s="6">
        <v>149</v>
      </c>
      <c r="Y138" s="6"/>
      <c r="Z138" s="6"/>
      <c r="AA138" s="6"/>
      <c r="AB138" s="6">
        <v>6737</v>
      </c>
      <c r="AC138" s="6">
        <v>1821</v>
      </c>
      <c r="AD138" s="6">
        <v>0</v>
      </c>
      <c r="AE138" s="6">
        <v>20032</v>
      </c>
      <c r="AF138" s="6">
        <v>8255</v>
      </c>
    </row>
    <row r="139" spans="1:32" x14ac:dyDescent="0.35">
      <c r="A139" s="1">
        <v>38518</v>
      </c>
      <c r="B139" s="6">
        <v>811198</v>
      </c>
      <c r="C139" s="6">
        <v>11037</v>
      </c>
      <c r="D139" s="6">
        <v>2200</v>
      </c>
      <c r="E139" s="6">
        <v>629</v>
      </c>
      <c r="F139" s="6">
        <v>761973</v>
      </c>
      <c r="G139" s="6">
        <v>725495</v>
      </c>
      <c r="H139" s="6">
        <v>725495</v>
      </c>
      <c r="I139" s="6">
        <v>265015</v>
      </c>
      <c r="J139" s="6">
        <v>438678</v>
      </c>
      <c r="K139" s="6">
        <v>19108</v>
      </c>
      <c r="L139" s="6">
        <v>2693</v>
      </c>
      <c r="M139" s="6">
        <v>61853</v>
      </c>
      <c r="N139" s="6">
        <v>155574</v>
      </c>
      <c r="O139" s="6">
        <v>159709</v>
      </c>
      <c r="P139" s="6">
        <v>216552</v>
      </c>
      <c r="Q139" s="6">
        <v>53769</v>
      </c>
      <c r="R139" s="6">
        <v>78038</v>
      </c>
      <c r="S139" s="6">
        <v>0</v>
      </c>
      <c r="T139" s="6">
        <v>0</v>
      </c>
      <c r="U139" s="6">
        <v>9288</v>
      </c>
      <c r="V139" s="6">
        <v>-1961</v>
      </c>
      <c r="W139" s="6">
        <v>29000</v>
      </c>
      <c r="X139" s="6">
        <v>151</v>
      </c>
      <c r="Y139" s="6"/>
      <c r="Z139" s="6"/>
      <c r="AA139" s="6"/>
      <c r="AB139" s="6">
        <v>5333</v>
      </c>
      <c r="AC139" s="6">
        <v>1823</v>
      </c>
      <c r="AD139" s="6">
        <v>0</v>
      </c>
      <c r="AE139" s="6">
        <v>19644</v>
      </c>
      <c r="AF139" s="6">
        <v>8559</v>
      </c>
    </row>
    <row r="140" spans="1:32" x14ac:dyDescent="0.35">
      <c r="A140" s="1">
        <v>38525</v>
      </c>
      <c r="B140" s="6">
        <v>810429</v>
      </c>
      <c r="C140" s="6">
        <v>11037</v>
      </c>
      <c r="D140" s="6">
        <v>2200</v>
      </c>
      <c r="E140" s="6">
        <v>642</v>
      </c>
      <c r="F140" s="6">
        <v>759765</v>
      </c>
      <c r="G140" s="6">
        <v>725987</v>
      </c>
      <c r="H140" s="6">
        <v>725987</v>
      </c>
      <c r="I140" s="6">
        <v>265015</v>
      </c>
      <c r="J140" s="6">
        <v>438678</v>
      </c>
      <c r="K140" s="6">
        <v>19533</v>
      </c>
      <c r="L140" s="6">
        <v>2760</v>
      </c>
      <c r="M140" s="6">
        <v>61540</v>
      </c>
      <c r="N140" s="6">
        <v>156020</v>
      </c>
      <c r="O140" s="6">
        <v>159576</v>
      </c>
      <c r="P140" s="6">
        <v>216566</v>
      </c>
      <c r="Q140" s="6">
        <v>54145</v>
      </c>
      <c r="R140" s="6">
        <v>78140</v>
      </c>
      <c r="S140" s="6">
        <v>0</v>
      </c>
      <c r="T140" s="6">
        <v>0</v>
      </c>
      <c r="U140" s="6">
        <v>9305</v>
      </c>
      <c r="V140" s="6">
        <v>-1973</v>
      </c>
      <c r="W140" s="6">
        <v>26250</v>
      </c>
      <c r="X140" s="6">
        <v>197</v>
      </c>
      <c r="Y140" s="6"/>
      <c r="Z140" s="6"/>
      <c r="AA140" s="6"/>
      <c r="AB140" s="6">
        <v>5819</v>
      </c>
      <c r="AC140" s="6">
        <v>1829</v>
      </c>
      <c r="AD140" s="6">
        <v>0</v>
      </c>
      <c r="AE140" s="6">
        <v>19707</v>
      </c>
      <c r="AF140" s="6">
        <v>9431</v>
      </c>
    </row>
    <row r="141" spans="1:32" x14ac:dyDescent="0.35">
      <c r="A141" s="1">
        <v>38532</v>
      </c>
      <c r="B141" s="6">
        <v>810082</v>
      </c>
      <c r="C141" s="6">
        <v>11037</v>
      </c>
      <c r="D141" s="6">
        <v>2200</v>
      </c>
      <c r="E141" s="6">
        <v>627</v>
      </c>
      <c r="F141" s="6">
        <v>759565</v>
      </c>
      <c r="G141" s="6">
        <v>726022</v>
      </c>
      <c r="H141" s="6">
        <v>726022</v>
      </c>
      <c r="I141" s="6">
        <v>265015</v>
      </c>
      <c r="J141" s="6">
        <v>438678</v>
      </c>
      <c r="K141" s="6">
        <v>19533</v>
      </c>
      <c r="L141" s="6">
        <v>2795</v>
      </c>
      <c r="M141" s="6">
        <v>60564</v>
      </c>
      <c r="N141" s="6">
        <v>157412</v>
      </c>
      <c r="O141" s="6">
        <v>159160</v>
      </c>
      <c r="P141" s="6">
        <v>216580</v>
      </c>
      <c r="Q141" s="6">
        <v>54151</v>
      </c>
      <c r="R141" s="6">
        <v>78155</v>
      </c>
      <c r="S141" s="6">
        <v>0</v>
      </c>
      <c r="T141" s="6">
        <v>0</v>
      </c>
      <c r="U141" s="6">
        <v>9279</v>
      </c>
      <c r="V141" s="6">
        <v>-1982</v>
      </c>
      <c r="W141" s="6">
        <v>26000</v>
      </c>
      <c r="X141" s="6">
        <v>247</v>
      </c>
      <c r="Y141" s="6"/>
      <c r="Z141" s="6"/>
      <c r="AA141" s="6"/>
      <c r="AB141" s="6">
        <v>5859</v>
      </c>
      <c r="AC141" s="6">
        <v>1831</v>
      </c>
      <c r="AD141" s="6">
        <v>0</v>
      </c>
      <c r="AE141" s="6">
        <v>19577</v>
      </c>
      <c r="AF141" s="6">
        <v>9384</v>
      </c>
    </row>
    <row r="142" spans="1:32" x14ac:dyDescent="0.35">
      <c r="A142" s="1">
        <v>38539</v>
      </c>
      <c r="B142" s="6">
        <v>821556</v>
      </c>
      <c r="C142" s="6">
        <v>11037</v>
      </c>
      <c r="D142" s="6">
        <v>2200</v>
      </c>
      <c r="E142" s="6">
        <v>608</v>
      </c>
      <c r="F142" s="6">
        <v>766198</v>
      </c>
      <c r="G142" s="6">
        <v>724717</v>
      </c>
      <c r="H142" s="6">
        <v>724717</v>
      </c>
      <c r="I142" s="6">
        <v>265015</v>
      </c>
      <c r="J142" s="6">
        <v>437374</v>
      </c>
      <c r="K142" s="6">
        <v>19533</v>
      </c>
      <c r="L142" s="6">
        <v>2796</v>
      </c>
      <c r="M142" s="6">
        <v>51553</v>
      </c>
      <c r="N142" s="6">
        <v>165271</v>
      </c>
      <c r="O142" s="6">
        <v>160338</v>
      </c>
      <c r="P142" s="6">
        <v>215250</v>
      </c>
      <c r="Q142" s="6">
        <v>54151</v>
      </c>
      <c r="R142" s="6">
        <v>78156</v>
      </c>
      <c r="S142" s="6">
        <v>0</v>
      </c>
      <c r="T142" s="6">
        <v>0</v>
      </c>
      <c r="U142" s="6">
        <v>9253</v>
      </c>
      <c r="V142" s="6">
        <v>-1995</v>
      </c>
      <c r="W142" s="6">
        <v>34000</v>
      </c>
      <c r="X142" s="6">
        <v>222</v>
      </c>
      <c r="Y142" s="6"/>
      <c r="Z142" s="6"/>
      <c r="AA142" s="6"/>
      <c r="AB142" s="6">
        <v>10918</v>
      </c>
      <c r="AC142" s="6">
        <v>1816</v>
      </c>
      <c r="AD142" s="6">
        <v>0</v>
      </c>
      <c r="AE142" s="6">
        <v>19279</v>
      </c>
      <c r="AF142" s="6">
        <v>9501</v>
      </c>
    </row>
    <row r="143" spans="1:32" x14ac:dyDescent="0.35">
      <c r="A143" s="1">
        <v>38546</v>
      </c>
      <c r="B143" s="6">
        <v>808861</v>
      </c>
      <c r="C143" s="6">
        <v>11037</v>
      </c>
      <c r="D143" s="6">
        <v>2200</v>
      </c>
      <c r="E143" s="6">
        <v>612</v>
      </c>
      <c r="F143" s="6">
        <v>757420</v>
      </c>
      <c r="G143" s="6">
        <v>724712</v>
      </c>
      <c r="H143" s="6">
        <v>724712</v>
      </c>
      <c r="I143" s="6">
        <v>265015</v>
      </c>
      <c r="J143" s="6">
        <v>437374</v>
      </c>
      <c r="K143" s="6">
        <v>19533</v>
      </c>
      <c r="L143" s="6">
        <v>2790</v>
      </c>
      <c r="M143" s="6">
        <v>50577</v>
      </c>
      <c r="N143" s="6">
        <v>166206</v>
      </c>
      <c r="O143" s="6">
        <v>160378</v>
      </c>
      <c r="P143" s="6">
        <v>215248</v>
      </c>
      <c r="Q143" s="6">
        <v>54150</v>
      </c>
      <c r="R143" s="6">
        <v>78153</v>
      </c>
      <c r="S143" s="6">
        <v>0</v>
      </c>
      <c r="T143" s="6">
        <v>0</v>
      </c>
      <c r="U143" s="6">
        <v>9228</v>
      </c>
      <c r="V143" s="6">
        <v>-2008</v>
      </c>
      <c r="W143" s="6">
        <v>25250</v>
      </c>
      <c r="X143" s="6">
        <v>238</v>
      </c>
      <c r="Y143" s="6"/>
      <c r="Z143" s="6"/>
      <c r="AA143" s="6"/>
      <c r="AB143" s="6">
        <v>6442</v>
      </c>
      <c r="AC143" s="6">
        <v>1814</v>
      </c>
      <c r="AD143" s="6">
        <v>0</v>
      </c>
      <c r="AE143" s="6">
        <v>19440</v>
      </c>
      <c r="AF143" s="6">
        <v>9897</v>
      </c>
    </row>
    <row r="144" spans="1:32" x14ac:dyDescent="0.35">
      <c r="A144" s="1">
        <v>38553</v>
      </c>
      <c r="B144" s="6">
        <v>816804</v>
      </c>
      <c r="C144" s="6">
        <v>11037</v>
      </c>
      <c r="D144" s="6">
        <v>2200</v>
      </c>
      <c r="E144" s="6">
        <v>620</v>
      </c>
      <c r="F144" s="6">
        <v>766627</v>
      </c>
      <c r="G144" s="6">
        <v>724707</v>
      </c>
      <c r="H144" s="6">
        <v>724707</v>
      </c>
      <c r="I144" s="6">
        <v>265015</v>
      </c>
      <c r="J144" s="6">
        <v>437374</v>
      </c>
      <c r="K144" s="6">
        <v>19533</v>
      </c>
      <c r="L144" s="6">
        <v>2785</v>
      </c>
      <c r="M144" s="6">
        <v>56870</v>
      </c>
      <c r="N144" s="6">
        <v>159410</v>
      </c>
      <c r="O144" s="6">
        <v>167660</v>
      </c>
      <c r="P144" s="6">
        <v>209727</v>
      </c>
      <c r="Q144" s="6">
        <v>52889</v>
      </c>
      <c r="R144" s="6">
        <v>78151</v>
      </c>
      <c r="S144" s="6">
        <v>0</v>
      </c>
      <c r="T144" s="6">
        <v>0</v>
      </c>
      <c r="U144" s="6">
        <v>9199</v>
      </c>
      <c r="V144" s="6">
        <v>-2019</v>
      </c>
      <c r="W144" s="6">
        <v>33750</v>
      </c>
      <c r="X144" s="6">
        <v>990</v>
      </c>
      <c r="Y144" s="6"/>
      <c r="Z144" s="6"/>
      <c r="AA144" s="6"/>
      <c r="AB144" s="6">
        <v>5406</v>
      </c>
      <c r="AC144" s="6">
        <v>1822</v>
      </c>
      <c r="AD144" s="6">
        <v>0</v>
      </c>
      <c r="AE144" s="6">
        <v>19305</v>
      </c>
      <c r="AF144" s="6">
        <v>9788</v>
      </c>
    </row>
    <row r="145" spans="1:32" x14ac:dyDescent="0.35">
      <c r="A145" s="1">
        <v>38560</v>
      </c>
      <c r="B145" s="6">
        <v>814259</v>
      </c>
      <c r="C145" s="6">
        <v>11037</v>
      </c>
      <c r="D145" s="6">
        <v>2200</v>
      </c>
      <c r="E145" s="6">
        <v>625</v>
      </c>
      <c r="F145" s="6">
        <v>763585</v>
      </c>
      <c r="G145" s="6">
        <v>724702</v>
      </c>
      <c r="H145" s="6">
        <v>724702</v>
      </c>
      <c r="I145" s="6">
        <v>265015</v>
      </c>
      <c r="J145" s="6">
        <v>437374</v>
      </c>
      <c r="K145" s="6">
        <v>19533</v>
      </c>
      <c r="L145" s="6">
        <v>2780</v>
      </c>
      <c r="M145" s="6">
        <v>56404</v>
      </c>
      <c r="N145" s="6">
        <v>158996</v>
      </c>
      <c r="O145" s="6">
        <v>168541</v>
      </c>
      <c r="P145" s="6">
        <v>209725</v>
      </c>
      <c r="Q145" s="6">
        <v>52888</v>
      </c>
      <c r="R145" s="6">
        <v>78149</v>
      </c>
      <c r="S145" s="6">
        <v>0</v>
      </c>
      <c r="T145" s="6">
        <v>0</v>
      </c>
      <c r="U145" s="6">
        <v>9169</v>
      </c>
      <c r="V145" s="6">
        <v>-2035</v>
      </c>
      <c r="W145" s="6">
        <v>31000</v>
      </c>
      <c r="X145" s="6">
        <v>748</v>
      </c>
      <c r="Y145" s="6"/>
      <c r="Z145" s="6"/>
      <c r="AA145" s="6"/>
      <c r="AB145" s="6">
        <v>5483</v>
      </c>
      <c r="AC145" s="6">
        <v>1821</v>
      </c>
      <c r="AD145" s="6">
        <v>0</v>
      </c>
      <c r="AE145" s="6">
        <v>19395</v>
      </c>
      <c r="AF145" s="6">
        <v>10112</v>
      </c>
    </row>
    <row r="146" spans="1:32" x14ac:dyDescent="0.35">
      <c r="A146" s="1">
        <v>38567</v>
      </c>
      <c r="B146" s="6">
        <v>818841</v>
      </c>
      <c r="C146" s="6">
        <v>11037</v>
      </c>
      <c r="D146" s="6">
        <v>2200</v>
      </c>
      <c r="E146" s="6">
        <v>625</v>
      </c>
      <c r="F146" s="6">
        <v>767101</v>
      </c>
      <c r="G146" s="6">
        <v>724700</v>
      </c>
      <c r="H146" s="6">
        <v>724700</v>
      </c>
      <c r="I146" s="6">
        <v>265015</v>
      </c>
      <c r="J146" s="6">
        <v>437374</v>
      </c>
      <c r="K146" s="6">
        <v>19533</v>
      </c>
      <c r="L146" s="6">
        <v>2778</v>
      </c>
      <c r="M146" s="6">
        <v>55883</v>
      </c>
      <c r="N146" s="6">
        <v>159090</v>
      </c>
      <c r="O146" s="6">
        <v>171106</v>
      </c>
      <c r="P146" s="6">
        <v>207587</v>
      </c>
      <c r="Q146" s="6">
        <v>52887</v>
      </c>
      <c r="R146" s="6">
        <v>78148</v>
      </c>
      <c r="S146" s="6">
        <v>0</v>
      </c>
      <c r="T146" s="6">
        <v>0</v>
      </c>
      <c r="U146" s="6">
        <v>9140</v>
      </c>
      <c r="V146" s="6">
        <v>-2070</v>
      </c>
      <c r="W146" s="6">
        <v>32000</v>
      </c>
      <c r="X146" s="6">
        <v>3330</v>
      </c>
      <c r="Y146" s="6"/>
      <c r="Z146" s="6"/>
      <c r="AA146" s="6"/>
      <c r="AB146" s="6">
        <v>6050</v>
      </c>
      <c r="AC146" s="6">
        <v>1825</v>
      </c>
      <c r="AD146" s="6">
        <v>0</v>
      </c>
      <c r="AE146" s="6">
        <v>19759</v>
      </c>
      <c r="AF146" s="6">
        <v>10244</v>
      </c>
    </row>
    <row r="147" spans="1:32" x14ac:dyDescent="0.35">
      <c r="A147" s="1">
        <v>38574</v>
      </c>
      <c r="B147" s="6">
        <v>808544</v>
      </c>
      <c r="C147" s="6">
        <v>11037</v>
      </c>
      <c r="D147" s="6">
        <v>2200</v>
      </c>
      <c r="E147" s="6">
        <v>636</v>
      </c>
      <c r="F147" s="6">
        <v>756505</v>
      </c>
      <c r="G147" s="6">
        <v>724703</v>
      </c>
      <c r="H147" s="6">
        <v>724703</v>
      </c>
      <c r="I147" s="6">
        <v>265015</v>
      </c>
      <c r="J147" s="6">
        <v>437374</v>
      </c>
      <c r="K147" s="6">
        <v>19533</v>
      </c>
      <c r="L147" s="6">
        <v>2781</v>
      </c>
      <c r="M147" s="6">
        <v>55401</v>
      </c>
      <c r="N147" s="6">
        <v>158385</v>
      </c>
      <c r="O147" s="6">
        <v>172293</v>
      </c>
      <c r="P147" s="6">
        <v>207588</v>
      </c>
      <c r="Q147" s="6">
        <v>52888</v>
      </c>
      <c r="R147" s="6">
        <v>78149</v>
      </c>
      <c r="S147" s="6">
        <v>0</v>
      </c>
      <c r="T147" s="6">
        <v>0</v>
      </c>
      <c r="U147" s="6">
        <v>9111</v>
      </c>
      <c r="V147" s="6">
        <v>-2094</v>
      </c>
      <c r="W147" s="6">
        <v>24500</v>
      </c>
      <c r="X147" s="6">
        <v>285</v>
      </c>
      <c r="Y147" s="6"/>
      <c r="Z147" s="6"/>
      <c r="AA147" s="6"/>
      <c r="AB147" s="6">
        <v>5925</v>
      </c>
      <c r="AC147" s="6">
        <v>1827</v>
      </c>
      <c r="AD147" s="6">
        <v>0</v>
      </c>
      <c r="AE147" s="6">
        <v>19801</v>
      </c>
      <c r="AF147" s="6">
        <v>10615</v>
      </c>
    </row>
    <row r="148" spans="1:32" x14ac:dyDescent="0.35">
      <c r="A148" s="1">
        <v>38581</v>
      </c>
      <c r="B148" s="6">
        <v>813774</v>
      </c>
      <c r="C148" s="6">
        <v>11037</v>
      </c>
      <c r="D148" s="6">
        <v>2200</v>
      </c>
      <c r="E148" s="6">
        <v>644</v>
      </c>
      <c r="F148" s="6">
        <v>763988</v>
      </c>
      <c r="G148" s="6">
        <v>727339</v>
      </c>
      <c r="H148" s="6">
        <v>727339</v>
      </c>
      <c r="I148" s="6">
        <v>266259</v>
      </c>
      <c r="J148" s="6">
        <v>438764</v>
      </c>
      <c r="K148" s="6">
        <v>19533</v>
      </c>
      <c r="L148" s="6">
        <v>2783</v>
      </c>
      <c r="M148" s="6">
        <v>58275</v>
      </c>
      <c r="N148" s="6">
        <v>158012</v>
      </c>
      <c r="O148" s="6">
        <v>169507</v>
      </c>
      <c r="P148" s="6">
        <v>212630</v>
      </c>
      <c r="Q148" s="6">
        <v>51932</v>
      </c>
      <c r="R148" s="6">
        <v>76983</v>
      </c>
      <c r="S148" s="6">
        <v>0</v>
      </c>
      <c r="T148" s="6">
        <v>0</v>
      </c>
      <c r="U148" s="6">
        <v>9083</v>
      </c>
      <c r="V148" s="6">
        <v>-2168</v>
      </c>
      <c r="W148" s="6">
        <v>28500</v>
      </c>
      <c r="X148" s="6">
        <v>1234</v>
      </c>
      <c r="Y148" s="6"/>
      <c r="Z148" s="6"/>
      <c r="AA148" s="6"/>
      <c r="AB148" s="6">
        <v>7052</v>
      </c>
      <c r="AC148" s="6">
        <v>1829</v>
      </c>
      <c r="AD148" s="6">
        <v>0</v>
      </c>
      <c r="AE148" s="6">
        <v>19837</v>
      </c>
      <c r="AF148" s="6">
        <v>7187</v>
      </c>
    </row>
    <row r="149" spans="1:32" x14ac:dyDescent="0.35">
      <c r="A149" s="1">
        <v>38588</v>
      </c>
      <c r="B149" s="6">
        <v>811313</v>
      </c>
      <c r="C149" s="6">
        <v>11037</v>
      </c>
      <c r="D149" s="6">
        <v>2200</v>
      </c>
      <c r="E149" s="6">
        <v>650</v>
      </c>
      <c r="F149" s="6">
        <v>762789</v>
      </c>
      <c r="G149" s="6">
        <v>729579</v>
      </c>
      <c r="H149" s="6">
        <v>729579</v>
      </c>
      <c r="I149" s="6">
        <v>267508</v>
      </c>
      <c r="J149" s="6">
        <v>439752</v>
      </c>
      <c r="K149" s="6">
        <v>19533</v>
      </c>
      <c r="L149" s="6">
        <v>2786</v>
      </c>
      <c r="M149" s="6">
        <v>59238</v>
      </c>
      <c r="N149" s="6">
        <v>156724</v>
      </c>
      <c r="O149" s="6">
        <v>171081</v>
      </c>
      <c r="P149" s="6">
        <v>213119</v>
      </c>
      <c r="Q149" s="6">
        <v>52433</v>
      </c>
      <c r="R149" s="6">
        <v>76984</v>
      </c>
      <c r="S149" s="6">
        <v>0</v>
      </c>
      <c r="T149" s="6">
        <v>0</v>
      </c>
      <c r="U149" s="6">
        <v>9078</v>
      </c>
      <c r="V149" s="6">
        <v>-2214</v>
      </c>
      <c r="W149" s="6">
        <v>26000</v>
      </c>
      <c r="X149" s="6">
        <v>346</v>
      </c>
      <c r="Y149" s="6"/>
      <c r="Z149" s="6"/>
      <c r="AA149" s="6"/>
      <c r="AB149" s="6">
        <v>5488</v>
      </c>
      <c r="AC149" s="6">
        <v>1832</v>
      </c>
      <c r="AD149" s="6">
        <v>0</v>
      </c>
      <c r="AE149" s="6">
        <v>19739</v>
      </c>
      <c r="AF149" s="6">
        <v>7578</v>
      </c>
    </row>
    <row r="150" spans="1:32" x14ac:dyDescent="0.35">
      <c r="A150" s="1">
        <v>38595</v>
      </c>
      <c r="B150" s="6">
        <v>823237</v>
      </c>
      <c r="C150" s="6">
        <v>11037</v>
      </c>
      <c r="D150" s="6">
        <v>2200</v>
      </c>
      <c r="E150" s="6">
        <v>659</v>
      </c>
      <c r="F150" s="6">
        <v>773030</v>
      </c>
      <c r="G150" s="6">
        <v>730380</v>
      </c>
      <c r="H150" s="6">
        <v>730380</v>
      </c>
      <c r="I150" s="6">
        <v>267766</v>
      </c>
      <c r="J150" s="6">
        <v>440292</v>
      </c>
      <c r="K150" s="6">
        <v>19533</v>
      </c>
      <c r="L150" s="6">
        <v>2789</v>
      </c>
      <c r="M150" s="6">
        <v>52781</v>
      </c>
      <c r="N150" s="6">
        <v>155418</v>
      </c>
      <c r="O150" s="6">
        <v>180980</v>
      </c>
      <c r="P150" s="6">
        <v>211783</v>
      </c>
      <c r="Q150" s="6">
        <v>52433</v>
      </c>
      <c r="R150" s="6">
        <v>76985</v>
      </c>
      <c r="S150" s="6">
        <v>0</v>
      </c>
      <c r="T150" s="6">
        <v>0</v>
      </c>
      <c r="U150" s="6">
        <v>9060</v>
      </c>
      <c r="V150" s="6">
        <v>-2246</v>
      </c>
      <c r="W150" s="6">
        <v>35500</v>
      </c>
      <c r="X150" s="6">
        <v>336</v>
      </c>
      <c r="Y150" s="6"/>
      <c r="Z150" s="6"/>
      <c r="AA150" s="6"/>
      <c r="AB150" s="6">
        <v>7080</v>
      </c>
      <c r="AC150" s="6">
        <v>1834</v>
      </c>
      <c r="AD150" s="6">
        <v>0</v>
      </c>
      <c r="AE150" s="6">
        <v>19790</v>
      </c>
      <c r="AF150" s="6">
        <v>7608</v>
      </c>
    </row>
    <row r="151" spans="1:32" x14ac:dyDescent="0.35">
      <c r="A151" s="1">
        <v>38602</v>
      </c>
      <c r="B151" s="6">
        <v>822500</v>
      </c>
      <c r="C151" s="6">
        <v>11037</v>
      </c>
      <c r="D151" s="6">
        <v>2200</v>
      </c>
      <c r="E151" s="6">
        <v>655</v>
      </c>
      <c r="F151" s="6">
        <v>769017</v>
      </c>
      <c r="G151" s="6">
        <v>730418</v>
      </c>
      <c r="H151" s="6">
        <v>730418</v>
      </c>
      <c r="I151" s="6">
        <v>267780</v>
      </c>
      <c r="J151" s="6">
        <v>440292</v>
      </c>
      <c r="K151" s="6">
        <v>19533</v>
      </c>
      <c r="L151" s="6">
        <v>2813</v>
      </c>
      <c r="M151" s="6">
        <v>52350</v>
      </c>
      <c r="N151" s="6">
        <v>162436</v>
      </c>
      <c r="O151" s="6">
        <v>174407</v>
      </c>
      <c r="P151" s="6">
        <v>211793</v>
      </c>
      <c r="Q151" s="6">
        <v>52437</v>
      </c>
      <c r="R151" s="6">
        <v>76996</v>
      </c>
      <c r="S151" s="6">
        <v>0</v>
      </c>
      <c r="T151" s="6">
        <v>0</v>
      </c>
      <c r="U151" s="6">
        <v>9034</v>
      </c>
      <c r="V151" s="6">
        <v>-2266</v>
      </c>
      <c r="W151" s="6">
        <v>31500</v>
      </c>
      <c r="X151" s="6">
        <v>331</v>
      </c>
      <c r="Y151" s="6"/>
      <c r="Z151" s="6"/>
      <c r="AA151" s="6"/>
      <c r="AB151" s="6">
        <v>9775</v>
      </c>
      <c r="AC151" s="6">
        <v>1832</v>
      </c>
      <c r="AD151" s="6">
        <v>0</v>
      </c>
      <c r="AE151" s="6">
        <v>19955</v>
      </c>
      <c r="AF151" s="6">
        <v>8029</v>
      </c>
    </row>
    <row r="152" spans="1:32" x14ac:dyDescent="0.35">
      <c r="A152" s="1">
        <v>38609</v>
      </c>
      <c r="B152" s="6">
        <v>823590</v>
      </c>
      <c r="C152" s="6">
        <v>11037</v>
      </c>
      <c r="D152" s="6">
        <v>2200</v>
      </c>
      <c r="E152" s="6">
        <v>667</v>
      </c>
      <c r="F152" s="6">
        <v>772317</v>
      </c>
      <c r="G152" s="6">
        <v>733268</v>
      </c>
      <c r="H152" s="6">
        <v>733268</v>
      </c>
      <c r="I152" s="6">
        <v>267826</v>
      </c>
      <c r="J152" s="6">
        <v>442593</v>
      </c>
      <c r="K152" s="6">
        <v>19983</v>
      </c>
      <c r="L152" s="6">
        <v>2865</v>
      </c>
      <c r="M152" s="6">
        <v>52446</v>
      </c>
      <c r="N152" s="6">
        <v>162236</v>
      </c>
      <c r="O152" s="6">
        <v>174557</v>
      </c>
      <c r="P152" s="6">
        <v>214341</v>
      </c>
      <c r="Q152" s="6">
        <v>52583</v>
      </c>
      <c r="R152" s="6">
        <v>77104</v>
      </c>
      <c r="S152" s="6">
        <v>0</v>
      </c>
      <c r="T152" s="6">
        <v>0</v>
      </c>
      <c r="U152" s="6">
        <v>9043</v>
      </c>
      <c r="V152" s="6">
        <v>-2327</v>
      </c>
      <c r="W152" s="6">
        <v>32000</v>
      </c>
      <c r="X152" s="6">
        <v>333</v>
      </c>
      <c r="Y152" s="6"/>
      <c r="Z152" s="6"/>
      <c r="AA152" s="6"/>
      <c r="AB152" s="6">
        <v>7194</v>
      </c>
      <c r="AC152" s="6">
        <v>1834</v>
      </c>
      <c r="AD152" s="6">
        <v>0</v>
      </c>
      <c r="AE152" s="6">
        <v>19801</v>
      </c>
      <c r="AF152" s="6">
        <v>8540</v>
      </c>
    </row>
    <row r="153" spans="1:32" x14ac:dyDescent="0.35">
      <c r="A153" s="1">
        <v>38616</v>
      </c>
      <c r="B153" s="6">
        <v>812926</v>
      </c>
      <c r="C153" s="6">
        <v>11037</v>
      </c>
      <c r="D153" s="6">
        <v>2200</v>
      </c>
      <c r="E153" s="6">
        <v>700</v>
      </c>
      <c r="F153" s="6">
        <v>760645</v>
      </c>
      <c r="G153" s="6">
        <v>733388</v>
      </c>
      <c r="H153" s="6">
        <v>733388</v>
      </c>
      <c r="I153" s="6">
        <v>267922</v>
      </c>
      <c r="J153" s="6">
        <v>442593</v>
      </c>
      <c r="K153" s="6">
        <v>19983</v>
      </c>
      <c r="L153" s="6">
        <v>2889</v>
      </c>
      <c r="M153" s="6">
        <v>58604</v>
      </c>
      <c r="N153" s="6">
        <v>155983</v>
      </c>
      <c r="O153" s="6">
        <v>174748</v>
      </c>
      <c r="P153" s="6">
        <v>214351</v>
      </c>
      <c r="Q153" s="6">
        <v>52588</v>
      </c>
      <c r="R153" s="6">
        <v>77115</v>
      </c>
      <c r="S153" s="6">
        <v>0</v>
      </c>
      <c r="T153" s="6">
        <v>0</v>
      </c>
      <c r="U153" s="6">
        <v>9017</v>
      </c>
      <c r="V153" s="6">
        <v>-2340</v>
      </c>
      <c r="W153" s="6">
        <v>20250</v>
      </c>
      <c r="X153" s="6">
        <v>330</v>
      </c>
      <c r="Y153" s="6"/>
      <c r="Z153" s="6"/>
      <c r="AA153" s="6"/>
      <c r="AB153" s="6">
        <v>7928</v>
      </c>
      <c r="AC153" s="6">
        <v>1839</v>
      </c>
      <c r="AD153" s="6">
        <v>0</v>
      </c>
      <c r="AE153" s="6">
        <v>19657</v>
      </c>
      <c r="AF153" s="6">
        <v>8921</v>
      </c>
    </row>
    <row r="154" spans="1:32" x14ac:dyDescent="0.35">
      <c r="A154" s="1">
        <v>38623</v>
      </c>
      <c r="B154" s="6">
        <v>823771</v>
      </c>
      <c r="C154" s="6">
        <v>11037</v>
      </c>
      <c r="D154" s="6">
        <v>2200</v>
      </c>
      <c r="E154" s="6">
        <v>708</v>
      </c>
      <c r="F154" s="6">
        <v>773287</v>
      </c>
      <c r="G154" s="6">
        <v>736082</v>
      </c>
      <c r="H154" s="6">
        <v>736082</v>
      </c>
      <c r="I154" s="6">
        <v>269487</v>
      </c>
      <c r="J154" s="6">
        <v>443697</v>
      </c>
      <c r="K154" s="6">
        <v>19983</v>
      </c>
      <c r="L154" s="6">
        <v>2914</v>
      </c>
      <c r="M154" s="6">
        <v>58488</v>
      </c>
      <c r="N154" s="6">
        <v>155823</v>
      </c>
      <c r="O154" s="6">
        <v>176589</v>
      </c>
      <c r="P154" s="6">
        <v>215465</v>
      </c>
      <c r="Q154" s="6">
        <v>52592</v>
      </c>
      <c r="R154" s="6">
        <v>77125</v>
      </c>
      <c r="S154" s="6">
        <v>0</v>
      </c>
      <c r="T154" s="6">
        <v>0</v>
      </c>
      <c r="U154" s="6">
        <v>8990</v>
      </c>
      <c r="V154" s="6">
        <v>-2388</v>
      </c>
      <c r="W154" s="6">
        <v>30250</v>
      </c>
      <c r="X154" s="6">
        <v>353</v>
      </c>
      <c r="Y154" s="6"/>
      <c r="Z154" s="6"/>
      <c r="AA154" s="6"/>
      <c r="AB154" s="6">
        <v>6193</v>
      </c>
      <c r="AC154" s="6">
        <v>1838</v>
      </c>
      <c r="AD154" s="6">
        <v>0</v>
      </c>
      <c r="AE154" s="6">
        <v>19341</v>
      </c>
      <c r="AF154" s="6">
        <v>9166</v>
      </c>
    </row>
    <row r="155" spans="1:32" x14ac:dyDescent="0.35">
      <c r="A155" s="1">
        <v>38630</v>
      </c>
      <c r="B155" s="6">
        <v>817137</v>
      </c>
      <c r="C155" s="6">
        <v>11037</v>
      </c>
      <c r="D155" s="6">
        <v>2200</v>
      </c>
      <c r="E155" s="6">
        <v>712</v>
      </c>
      <c r="F155" s="6">
        <v>763172</v>
      </c>
      <c r="G155" s="6">
        <v>737592</v>
      </c>
      <c r="H155" s="6">
        <v>737592</v>
      </c>
      <c r="I155" s="6">
        <v>269779</v>
      </c>
      <c r="J155" s="6">
        <v>444890</v>
      </c>
      <c r="K155" s="6">
        <v>19983</v>
      </c>
      <c r="L155" s="6">
        <v>2940</v>
      </c>
      <c r="M155" s="6">
        <v>51131</v>
      </c>
      <c r="N155" s="6">
        <v>164521</v>
      </c>
      <c r="O155" s="6">
        <v>176953</v>
      </c>
      <c r="P155" s="6">
        <v>215254</v>
      </c>
      <c r="Q155" s="6">
        <v>52597</v>
      </c>
      <c r="R155" s="6">
        <v>77136</v>
      </c>
      <c r="S155" s="6">
        <v>0</v>
      </c>
      <c r="T155" s="6">
        <v>0</v>
      </c>
      <c r="U155" s="6">
        <v>8963</v>
      </c>
      <c r="V155" s="6">
        <v>-2426</v>
      </c>
      <c r="W155" s="6">
        <v>18750</v>
      </c>
      <c r="X155" s="6">
        <v>293</v>
      </c>
      <c r="Y155" s="6"/>
      <c r="Z155" s="6"/>
      <c r="AA155" s="6"/>
      <c r="AB155" s="6">
        <v>9758</v>
      </c>
      <c r="AC155" s="6">
        <v>1840</v>
      </c>
      <c r="AD155" s="6">
        <v>0</v>
      </c>
      <c r="AE155" s="6">
        <v>19284</v>
      </c>
      <c r="AF155" s="6">
        <v>9134</v>
      </c>
    </row>
    <row r="156" spans="1:32" x14ac:dyDescent="0.35">
      <c r="A156" s="1">
        <v>38637</v>
      </c>
      <c r="B156" s="6">
        <v>826306</v>
      </c>
      <c r="C156" s="6">
        <v>11037</v>
      </c>
      <c r="D156" s="6">
        <v>2200</v>
      </c>
      <c r="E156" s="6">
        <v>709</v>
      </c>
      <c r="F156" s="6">
        <v>764676</v>
      </c>
      <c r="G156" s="6">
        <v>737672</v>
      </c>
      <c r="H156" s="6">
        <v>737672</v>
      </c>
      <c r="I156" s="6">
        <v>269832</v>
      </c>
      <c r="J156" s="6">
        <v>444890</v>
      </c>
      <c r="K156" s="6">
        <v>19983</v>
      </c>
      <c r="L156" s="6">
        <v>2966</v>
      </c>
      <c r="M156" s="6">
        <v>51118</v>
      </c>
      <c r="N156" s="6">
        <v>164047</v>
      </c>
      <c r="O156" s="6">
        <v>177494</v>
      </c>
      <c r="P156" s="6">
        <v>215264</v>
      </c>
      <c r="Q156" s="6">
        <v>52601</v>
      </c>
      <c r="R156" s="6">
        <v>77148</v>
      </c>
      <c r="S156" s="6">
        <v>0</v>
      </c>
      <c r="T156" s="6">
        <v>0</v>
      </c>
      <c r="U156" s="6">
        <v>8937</v>
      </c>
      <c r="V156" s="6">
        <v>-2443</v>
      </c>
      <c r="W156" s="6">
        <v>20250</v>
      </c>
      <c r="X156" s="6">
        <v>260</v>
      </c>
      <c r="Y156" s="6"/>
      <c r="Z156" s="6"/>
      <c r="AA156" s="6"/>
      <c r="AB156" s="6">
        <v>16906</v>
      </c>
      <c r="AC156" s="6">
        <v>1839</v>
      </c>
      <c r="AD156" s="6">
        <v>0</v>
      </c>
      <c r="AE156" s="6">
        <v>19294</v>
      </c>
      <c r="AF156" s="6">
        <v>9644</v>
      </c>
    </row>
    <row r="157" spans="1:32" x14ac:dyDescent="0.35">
      <c r="A157" s="1">
        <v>38644</v>
      </c>
      <c r="B157" s="6">
        <v>814281</v>
      </c>
      <c r="C157" s="6">
        <v>11037</v>
      </c>
      <c r="D157" s="6">
        <v>2200</v>
      </c>
      <c r="E157" s="6">
        <v>718</v>
      </c>
      <c r="F157" s="6">
        <v>760950</v>
      </c>
      <c r="G157" s="6">
        <v>738015</v>
      </c>
      <c r="H157" s="6">
        <v>738015</v>
      </c>
      <c r="I157" s="6">
        <v>270149</v>
      </c>
      <c r="J157" s="6">
        <v>444890</v>
      </c>
      <c r="K157" s="6">
        <v>19983</v>
      </c>
      <c r="L157" s="6">
        <v>2993</v>
      </c>
      <c r="M157" s="6">
        <v>57307</v>
      </c>
      <c r="N157" s="6">
        <v>157596</v>
      </c>
      <c r="O157" s="6">
        <v>183233</v>
      </c>
      <c r="P157" s="6">
        <v>210114</v>
      </c>
      <c r="Q157" s="6">
        <v>52606</v>
      </c>
      <c r="R157" s="6">
        <v>77159</v>
      </c>
      <c r="S157" s="6">
        <v>0</v>
      </c>
      <c r="T157" s="6">
        <v>0</v>
      </c>
      <c r="U157" s="6">
        <v>8910</v>
      </c>
      <c r="V157" s="6">
        <v>-2464</v>
      </c>
      <c r="W157" s="6">
        <v>16250</v>
      </c>
      <c r="X157" s="6">
        <v>238</v>
      </c>
      <c r="Y157" s="6"/>
      <c r="Z157" s="6"/>
      <c r="AA157" s="6"/>
      <c r="AB157" s="6">
        <v>8765</v>
      </c>
      <c r="AC157" s="6">
        <v>1841</v>
      </c>
      <c r="AD157" s="6">
        <v>0</v>
      </c>
      <c r="AE157" s="6">
        <v>19172</v>
      </c>
      <c r="AF157" s="6">
        <v>9598</v>
      </c>
    </row>
    <row r="158" spans="1:32" x14ac:dyDescent="0.35">
      <c r="A158" s="1">
        <v>38651</v>
      </c>
      <c r="B158" s="6">
        <v>819105</v>
      </c>
      <c r="C158" s="6">
        <v>11037</v>
      </c>
      <c r="D158" s="6">
        <v>2200</v>
      </c>
      <c r="E158" s="6">
        <v>727</v>
      </c>
      <c r="F158" s="6">
        <v>767852</v>
      </c>
      <c r="G158" s="6">
        <v>739542</v>
      </c>
      <c r="H158" s="6">
        <v>739542</v>
      </c>
      <c r="I158" s="6">
        <v>270649</v>
      </c>
      <c r="J158" s="6">
        <v>445890</v>
      </c>
      <c r="K158" s="6">
        <v>19983</v>
      </c>
      <c r="L158" s="6">
        <v>3019</v>
      </c>
      <c r="M158" s="6">
        <v>56437</v>
      </c>
      <c r="N158" s="6">
        <v>159406</v>
      </c>
      <c r="O158" s="6">
        <v>183293</v>
      </c>
      <c r="P158" s="6">
        <v>210625</v>
      </c>
      <c r="Q158" s="6">
        <v>52611</v>
      </c>
      <c r="R158" s="6">
        <v>77170</v>
      </c>
      <c r="S158" s="6">
        <v>0</v>
      </c>
      <c r="T158" s="6">
        <v>0</v>
      </c>
      <c r="U158" s="6">
        <v>8884</v>
      </c>
      <c r="V158" s="6">
        <v>-2499</v>
      </c>
      <c r="W158" s="6">
        <v>21750</v>
      </c>
      <c r="X158" s="6">
        <v>176</v>
      </c>
      <c r="Y158" s="6"/>
      <c r="Z158" s="6"/>
      <c r="AA158" s="6"/>
      <c r="AB158" s="6">
        <v>6186</v>
      </c>
      <c r="AC158" s="6">
        <v>1844</v>
      </c>
      <c r="AD158" s="6">
        <v>0</v>
      </c>
      <c r="AE158" s="6">
        <v>19240</v>
      </c>
      <c r="AF158" s="6">
        <v>10019</v>
      </c>
    </row>
    <row r="159" spans="1:32" x14ac:dyDescent="0.35">
      <c r="A159" s="1">
        <v>38658</v>
      </c>
      <c r="B159" s="6">
        <v>814571</v>
      </c>
      <c r="C159" s="6">
        <v>11036</v>
      </c>
      <c r="D159" s="6">
        <v>2200</v>
      </c>
      <c r="E159" s="6">
        <v>727</v>
      </c>
      <c r="F159" s="6">
        <v>761715</v>
      </c>
      <c r="G159" s="6">
        <v>740614</v>
      </c>
      <c r="H159" s="6">
        <v>740614</v>
      </c>
      <c r="I159" s="6">
        <v>270781</v>
      </c>
      <c r="J159" s="6">
        <v>446792</v>
      </c>
      <c r="K159" s="6">
        <v>19983</v>
      </c>
      <c r="L159" s="6">
        <v>3057</v>
      </c>
      <c r="M159" s="6">
        <v>57663</v>
      </c>
      <c r="N159" s="6">
        <v>158746</v>
      </c>
      <c r="O159" s="6">
        <v>182848</v>
      </c>
      <c r="P159" s="6">
        <v>210651</v>
      </c>
      <c r="Q159" s="6">
        <v>52617</v>
      </c>
      <c r="R159" s="6">
        <v>78089</v>
      </c>
      <c r="S159" s="6">
        <v>0</v>
      </c>
      <c r="T159" s="6">
        <v>0</v>
      </c>
      <c r="U159" s="6">
        <v>9004</v>
      </c>
      <c r="V159" s="6">
        <v>-2531</v>
      </c>
      <c r="W159" s="6">
        <v>14500</v>
      </c>
      <c r="X159" s="6">
        <v>129</v>
      </c>
      <c r="Y159" s="6"/>
      <c r="Z159" s="6"/>
      <c r="AA159" s="6"/>
      <c r="AB159" s="6">
        <v>7850</v>
      </c>
      <c r="AC159" s="6">
        <v>1843</v>
      </c>
      <c r="AD159" s="6">
        <v>0</v>
      </c>
      <c r="AE159" s="6">
        <v>19165</v>
      </c>
      <c r="AF159" s="6">
        <v>10035</v>
      </c>
    </row>
    <row r="160" spans="1:32" x14ac:dyDescent="0.35">
      <c r="A160" s="1">
        <v>38665</v>
      </c>
      <c r="B160" s="6">
        <v>824991</v>
      </c>
      <c r="C160" s="6">
        <v>11036</v>
      </c>
      <c r="D160" s="6">
        <v>2200</v>
      </c>
      <c r="E160" s="6">
        <v>730</v>
      </c>
      <c r="F160" s="6">
        <v>772764</v>
      </c>
      <c r="G160" s="6">
        <v>741717</v>
      </c>
      <c r="H160" s="6">
        <v>741717</v>
      </c>
      <c r="I160" s="6">
        <v>271018</v>
      </c>
      <c r="J160" s="6">
        <v>447592</v>
      </c>
      <c r="K160" s="6">
        <v>19983</v>
      </c>
      <c r="L160" s="6">
        <v>3122</v>
      </c>
      <c r="M160" s="6">
        <v>40966</v>
      </c>
      <c r="N160" s="6">
        <v>175588</v>
      </c>
      <c r="O160" s="6">
        <v>182941</v>
      </c>
      <c r="P160" s="6">
        <v>210677</v>
      </c>
      <c r="Q160" s="6">
        <v>53429</v>
      </c>
      <c r="R160" s="6">
        <v>78117</v>
      </c>
      <c r="S160" s="6">
        <v>0</v>
      </c>
      <c r="T160" s="6">
        <v>0</v>
      </c>
      <c r="U160" s="6">
        <v>8977</v>
      </c>
      <c r="V160" s="6">
        <v>-2561</v>
      </c>
      <c r="W160" s="6">
        <v>24500</v>
      </c>
      <c r="X160" s="6">
        <v>131</v>
      </c>
      <c r="Y160" s="6"/>
      <c r="Z160" s="6"/>
      <c r="AA160" s="6"/>
      <c r="AB160" s="6">
        <v>7107</v>
      </c>
      <c r="AC160" s="6">
        <v>1842</v>
      </c>
      <c r="AD160" s="6">
        <v>0</v>
      </c>
      <c r="AE160" s="6">
        <v>18826</v>
      </c>
      <c r="AF160" s="6">
        <v>10485</v>
      </c>
    </row>
    <row r="161" spans="1:32" x14ac:dyDescent="0.35">
      <c r="A161" s="1">
        <v>38672</v>
      </c>
      <c r="B161" s="6">
        <v>823263</v>
      </c>
      <c r="C161" s="6">
        <v>11036</v>
      </c>
      <c r="D161" s="6">
        <v>2200</v>
      </c>
      <c r="E161" s="6">
        <v>728</v>
      </c>
      <c r="F161" s="6">
        <v>769313</v>
      </c>
      <c r="G161" s="6">
        <v>742878</v>
      </c>
      <c r="H161" s="6">
        <v>742878</v>
      </c>
      <c r="I161" s="6">
        <v>271018</v>
      </c>
      <c r="J161" s="6">
        <v>448688</v>
      </c>
      <c r="K161" s="6">
        <v>19983</v>
      </c>
      <c r="L161" s="6">
        <v>3188</v>
      </c>
      <c r="M161" s="6">
        <v>56097</v>
      </c>
      <c r="N161" s="6">
        <v>152030</v>
      </c>
      <c r="O161" s="6">
        <v>191259</v>
      </c>
      <c r="P161" s="6">
        <v>209687</v>
      </c>
      <c r="Q161" s="6">
        <v>53440</v>
      </c>
      <c r="R161" s="6">
        <v>80365</v>
      </c>
      <c r="S161" s="6">
        <v>0</v>
      </c>
      <c r="T161" s="6">
        <v>0</v>
      </c>
      <c r="U161" s="6">
        <v>8951</v>
      </c>
      <c r="V161" s="6">
        <v>-2623</v>
      </c>
      <c r="W161" s="6">
        <v>20000</v>
      </c>
      <c r="X161" s="6">
        <v>107</v>
      </c>
      <c r="Y161" s="6"/>
      <c r="Z161" s="6"/>
      <c r="AA161" s="6"/>
      <c r="AB161" s="6">
        <v>11969</v>
      </c>
      <c r="AC161" s="6">
        <v>1841</v>
      </c>
      <c r="AD161" s="6">
        <v>0</v>
      </c>
      <c r="AE161" s="6">
        <v>18649</v>
      </c>
      <c r="AF161" s="6">
        <v>7525</v>
      </c>
    </row>
    <row r="162" spans="1:32" x14ac:dyDescent="0.35">
      <c r="A162" s="1">
        <v>38679</v>
      </c>
      <c r="B162" s="6">
        <v>833124</v>
      </c>
      <c r="C162" s="6">
        <v>11036</v>
      </c>
      <c r="D162" s="6">
        <v>2200</v>
      </c>
      <c r="E162" s="6">
        <v>706</v>
      </c>
      <c r="F162" s="6">
        <v>783199</v>
      </c>
      <c r="G162" s="6">
        <v>744301</v>
      </c>
      <c r="H162" s="6">
        <v>744301</v>
      </c>
      <c r="I162" s="6">
        <v>271270</v>
      </c>
      <c r="J162" s="6">
        <v>449784</v>
      </c>
      <c r="K162" s="6">
        <v>19983</v>
      </c>
      <c r="L162" s="6">
        <v>3263</v>
      </c>
      <c r="M162" s="6">
        <v>55815</v>
      </c>
      <c r="N162" s="6">
        <v>155572</v>
      </c>
      <c r="O162" s="6">
        <v>188251</v>
      </c>
      <c r="P162" s="6">
        <v>210812</v>
      </c>
      <c r="Q162" s="6">
        <v>56681</v>
      </c>
      <c r="R162" s="6">
        <v>77170</v>
      </c>
      <c r="S162" s="6">
        <v>0</v>
      </c>
      <c r="T162" s="6">
        <v>0</v>
      </c>
      <c r="U162" s="6">
        <v>8928</v>
      </c>
      <c r="V162" s="6">
        <v>-2637</v>
      </c>
      <c r="W162" s="6">
        <v>32500</v>
      </c>
      <c r="X162" s="6">
        <v>108</v>
      </c>
      <c r="Y162" s="6"/>
      <c r="Z162" s="6"/>
      <c r="AA162" s="6"/>
      <c r="AB162" s="6">
        <v>7467</v>
      </c>
      <c r="AC162" s="6">
        <v>1843</v>
      </c>
      <c r="AD162" s="6">
        <v>0</v>
      </c>
      <c r="AE162" s="6">
        <v>18800</v>
      </c>
      <c r="AF162" s="6">
        <v>7873</v>
      </c>
    </row>
    <row r="163" spans="1:32" x14ac:dyDescent="0.35">
      <c r="A163" s="1">
        <v>38686</v>
      </c>
      <c r="B163" s="6">
        <v>835059</v>
      </c>
      <c r="C163" s="6">
        <v>11037</v>
      </c>
      <c r="D163" s="6">
        <v>2200</v>
      </c>
      <c r="E163" s="6">
        <v>684</v>
      </c>
      <c r="F163" s="6">
        <v>785720</v>
      </c>
      <c r="G163" s="6">
        <v>744168</v>
      </c>
      <c r="H163" s="6">
        <v>744168</v>
      </c>
      <c r="I163" s="6">
        <v>271270</v>
      </c>
      <c r="J163" s="6">
        <v>449595</v>
      </c>
      <c r="K163" s="6">
        <v>19983</v>
      </c>
      <c r="L163" s="6">
        <v>3319</v>
      </c>
      <c r="M163" s="6">
        <v>48773</v>
      </c>
      <c r="N163" s="6">
        <v>163763</v>
      </c>
      <c r="O163" s="6">
        <v>187020</v>
      </c>
      <c r="P163" s="6">
        <v>210726</v>
      </c>
      <c r="Q163" s="6">
        <v>56690</v>
      </c>
      <c r="R163" s="6">
        <v>77194</v>
      </c>
      <c r="S163" s="6">
        <v>0</v>
      </c>
      <c r="T163" s="6">
        <v>0</v>
      </c>
      <c r="U163" s="6">
        <v>8910</v>
      </c>
      <c r="V163" s="6">
        <v>-2693</v>
      </c>
      <c r="W163" s="6">
        <v>35250</v>
      </c>
      <c r="X163" s="6">
        <v>86</v>
      </c>
      <c r="Y163" s="6"/>
      <c r="Z163" s="6"/>
      <c r="AA163" s="6"/>
      <c r="AB163" s="6">
        <v>6976</v>
      </c>
      <c r="AC163" s="6">
        <v>1846</v>
      </c>
      <c r="AD163" s="6">
        <v>0</v>
      </c>
      <c r="AE163" s="6">
        <v>18736</v>
      </c>
      <c r="AF163" s="6">
        <v>7860</v>
      </c>
    </row>
    <row r="164" spans="1:32" x14ac:dyDescent="0.35">
      <c r="A164" s="1">
        <v>38693</v>
      </c>
      <c r="B164" s="6">
        <v>833250</v>
      </c>
      <c r="C164" s="6">
        <v>11037</v>
      </c>
      <c r="D164" s="6">
        <v>2200</v>
      </c>
      <c r="E164" s="6">
        <v>695</v>
      </c>
      <c r="F164" s="6">
        <v>782484</v>
      </c>
      <c r="G164" s="6">
        <v>744179</v>
      </c>
      <c r="H164" s="6">
        <v>744179</v>
      </c>
      <c r="I164" s="6">
        <v>271270</v>
      </c>
      <c r="J164" s="6">
        <v>449595</v>
      </c>
      <c r="K164" s="6">
        <v>19983</v>
      </c>
      <c r="L164" s="6">
        <v>3330</v>
      </c>
      <c r="M164" s="6">
        <v>48431</v>
      </c>
      <c r="N164" s="6">
        <v>164342</v>
      </c>
      <c r="O164" s="6">
        <v>186784</v>
      </c>
      <c r="P164" s="6">
        <v>210730</v>
      </c>
      <c r="Q164" s="6">
        <v>56692</v>
      </c>
      <c r="R164" s="6">
        <v>77199</v>
      </c>
      <c r="S164" s="6">
        <v>0</v>
      </c>
      <c r="T164" s="6">
        <v>0</v>
      </c>
      <c r="U164" s="6">
        <v>8888</v>
      </c>
      <c r="V164" s="6">
        <v>-2701</v>
      </c>
      <c r="W164" s="6">
        <v>32000</v>
      </c>
      <c r="X164" s="6">
        <v>119</v>
      </c>
      <c r="Y164" s="6"/>
      <c r="Z164" s="6"/>
      <c r="AA164" s="6"/>
      <c r="AB164" s="6">
        <v>8103</v>
      </c>
      <c r="AC164" s="6">
        <v>1849</v>
      </c>
      <c r="AD164" s="6">
        <v>0</v>
      </c>
      <c r="AE164" s="6">
        <v>18596</v>
      </c>
      <c r="AF164" s="6">
        <v>8285</v>
      </c>
    </row>
    <row r="165" spans="1:32" x14ac:dyDescent="0.35">
      <c r="A165" s="1">
        <v>38700</v>
      </c>
      <c r="B165" s="6">
        <v>830950</v>
      </c>
      <c r="C165" s="6">
        <v>11037</v>
      </c>
      <c r="D165" s="6">
        <v>2200</v>
      </c>
      <c r="E165" s="6">
        <v>711</v>
      </c>
      <c r="F165" s="6">
        <v>778683</v>
      </c>
      <c r="G165" s="6">
        <v>744189</v>
      </c>
      <c r="H165" s="6">
        <v>744189</v>
      </c>
      <c r="I165" s="6">
        <v>271270</v>
      </c>
      <c r="J165" s="6">
        <v>449595</v>
      </c>
      <c r="K165" s="6">
        <v>19983</v>
      </c>
      <c r="L165" s="6">
        <v>3341</v>
      </c>
      <c r="M165" s="6">
        <v>48464</v>
      </c>
      <c r="N165" s="6">
        <v>164480</v>
      </c>
      <c r="O165" s="6">
        <v>186613</v>
      </c>
      <c r="P165" s="6">
        <v>210735</v>
      </c>
      <c r="Q165" s="6">
        <v>56694</v>
      </c>
      <c r="R165" s="6">
        <v>77204</v>
      </c>
      <c r="S165" s="6">
        <v>0</v>
      </c>
      <c r="T165" s="6">
        <v>0</v>
      </c>
      <c r="U165" s="6">
        <v>8866</v>
      </c>
      <c r="V165" s="6">
        <v>-2711</v>
      </c>
      <c r="W165" s="6">
        <v>28250</v>
      </c>
      <c r="X165" s="6">
        <v>89</v>
      </c>
      <c r="Y165" s="6"/>
      <c r="Z165" s="6"/>
      <c r="AA165" s="6"/>
      <c r="AB165" s="6">
        <v>8528</v>
      </c>
      <c r="AC165" s="6">
        <v>1848</v>
      </c>
      <c r="AD165" s="6">
        <v>0</v>
      </c>
      <c r="AE165" s="6">
        <v>19171</v>
      </c>
      <c r="AF165" s="6">
        <v>8774</v>
      </c>
    </row>
    <row r="166" spans="1:32" x14ac:dyDescent="0.35">
      <c r="A166" s="1">
        <v>38707</v>
      </c>
      <c r="B166" s="6">
        <v>848317</v>
      </c>
      <c r="C166" s="6">
        <v>11037</v>
      </c>
      <c r="D166" s="6">
        <v>2200</v>
      </c>
      <c r="E166" s="6">
        <v>704</v>
      </c>
      <c r="F166" s="6">
        <v>795405</v>
      </c>
      <c r="G166" s="6">
        <v>744200</v>
      </c>
      <c r="H166" s="6">
        <v>744200</v>
      </c>
      <c r="I166" s="6">
        <v>271270</v>
      </c>
      <c r="J166" s="6">
        <v>449595</v>
      </c>
      <c r="K166" s="6">
        <v>19983</v>
      </c>
      <c r="L166" s="6">
        <v>3351</v>
      </c>
      <c r="M166" s="6">
        <v>56415</v>
      </c>
      <c r="N166" s="6">
        <v>156706</v>
      </c>
      <c r="O166" s="6">
        <v>186436</v>
      </c>
      <c r="P166" s="6">
        <v>210739</v>
      </c>
      <c r="Q166" s="6">
        <v>56696</v>
      </c>
      <c r="R166" s="6">
        <v>77208</v>
      </c>
      <c r="S166" s="6">
        <v>0</v>
      </c>
      <c r="T166" s="6">
        <v>0</v>
      </c>
      <c r="U166" s="6">
        <v>8844</v>
      </c>
      <c r="V166" s="6">
        <v>-2713</v>
      </c>
      <c r="W166" s="6">
        <v>45000</v>
      </c>
      <c r="X166" s="6">
        <v>75</v>
      </c>
      <c r="Y166" s="6"/>
      <c r="Z166" s="6"/>
      <c r="AA166" s="6"/>
      <c r="AB166" s="6">
        <v>9117</v>
      </c>
      <c r="AC166" s="6">
        <v>1856</v>
      </c>
      <c r="AD166" s="6">
        <v>0</v>
      </c>
      <c r="AE166" s="6">
        <v>18928</v>
      </c>
      <c r="AF166" s="6">
        <v>9070</v>
      </c>
    </row>
    <row r="167" spans="1:32" x14ac:dyDescent="0.35">
      <c r="A167" s="1">
        <v>38714</v>
      </c>
      <c r="B167" s="6">
        <v>847700</v>
      </c>
      <c r="C167" s="6">
        <v>11037</v>
      </c>
      <c r="D167" s="6">
        <v>2200</v>
      </c>
      <c r="E167" s="6">
        <v>688</v>
      </c>
      <c r="F167" s="6">
        <v>795682</v>
      </c>
      <c r="G167" s="6">
        <v>744210</v>
      </c>
      <c r="H167" s="6">
        <v>744210</v>
      </c>
      <c r="I167" s="6">
        <v>271270</v>
      </c>
      <c r="J167" s="6">
        <v>449595</v>
      </c>
      <c r="K167" s="6">
        <v>19983</v>
      </c>
      <c r="L167" s="6">
        <v>3362</v>
      </c>
      <c r="M167" s="6">
        <v>57172</v>
      </c>
      <c r="N167" s="6">
        <v>155859</v>
      </c>
      <c r="O167" s="6">
        <v>186525</v>
      </c>
      <c r="P167" s="6">
        <v>210743</v>
      </c>
      <c r="Q167" s="6">
        <v>56698</v>
      </c>
      <c r="R167" s="6">
        <v>77213</v>
      </c>
      <c r="S167" s="6">
        <v>0</v>
      </c>
      <c r="T167" s="6">
        <v>0</v>
      </c>
      <c r="U167" s="6">
        <v>8822</v>
      </c>
      <c r="V167" s="6">
        <v>-2714</v>
      </c>
      <c r="W167" s="6">
        <v>45250</v>
      </c>
      <c r="X167" s="6">
        <v>114</v>
      </c>
      <c r="Y167" s="6"/>
      <c r="Z167" s="6"/>
      <c r="AA167" s="6"/>
      <c r="AB167" s="6">
        <v>7750</v>
      </c>
      <c r="AC167" s="6">
        <v>1826</v>
      </c>
      <c r="AD167" s="6">
        <v>0</v>
      </c>
      <c r="AE167" s="6">
        <v>18973</v>
      </c>
      <c r="AF167" s="6">
        <v>9544</v>
      </c>
    </row>
    <row r="168" spans="1:32" x14ac:dyDescent="0.35">
      <c r="A168" s="1">
        <v>38721</v>
      </c>
      <c r="B168" s="6">
        <v>851856</v>
      </c>
      <c r="C168" s="6">
        <v>11039</v>
      </c>
      <c r="D168" s="6">
        <v>2200</v>
      </c>
      <c r="E168" s="6">
        <v>683</v>
      </c>
      <c r="F168" s="6">
        <v>795496</v>
      </c>
      <c r="G168" s="6">
        <v>742870</v>
      </c>
      <c r="H168" s="6">
        <v>742870</v>
      </c>
      <c r="I168" s="6">
        <v>271270</v>
      </c>
      <c r="J168" s="6">
        <v>448274</v>
      </c>
      <c r="K168" s="6">
        <v>19983</v>
      </c>
      <c r="L168" s="6">
        <v>3342</v>
      </c>
      <c r="M168" s="6">
        <v>49527</v>
      </c>
      <c r="N168" s="6">
        <v>164093</v>
      </c>
      <c r="O168" s="6">
        <v>185897</v>
      </c>
      <c r="P168" s="6">
        <v>209454</v>
      </c>
      <c r="Q168" s="6">
        <v>56694</v>
      </c>
      <c r="R168" s="6">
        <v>77204</v>
      </c>
      <c r="S168" s="6">
        <v>0</v>
      </c>
      <c r="T168" s="6">
        <v>0</v>
      </c>
      <c r="U168" s="6">
        <v>8800</v>
      </c>
      <c r="V168" s="6">
        <v>-2710</v>
      </c>
      <c r="W168" s="6">
        <v>46500</v>
      </c>
      <c r="X168" s="6">
        <v>37</v>
      </c>
      <c r="Y168" s="6"/>
      <c r="Z168" s="6"/>
      <c r="AA168" s="6"/>
      <c r="AB168" s="6">
        <v>11813</v>
      </c>
      <c r="AC168" s="6">
        <v>1820</v>
      </c>
      <c r="AD168" s="6">
        <v>0</v>
      </c>
      <c r="AE168" s="6">
        <v>19269</v>
      </c>
      <c r="AF168" s="6">
        <v>9535</v>
      </c>
    </row>
    <row r="169" spans="1:32" x14ac:dyDescent="0.35">
      <c r="A169" s="1">
        <v>38728</v>
      </c>
      <c r="B169" s="6">
        <v>829357</v>
      </c>
      <c r="C169" s="6">
        <v>11039</v>
      </c>
      <c r="D169" s="6">
        <v>2200</v>
      </c>
      <c r="E169" s="6">
        <v>708</v>
      </c>
      <c r="F169" s="6">
        <v>775656</v>
      </c>
      <c r="G169" s="6">
        <v>744479</v>
      </c>
      <c r="H169" s="6">
        <v>744479</v>
      </c>
      <c r="I169" s="6">
        <v>271585</v>
      </c>
      <c r="J169" s="6">
        <v>449118</v>
      </c>
      <c r="K169" s="6">
        <v>20431</v>
      </c>
      <c r="L169" s="6">
        <v>3345</v>
      </c>
      <c r="M169" s="6">
        <v>50987</v>
      </c>
      <c r="N169" s="6">
        <v>163274</v>
      </c>
      <c r="O169" s="6">
        <v>185571</v>
      </c>
      <c r="P169" s="6">
        <v>210059</v>
      </c>
      <c r="Q169" s="6">
        <v>57306</v>
      </c>
      <c r="R169" s="6">
        <v>77283</v>
      </c>
      <c r="S169" s="6">
        <v>0</v>
      </c>
      <c r="T169" s="6">
        <v>0</v>
      </c>
      <c r="U169" s="6">
        <v>8817</v>
      </c>
      <c r="V169" s="6">
        <v>-2718</v>
      </c>
      <c r="W169" s="6">
        <v>25000</v>
      </c>
      <c r="X169" s="6">
        <v>79</v>
      </c>
      <c r="Y169" s="6"/>
      <c r="Z169" s="6"/>
      <c r="AA169" s="6"/>
      <c r="AB169" s="6">
        <v>8057</v>
      </c>
      <c r="AC169" s="6">
        <v>1821</v>
      </c>
      <c r="AD169" s="6">
        <v>0</v>
      </c>
      <c r="AE169" s="6">
        <v>19482</v>
      </c>
      <c r="AF169" s="6">
        <v>10394</v>
      </c>
    </row>
    <row r="170" spans="1:32" x14ac:dyDescent="0.35">
      <c r="A170" s="1">
        <v>38735</v>
      </c>
      <c r="B170" s="6">
        <v>836042</v>
      </c>
      <c r="C170" s="6">
        <v>11039</v>
      </c>
      <c r="D170" s="6">
        <v>2200</v>
      </c>
      <c r="E170" s="6">
        <v>729</v>
      </c>
      <c r="F170" s="6">
        <v>777051</v>
      </c>
      <c r="G170" s="6">
        <v>745685</v>
      </c>
      <c r="H170" s="6">
        <v>745685</v>
      </c>
      <c r="I170" s="6">
        <v>272834</v>
      </c>
      <c r="J170" s="6">
        <v>449118</v>
      </c>
      <c r="K170" s="6">
        <v>20431</v>
      </c>
      <c r="L170" s="6">
        <v>3302</v>
      </c>
      <c r="M170" s="6">
        <v>58806</v>
      </c>
      <c r="N170" s="6">
        <v>156744</v>
      </c>
      <c r="O170" s="6">
        <v>188816</v>
      </c>
      <c r="P170" s="6">
        <v>208293</v>
      </c>
      <c r="Q170" s="6">
        <v>55762</v>
      </c>
      <c r="R170" s="6">
        <v>77264</v>
      </c>
      <c r="S170" s="6">
        <v>0</v>
      </c>
      <c r="T170" s="6">
        <v>0</v>
      </c>
      <c r="U170" s="6">
        <v>8793</v>
      </c>
      <c r="V170" s="6">
        <v>-2733</v>
      </c>
      <c r="W170" s="6">
        <v>23250</v>
      </c>
      <c r="X170" s="6">
        <v>2056</v>
      </c>
      <c r="Y170" s="6"/>
      <c r="Z170" s="6"/>
      <c r="AA170" s="6"/>
      <c r="AB170" s="6">
        <v>13946</v>
      </c>
      <c r="AC170" s="6">
        <v>1822</v>
      </c>
      <c r="AD170" s="6">
        <v>0</v>
      </c>
      <c r="AE170" s="6">
        <v>19340</v>
      </c>
      <c r="AF170" s="6">
        <v>9914</v>
      </c>
    </row>
    <row r="171" spans="1:32" x14ac:dyDescent="0.35">
      <c r="A171" s="1">
        <v>38742</v>
      </c>
      <c r="B171" s="6">
        <v>828901</v>
      </c>
      <c r="C171" s="6">
        <v>11039</v>
      </c>
      <c r="D171" s="6">
        <v>2200</v>
      </c>
      <c r="E171" s="6">
        <v>770</v>
      </c>
      <c r="F171" s="6">
        <v>777657</v>
      </c>
      <c r="G171" s="6">
        <v>746588</v>
      </c>
      <c r="H171" s="6">
        <v>746588</v>
      </c>
      <c r="I171" s="6">
        <v>272834</v>
      </c>
      <c r="J171" s="6">
        <v>450065</v>
      </c>
      <c r="K171" s="6">
        <v>20431</v>
      </c>
      <c r="L171" s="6">
        <v>3258</v>
      </c>
      <c r="M171" s="6">
        <v>59347</v>
      </c>
      <c r="N171" s="6">
        <v>156150</v>
      </c>
      <c r="O171" s="6">
        <v>188864</v>
      </c>
      <c r="P171" s="6">
        <v>208279</v>
      </c>
      <c r="Q171" s="6">
        <v>56577</v>
      </c>
      <c r="R171" s="6">
        <v>77371</v>
      </c>
      <c r="S171" s="6">
        <v>0</v>
      </c>
      <c r="T171" s="6">
        <v>0</v>
      </c>
      <c r="U171" s="6">
        <v>8796</v>
      </c>
      <c r="V171" s="6">
        <v>-2758</v>
      </c>
      <c r="W171" s="6">
        <v>25000</v>
      </c>
      <c r="X171" s="6">
        <v>30</v>
      </c>
      <c r="Y171" s="6"/>
      <c r="Z171" s="6"/>
      <c r="AA171" s="6"/>
      <c r="AB171" s="6">
        <v>5586</v>
      </c>
      <c r="AC171" s="6">
        <v>1823</v>
      </c>
      <c r="AD171" s="6">
        <v>0</v>
      </c>
      <c r="AE171" s="6">
        <v>19475</v>
      </c>
      <c r="AF171" s="6">
        <v>10351</v>
      </c>
    </row>
    <row r="172" spans="1:32" x14ac:dyDescent="0.35">
      <c r="A172" s="1">
        <v>38749</v>
      </c>
      <c r="B172" s="6">
        <v>831808</v>
      </c>
      <c r="C172" s="6">
        <v>11040</v>
      </c>
      <c r="D172" s="6">
        <v>2200</v>
      </c>
      <c r="E172" s="6">
        <v>810</v>
      </c>
      <c r="F172" s="6">
        <v>777835</v>
      </c>
      <c r="G172" s="6">
        <v>748840</v>
      </c>
      <c r="H172" s="6">
        <v>748840</v>
      </c>
      <c r="I172" s="6">
        <v>272854</v>
      </c>
      <c r="J172" s="6">
        <v>450580</v>
      </c>
      <c r="K172" s="6">
        <v>22196</v>
      </c>
      <c r="L172" s="6">
        <v>3210</v>
      </c>
      <c r="M172" s="6">
        <v>54102</v>
      </c>
      <c r="N172" s="6">
        <v>162842</v>
      </c>
      <c r="O172" s="6">
        <v>186158</v>
      </c>
      <c r="P172" s="6">
        <v>209981</v>
      </c>
      <c r="Q172" s="6">
        <v>56647</v>
      </c>
      <c r="R172" s="6">
        <v>79111</v>
      </c>
      <c r="S172" s="6">
        <v>0</v>
      </c>
      <c r="T172" s="6">
        <v>0</v>
      </c>
      <c r="U172" s="6">
        <v>8795</v>
      </c>
      <c r="V172" s="6">
        <v>-2855</v>
      </c>
      <c r="W172" s="6">
        <v>23000</v>
      </c>
      <c r="X172" s="6">
        <v>55</v>
      </c>
      <c r="Y172" s="6"/>
      <c r="Z172" s="6"/>
      <c r="AA172" s="6"/>
      <c r="AB172" s="6">
        <v>8508</v>
      </c>
      <c r="AC172" s="6">
        <v>1824</v>
      </c>
      <c r="AD172" s="6">
        <v>0</v>
      </c>
      <c r="AE172" s="6">
        <v>19186</v>
      </c>
      <c r="AF172" s="6">
        <v>10405</v>
      </c>
    </row>
    <row r="173" spans="1:32" x14ac:dyDescent="0.35">
      <c r="A173" s="1">
        <v>38756</v>
      </c>
      <c r="B173" s="6">
        <v>827613</v>
      </c>
      <c r="C173" s="6">
        <v>11040</v>
      </c>
      <c r="D173" s="6">
        <v>2200</v>
      </c>
      <c r="E173" s="6">
        <v>830</v>
      </c>
      <c r="F173" s="6">
        <v>774255</v>
      </c>
      <c r="G173" s="6">
        <v>748828</v>
      </c>
      <c r="H173" s="6">
        <v>748828</v>
      </c>
      <c r="I173" s="6">
        <v>272868</v>
      </c>
      <c r="J173" s="6">
        <v>450580</v>
      </c>
      <c r="K173" s="6">
        <v>22196</v>
      </c>
      <c r="L173" s="6">
        <v>3184</v>
      </c>
      <c r="M173" s="6">
        <v>53466</v>
      </c>
      <c r="N173" s="6">
        <v>163504</v>
      </c>
      <c r="O173" s="6">
        <v>186142</v>
      </c>
      <c r="P173" s="6">
        <v>209974</v>
      </c>
      <c r="Q173" s="6">
        <v>56643</v>
      </c>
      <c r="R173" s="6">
        <v>79099</v>
      </c>
      <c r="S173" s="6">
        <v>0</v>
      </c>
      <c r="T173" s="6">
        <v>0</v>
      </c>
      <c r="U173" s="6">
        <v>8771</v>
      </c>
      <c r="V173" s="6">
        <v>-2884</v>
      </c>
      <c r="W173" s="6">
        <v>19500</v>
      </c>
      <c r="X173" s="6">
        <v>41</v>
      </c>
      <c r="Y173" s="6"/>
      <c r="Z173" s="6"/>
      <c r="AA173" s="6"/>
      <c r="AB173" s="6">
        <v>7625</v>
      </c>
      <c r="AC173" s="6">
        <v>1824</v>
      </c>
      <c r="AD173" s="6">
        <v>0</v>
      </c>
      <c r="AE173" s="6">
        <v>18990</v>
      </c>
      <c r="AF173" s="6">
        <v>10848</v>
      </c>
    </row>
    <row r="174" spans="1:32" x14ac:dyDescent="0.35">
      <c r="A174" s="1">
        <v>38763</v>
      </c>
      <c r="B174" s="6">
        <v>835240</v>
      </c>
      <c r="C174" s="6">
        <v>11040</v>
      </c>
      <c r="D174" s="6">
        <v>2200</v>
      </c>
      <c r="E174" s="6">
        <v>846</v>
      </c>
      <c r="F174" s="6">
        <v>787333</v>
      </c>
      <c r="G174" s="6">
        <v>751327</v>
      </c>
      <c r="H174" s="6">
        <v>751327</v>
      </c>
      <c r="I174" s="6">
        <v>274142</v>
      </c>
      <c r="J174" s="6">
        <v>451830</v>
      </c>
      <c r="K174" s="6">
        <v>22196</v>
      </c>
      <c r="L174" s="6">
        <v>3158</v>
      </c>
      <c r="M174" s="6">
        <v>57839</v>
      </c>
      <c r="N174" s="6">
        <v>166494</v>
      </c>
      <c r="O174" s="6">
        <v>180520</v>
      </c>
      <c r="P174" s="6">
        <v>212648</v>
      </c>
      <c r="Q174" s="6">
        <v>53056</v>
      </c>
      <c r="R174" s="6">
        <v>80769</v>
      </c>
      <c r="S174" s="6">
        <v>0</v>
      </c>
      <c r="T174" s="6">
        <v>0</v>
      </c>
      <c r="U174" s="6">
        <v>8748</v>
      </c>
      <c r="V174" s="6">
        <v>-2955</v>
      </c>
      <c r="W174" s="6">
        <v>29750</v>
      </c>
      <c r="X174" s="6">
        <v>464</v>
      </c>
      <c r="Y174" s="6"/>
      <c r="Z174" s="6"/>
      <c r="AA174" s="6"/>
      <c r="AB174" s="6">
        <v>5544</v>
      </c>
      <c r="AC174" s="6">
        <v>1820</v>
      </c>
      <c r="AD174" s="6">
        <v>0</v>
      </c>
      <c r="AE174" s="6">
        <v>19000</v>
      </c>
      <c r="AF174" s="6">
        <v>7457</v>
      </c>
    </row>
    <row r="175" spans="1:32" x14ac:dyDescent="0.35">
      <c r="A175" s="1">
        <v>38770</v>
      </c>
      <c r="B175" s="6">
        <v>840555</v>
      </c>
      <c r="C175" s="6">
        <v>11040</v>
      </c>
      <c r="D175" s="6">
        <v>2200</v>
      </c>
      <c r="E175" s="6">
        <v>841</v>
      </c>
      <c r="F175" s="6">
        <v>787395</v>
      </c>
      <c r="G175" s="6">
        <v>752549</v>
      </c>
      <c r="H175" s="6">
        <v>752549</v>
      </c>
      <c r="I175" s="6">
        <v>274142</v>
      </c>
      <c r="J175" s="6">
        <v>453078</v>
      </c>
      <c r="K175" s="6">
        <v>22196</v>
      </c>
      <c r="L175" s="6">
        <v>3133</v>
      </c>
      <c r="M175" s="6">
        <v>57558</v>
      </c>
      <c r="N175" s="6">
        <v>166743</v>
      </c>
      <c r="O175" s="6">
        <v>180550</v>
      </c>
      <c r="P175" s="6">
        <v>213888</v>
      </c>
      <c r="Q175" s="6">
        <v>54931</v>
      </c>
      <c r="R175" s="6">
        <v>78879</v>
      </c>
      <c r="S175" s="6">
        <v>0</v>
      </c>
      <c r="T175" s="6">
        <v>0</v>
      </c>
      <c r="U175" s="6">
        <v>8724</v>
      </c>
      <c r="V175" s="6">
        <v>-2981</v>
      </c>
      <c r="W175" s="6">
        <v>29000</v>
      </c>
      <c r="X175" s="6">
        <v>103</v>
      </c>
      <c r="Y175" s="6"/>
      <c r="Z175" s="6"/>
      <c r="AA175" s="6"/>
      <c r="AB175" s="6">
        <v>10442</v>
      </c>
      <c r="AC175" s="6">
        <v>1820</v>
      </c>
      <c r="AD175" s="6">
        <v>0</v>
      </c>
      <c r="AE175" s="6">
        <v>18986</v>
      </c>
      <c r="AF175" s="6">
        <v>7831</v>
      </c>
    </row>
    <row r="176" spans="1:32" x14ac:dyDescent="0.35">
      <c r="A176" s="1">
        <v>38777</v>
      </c>
      <c r="B176" s="6">
        <v>839356</v>
      </c>
      <c r="C176" s="6">
        <v>11040</v>
      </c>
      <c r="D176" s="6">
        <v>2200</v>
      </c>
      <c r="E176" s="6">
        <v>826</v>
      </c>
      <c r="F176" s="6">
        <v>788307</v>
      </c>
      <c r="G176" s="6">
        <v>754682</v>
      </c>
      <c r="H176" s="6">
        <v>754682</v>
      </c>
      <c r="I176" s="6">
        <v>274142</v>
      </c>
      <c r="J176" s="6">
        <v>455227</v>
      </c>
      <c r="K176" s="6">
        <v>22196</v>
      </c>
      <c r="L176" s="6">
        <v>3117</v>
      </c>
      <c r="M176" s="6">
        <v>48410</v>
      </c>
      <c r="N176" s="6">
        <v>167362</v>
      </c>
      <c r="O176" s="6">
        <v>190678</v>
      </c>
      <c r="P176" s="6">
        <v>213483</v>
      </c>
      <c r="Q176" s="6">
        <v>54953</v>
      </c>
      <c r="R176" s="6">
        <v>79796</v>
      </c>
      <c r="S176" s="6">
        <v>0</v>
      </c>
      <c r="T176" s="6">
        <v>0</v>
      </c>
      <c r="U176" s="6">
        <v>8883</v>
      </c>
      <c r="V176" s="6">
        <v>-3047</v>
      </c>
      <c r="W176" s="6">
        <v>27750</v>
      </c>
      <c r="X176" s="6">
        <v>38</v>
      </c>
      <c r="Y176" s="6"/>
      <c r="Z176" s="6"/>
      <c r="AA176" s="6"/>
      <c r="AB176" s="6">
        <v>8125</v>
      </c>
      <c r="AC176" s="6">
        <v>1821</v>
      </c>
      <c r="AD176" s="6">
        <v>0</v>
      </c>
      <c r="AE176" s="6">
        <v>19146</v>
      </c>
      <c r="AF176" s="6">
        <v>7892</v>
      </c>
    </row>
    <row r="177" spans="1:32" x14ac:dyDescent="0.35">
      <c r="A177" s="1">
        <v>38784</v>
      </c>
      <c r="B177" s="6">
        <v>839234</v>
      </c>
      <c r="C177" s="6">
        <v>11040</v>
      </c>
      <c r="D177" s="6">
        <v>2200</v>
      </c>
      <c r="E177" s="6">
        <v>820</v>
      </c>
      <c r="F177" s="6">
        <v>787895</v>
      </c>
      <c r="G177" s="6">
        <v>755576</v>
      </c>
      <c r="H177" s="6">
        <v>755576</v>
      </c>
      <c r="I177" s="6">
        <v>274142</v>
      </c>
      <c r="J177" s="6">
        <v>456077</v>
      </c>
      <c r="K177" s="6">
        <v>22196</v>
      </c>
      <c r="L177" s="6">
        <v>3160</v>
      </c>
      <c r="M177" s="6">
        <v>48007</v>
      </c>
      <c r="N177" s="6">
        <v>174298</v>
      </c>
      <c r="O177" s="6">
        <v>184149</v>
      </c>
      <c r="P177" s="6">
        <v>213951</v>
      </c>
      <c r="Q177" s="6">
        <v>55355</v>
      </c>
      <c r="R177" s="6">
        <v>79816</v>
      </c>
      <c r="S177" s="6">
        <v>0</v>
      </c>
      <c r="T177" s="6">
        <v>0</v>
      </c>
      <c r="U177" s="6">
        <v>8861</v>
      </c>
      <c r="V177" s="6">
        <v>-3084</v>
      </c>
      <c r="W177" s="6">
        <v>26500</v>
      </c>
      <c r="X177" s="6">
        <v>43</v>
      </c>
      <c r="Y177" s="6"/>
      <c r="Z177" s="6"/>
      <c r="AA177" s="6"/>
      <c r="AB177" s="6">
        <v>8111</v>
      </c>
      <c r="AC177" s="6">
        <v>1821</v>
      </c>
      <c r="AD177" s="6">
        <v>0</v>
      </c>
      <c r="AE177" s="6">
        <v>19048</v>
      </c>
      <c r="AF177" s="6">
        <v>8299</v>
      </c>
    </row>
    <row r="178" spans="1:32" x14ac:dyDescent="0.35">
      <c r="A178" s="1">
        <v>38791</v>
      </c>
      <c r="B178" s="6">
        <v>843010</v>
      </c>
      <c r="C178" s="6">
        <v>11040</v>
      </c>
      <c r="D178" s="6">
        <v>2200</v>
      </c>
      <c r="E178" s="6">
        <v>799</v>
      </c>
      <c r="F178" s="6">
        <v>792749</v>
      </c>
      <c r="G178" s="6">
        <v>757213</v>
      </c>
      <c r="H178" s="6">
        <v>757213</v>
      </c>
      <c r="I178" s="6">
        <v>274142</v>
      </c>
      <c r="J178" s="6">
        <v>457177</v>
      </c>
      <c r="K178" s="6">
        <v>22646</v>
      </c>
      <c r="L178" s="6">
        <v>3247</v>
      </c>
      <c r="M178" s="6">
        <v>46914</v>
      </c>
      <c r="N178" s="6">
        <v>174974</v>
      </c>
      <c r="O178" s="6">
        <v>184570</v>
      </c>
      <c r="P178" s="6">
        <v>215452</v>
      </c>
      <c r="Q178" s="6">
        <v>55362</v>
      </c>
      <c r="R178" s="6">
        <v>79942</v>
      </c>
      <c r="S178" s="6">
        <v>0</v>
      </c>
      <c r="T178" s="6">
        <v>0</v>
      </c>
      <c r="U178" s="6">
        <v>8877</v>
      </c>
      <c r="V178" s="6">
        <v>-3151</v>
      </c>
      <c r="W178" s="6">
        <v>29750</v>
      </c>
      <c r="X178" s="6">
        <v>60</v>
      </c>
      <c r="Y178" s="6"/>
      <c r="Z178" s="6"/>
      <c r="AA178" s="6"/>
      <c r="AB178" s="6">
        <v>6525</v>
      </c>
      <c r="AC178" s="6">
        <v>1822</v>
      </c>
      <c r="AD178" s="6">
        <v>0</v>
      </c>
      <c r="AE178" s="6">
        <v>19216</v>
      </c>
      <c r="AF178" s="6">
        <v>8658</v>
      </c>
    </row>
    <row r="179" spans="1:32" x14ac:dyDescent="0.35">
      <c r="A179" s="1">
        <v>38798</v>
      </c>
      <c r="B179" s="6">
        <v>838003</v>
      </c>
      <c r="C179" s="6">
        <v>11040</v>
      </c>
      <c r="D179" s="6">
        <v>2200</v>
      </c>
      <c r="E179" s="6">
        <v>795</v>
      </c>
      <c r="F179" s="6">
        <v>788900</v>
      </c>
      <c r="G179" s="6">
        <v>757257</v>
      </c>
      <c r="H179" s="6">
        <v>757257</v>
      </c>
      <c r="I179" s="6">
        <v>274142</v>
      </c>
      <c r="J179" s="6">
        <v>457177</v>
      </c>
      <c r="K179" s="6">
        <v>22646</v>
      </c>
      <c r="L179" s="6">
        <v>3292</v>
      </c>
      <c r="M179" s="6">
        <v>54496</v>
      </c>
      <c r="N179" s="6">
        <v>167102</v>
      </c>
      <c r="O179" s="6">
        <v>184863</v>
      </c>
      <c r="P179" s="6">
        <v>215466</v>
      </c>
      <c r="Q179" s="6">
        <v>55368</v>
      </c>
      <c r="R179" s="6">
        <v>79962</v>
      </c>
      <c r="S179" s="6">
        <v>0</v>
      </c>
      <c r="T179" s="6">
        <v>0</v>
      </c>
      <c r="U179" s="6">
        <v>8854</v>
      </c>
      <c r="V179" s="6">
        <v>-3162</v>
      </c>
      <c r="W179" s="6">
        <v>25750</v>
      </c>
      <c r="X179" s="6">
        <v>201</v>
      </c>
      <c r="Y179" s="6"/>
      <c r="Z179" s="6"/>
      <c r="AA179" s="6"/>
      <c r="AB179" s="6">
        <v>4898</v>
      </c>
      <c r="AC179" s="6">
        <v>1825</v>
      </c>
      <c r="AD179" s="6">
        <v>0</v>
      </c>
      <c r="AE179" s="6">
        <v>19308</v>
      </c>
      <c r="AF179" s="6">
        <v>9038</v>
      </c>
    </row>
    <row r="180" spans="1:32" x14ac:dyDescent="0.35">
      <c r="A180" s="1">
        <v>38805</v>
      </c>
      <c r="B180" s="6">
        <v>833675</v>
      </c>
      <c r="C180" s="6">
        <v>11040</v>
      </c>
      <c r="D180" s="6">
        <v>2200</v>
      </c>
      <c r="E180" s="6">
        <v>789</v>
      </c>
      <c r="F180" s="6">
        <v>783923</v>
      </c>
      <c r="G180" s="6">
        <v>758529</v>
      </c>
      <c r="H180" s="6">
        <v>758529</v>
      </c>
      <c r="I180" s="6">
        <v>275370</v>
      </c>
      <c r="J180" s="6">
        <v>457177</v>
      </c>
      <c r="K180" s="6">
        <v>22646</v>
      </c>
      <c r="L180" s="6">
        <v>3336</v>
      </c>
      <c r="M180" s="6">
        <v>54045</v>
      </c>
      <c r="N180" s="6">
        <v>167569</v>
      </c>
      <c r="O180" s="6">
        <v>186079</v>
      </c>
      <c r="P180" s="6">
        <v>215479</v>
      </c>
      <c r="Q180" s="6">
        <v>55375</v>
      </c>
      <c r="R180" s="6">
        <v>79982</v>
      </c>
      <c r="S180" s="6">
        <v>0</v>
      </c>
      <c r="T180" s="6">
        <v>0</v>
      </c>
      <c r="U180" s="6">
        <v>8830</v>
      </c>
      <c r="V180" s="6">
        <v>-3187</v>
      </c>
      <c r="W180" s="6">
        <v>19500</v>
      </c>
      <c r="X180" s="6">
        <v>251</v>
      </c>
      <c r="Y180" s="6"/>
      <c r="Z180" s="6"/>
      <c r="AA180" s="6"/>
      <c r="AB180" s="6">
        <v>5259</v>
      </c>
      <c r="AC180" s="6">
        <v>1824</v>
      </c>
      <c r="AD180" s="6">
        <v>0</v>
      </c>
      <c r="AE180" s="6">
        <v>19180</v>
      </c>
      <c r="AF180" s="6">
        <v>9461</v>
      </c>
    </row>
    <row r="181" spans="1:32" x14ac:dyDescent="0.35">
      <c r="A181" s="1">
        <v>38812</v>
      </c>
      <c r="B181" s="6">
        <v>834589</v>
      </c>
      <c r="C181" s="6">
        <v>11039</v>
      </c>
      <c r="D181" s="6">
        <v>2200</v>
      </c>
      <c r="E181" s="6">
        <v>797</v>
      </c>
      <c r="F181" s="6">
        <v>783493</v>
      </c>
      <c r="G181" s="6">
        <v>758551</v>
      </c>
      <c r="H181" s="6">
        <v>758551</v>
      </c>
      <c r="I181" s="6">
        <v>275370</v>
      </c>
      <c r="J181" s="6">
        <v>457177</v>
      </c>
      <c r="K181" s="6">
        <v>22646</v>
      </c>
      <c r="L181" s="6">
        <v>3358</v>
      </c>
      <c r="M181" s="6">
        <v>47230</v>
      </c>
      <c r="N181" s="6">
        <v>174254</v>
      </c>
      <c r="O181" s="6">
        <v>185878</v>
      </c>
      <c r="P181" s="6">
        <v>215819</v>
      </c>
      <c r="Q181" s="6">
        <v>55378</v>
      </c>
      <c r="R181" s="6">
        <v>79992</v>
      </c>
      <c r="S181" s="6">
        <v>0</v>
      </c>
      <c r="T181" s="6">
        <v>0</v>
      </c>
      <c r="U181" s="6">
        <v>8807</v>
      </c>
      <c r="V181" s="6">
        <v>-3179</v>
      </c>
      <c r="W181" s="6">
        <v>19250</v>
      </c>
      <c r="X181" s="6">
        <v>64</v>
      </c>
      <c r="Y181" s="6"/>
      <c r="Z181" s="6"/>
      <c r="AA181" s="6"/>
      <c r="AB181" s="6">
        <v>6313</v>
      </c>
      <c r="AC181" s="6">
        <v>1832</v>
      </c>
      <c r="AD181" s="6">
        <v>0</v>
      </c>
      <c r="AE181" s="6">
        <v>19425</v>
      </c>
      <c r="AF181" s="6">
        <v>9490</v>
      </c>
    </row>
    <row r="182" spans="1:32" x14ac:dyDescent="0.35">
      <c r="A182" s="1">
        <v>38819</v>
      </c>
      <c r="B182" s="6">
        <v>836862</v>
      </c>
      <c r="C182" s="6">
        <v>11039</v>
      </c>
      <c r="D182" s="6">
        <v>2200</v>
      </c>
      <c r="E182" s="6">
        <v>798</v>
      </c>
      <c r="F182" s="6">
        <v>786703</v>
      </c>
      <c r="G182" s="6">
        <v>758563</v>
      </c>
      <c r="H182" s="6">
        <v>758563</v>
      </c>
      <c r="I182" s="6">
        <v>275370</v>
      </c>
      <c r="J182" s="6">
        <v>457177</v>
      </c>
      <c r="K182" s="6">
        <v>22646</v>
      </c>
      <c r="L182" s="6">
        <v>3370</v>
      </c>
      <c r="M182" s="6">
        <v>49823</v>
      </c>
      <c r="N182" s="6">
        <v>172127</v>
      </c>
      <c r="O182" s="6">
        <v>185412</v>
      </c>
      <c r="P182" s="6">
        <v>215823</v>
      </c>
      <c r="Q182" s="6">
        <v>55380</v>
      </c>
      <c r="R182" s="6">
        <v>79998</v>
      </c>
      <c r="S182" s="6">
        <v>0</v>
      </c>
      <c r="T182" s="6">
        <v>0</v>
      </c>
      <c r="U182" s="6">
        <v>8783</v>
      </c>
      <c r="V182" s="6">
        <v>-3149</v>
      </c>
      <c r="W182" s="6">
        <v>18750</v>
      </c>
      <c r="X182" s="6">
        <v>3755</v>
      </c>
      <c r="Y182" s="6"/>
      <c r="Z182" s="6"/>
      <c r="AA182" s="6"/>
      <c r="AB182" s="6">
        <v>5103</v>
      </c>
      <c r="AC182" s="6">
        <v>1833</v>
      </c>
      <c r="AD182" s="6">
        <v>0</v>
      </c>
      <c r="AE182" s="6">
        <v>19219</v>
      </c>
      <c r="AF182" s="6">
        <v>9968</v>
      </c>
    </row>
    <row r="183" spans="1:32" x14ac:dyDescent="0.35">
      <c r="A183" s="1">
        <v>38826</v>
      </c>
      <c r="B183" s="6">
        <v>836352</v>
      </c>
      <c r="C183" s="6">
        <v>11039</v>
      </c>
      <c r="D183" s="6">
        <v>2200</v>
      </c>
      <c r="E183" s="6">
        <v>801</v>
      </c>
      <c r="F183" s="6">
        <v>785554</v>
      </c>
      <c r="G183" s="6">
        <v>758575</v>
      </c>
      <c r="H183" s="6">
        <v>758575</v>
      </c>
      <c r="I183" s="6">
        <v>275370</v>
      </c>
      <c r="J183" s="6">
        <v>457177</v>
      </c>
      <c r="K183" s="6">
        <v>22646</v>
      </c>
      <c r="L183" s="6">
        <v>3382</v>
      </c>
      <c r="M183" s="6">
        <v>60915</v>
      </c>
      <c r="N183" s="6">
        <v>167450</v>
      </c>
      <c r="O183" s="6">
        <v>178998</v>
      </c>
      <c r="P183" s="6">
        <v>215827</v>
      </c>
      <c r="Q183" s="6">
        <v>55382</v>
      </c>
      <c r="R183" s="6">
        <v>80003</v>
      </c>
      <c r="S183" s="6">
        <v>0</v>
      </c>
      <c r="T183" s="6">
        <v>0</v>
      </c>
      <c r="U183" s="6">
        <v>8760</v>
      </c>
      <c r="V183" s="6">
        <v>-3119</v>
      </c>
      <c r="W183" s="6">
        <v>21250</v>
      </c>
      <c r="X183" s="6">
        <v>88</v>
      </c>
      <c r="Y183" s="6"/>
      <c r="Z183" s="6"/>
      <c r="AA183" s="6"/>
      <c r="AB183" s="6">
        <v>5416</v>
      </c>
      <c r="AC183" s="6">
        <v>1833</v>
      </c>
      <c r="AD183" s="6">
        <v>0</v>
      </c>
      <c r="AE183" s="6">
        <v>19506</v>
      </c>
      <c r="AF183" s="6">
        <v>10003</v>
      </c>
    </row>
    <row r="184" spans="1:32" x14ac:dyDescent="0.35">
      <c r="A184" s="1">
        <v>38833</v>
      </c>
      <c r="B184" s="6">
        <v>844572</v>
      </c>
      <c r="C184" s="6">
        <v>11039</v>
      </c>
      <c r="D184" s="6">
        <v>2200</v>
      </c>
      <c r="E184" s="6">
        <v>805</v>
      </c>
      <c r="F184" s="6">
        <v>792136</v>
      </c>
      <c r="G184" s="6">
        <v>759683</v>
      </c>
      <c r="H184" s="6">
        <v>759683</v>
      </c>
      <c r="I184" s="6">
        <v>275370</v>
      </c>
      <c r="J184" s="6">
        <v>458273</v>
      </c>
      <c r="K184" s="6">
        <v>22646</v>
      </c>
      <c r="L184" s="6">
        <v>3394</v>
      </c>
      <c r="M184" s="6">
        <v>63186</v>
      </c>
      <c r="N184" s="6">
        <v>166349</v>
      </c>
      <c r="O184" s="6">
        <v>177830</v>
      </c>
      <c r="P184" s="6">
        <v>216926</v>
      </c>
      <c r="Q184" s="6">
        <v>55384</v>
      </c>
      <c r="R184" s="6">
        <v>80009</v>
      </c>
      <c r="S184" s="6">
        <v>0</v>
      </c>
      <c r="T184" s="6">
        <v>0</v>
      </c>
      <c r="U184" s="6">
        <v>8736</v>
      </c>
      <c r="V184" s="6">
        <v>-3139</v>
      </c>
      <c r="W184" s="6">
        <v>26750</v>
      </c>
      <c r="X184" s="6">
        <v>105</v>
      </c>
      <c r="Y184" s="6"/>
      <c r="Z184" s="6"/>
      <c r="AA184" s="6"/>
      <c r="AB184" s="6">
        <v>6285</v>
      </c>
      <c r="AC184" s="6">
        <v>1833</v>
      </c>
      <c r="AD184" s="6">
        <v>0</v>
      </c>
      <c r="AE184" s="6">
        <v>19824</v>
      </c>
      <c r="AF184" s="6">
        <v>10449</v>
      </c>
    </row>
    <row r="185" spans="1:32" x14ac:dyDescent="0.35">
      <c r="A185" s="1">
        <v>38840</v>
      </c>
      <c r="B185" s="6">
        <v>843867</v>
      </c>
      <c r="C185" s="6">
        <v>11037</v>
      </c>
      <c r="D185" s="6">
        <v>2200</v>
      </c>
      <c r="E185" s="6">
        <v>803</v>
      </c>
      <c r="F185" s="6">
        <v>791156</v>
      </c>
      <c r="G185" s="6">
        <v>759704</v>
      </c>
      <c r="H185" s="6">
        <v>759704</v>
      </c>
      <c r="I185" s="6">
        <v>275370</v>
      </c>
      <c r="J185" s="6">
        <v>458273</v>
      </c>
      <c r="K185" s="6">
        <v>22646</v>
      </c>
      <c r="L185" s="6">
        <v>3415</v>
      </c>
      <c r="M185" s="6">
        <v>65706</v>
      </c>
      <c r="N185" s="6">
        <v>165126</v>
      </c>
      <c r="O185" s="6">
        <v>177251</v>
      </c>
      <c r="P185" s="6">
        <v>216216</v>
      </c>
      <c r="Q185" s="6">
        <v>55387</v>
      </c>
      <c r="R185" s="6">
        <v>80018</v>
      </c>
      <c r="S185" s="6">
        <v>0</v>
      </c>
      <c r="T185" s="6">
        <v>0</v>
      </c>
      <c r="U185" s="6">
        <v>8713</v>
      </c>
      <c r="V185" s="6">
        <v>-3146</v>
      </c>
      <c r="W185" s="6">
        <v>25750</v>
      </c>
      <c r="X185" s="6">
        <v>135</v>
      </c>
      <c r="Y185" s="6"/>
      <c r="Z185" s="6"/>
      <c r="AA185" s="6"/>
      <c r="AB185" s="6">
        <v>6362</v>
      </c>
      <c r="AC185" s="6">
        <v>1835</v>
      </c>
      <c r="AD185" s="6">
        <v>0</v>
      </c>
      <c r="AE185" s="6">
        <v>20086</v>
      </c>
      <c r="AF185" s="6">
        <v>10387</v>
      </c>
    </row>
    <row r="186" spans="1:32" x14ac:dyDescent="0.35">
      <c r="A186" s="1">
        <v>38847</v>
      </c>
      <c r="B186" s="6">
        <v>838405</v>
      </c>
      <c r="C186" s="6">
        <v>11037</v>
      </c>
      <c r="D186" s="6">
        <v>2200</v>
      </c>
      <c r="E186" s="6">
        <v>781</v>
      </c>
      <c r="F186" s="6">
        <v>786170</v>
      </c>
      <c r="G186" s="6">
        <v>759737</v>
      </c>
      <c r="H186" s="6">
        <v>759737</v>
      </c>
      <c r="I186" s="6">
        <v>275370</v>
      </c>
      <c r="J186" s="6">
        <v>458273</v>
      </c>
      <c r="K186" s="6">
        <v>22646</v>
      </c>
      <c r="L186" s="6">
        <v>3448</v>
      </c>
      <c r="M186" s="6">
        <v>66774</v>
      </c>
      <c r="N186" s="6">
        <v>164927</v>
      </c>
      <c r="O186" s="6">
        <v>176385</v>
      </c>
      <c r="P186" s="6">
        <v>216226</v>
      </c>
      <c r="Q186" s="6">
        <v>55392</v>
      </c>
      <c r="R186" s="6">
        <v>80033</v>
      </c>
      <c r="S186" s="6">
        <v>0</v>
      </c>
      <c r="T186" s="6">
        <v>0</v>
      </c>
      <c r="U186" s="6">
        <v>8690</v>
      </c>
      <c r="V186" s="6">
        <v>-3141</v>
      </c>
      <c r="W186" s="6">
        <v>20500</v>
      </c>
      <c r="X186" s="6">
        <v>385</v>
      </c>
      <c r="Y186" s="6"/>
      <c r="Z186" s="6"/>
      <c r="AA186" s="6"/>
      <c r="AB186" s="6">
        <v>5052</v>
      </c>
      <c r="AC186" s="6">
        <v>1836</v>
      </c>
      <c r="AD186" s="6">
        <v>0</v>
      </c>
      <c r="AE186" s="6">
        <v>20459</v>
      </c>
      <c r="AF186" s="6">
        <v>10870</v>
      </c>
    </row>
    <row r="187" spans="1:32" x14ac:dyDescent="0.35">
      <c r="A187" s="1">
        <v>38854</v>
      </c>
      <c r="B187" s="6">
        <v>838153</v>
      </c>
      <c r="C187" s="6">
        <v>11037</v>
      </c>
      <c r="D187" s="6">
        <v>2200</v>
      </c>
      <c r="E187" s="6">
        <v>767</v>
      </c>
      <c r="F187" s="6">
        <v>786781</v>
      </c>
      <c r="G187" s="6">
        <v>759651</v>
      </c>
      <c r="H187" s="6">
        <v>759651</v>
      </c>
      <c r="I187" s="6">
        <v>275370</v>
      </c>
      <c r="J187" s="6">
        <v>458155</v>
      </c>
      <c r="K187" s="6">
        <v>22646</v>
      </c>
      <c r="L187" s="6">
        <v>3480</v>
      </c>
      <c r="M187" s="6">
        <v>64454</v>
      </c>
      <c r="N187" s="6">
        <v>164067</v>
      </c>
      <c r="O187" s="6">
        <v>180967</v>
      </c>
      <c r="P187" s="6">
        <v>212424</v>
      </c>
      <c r="Q187" s="6">
        <v>55397</v>
      </c>
      <c r="R187" s="6">
        <v>82342</v>
      </c>
      <c r="S187" s="6">
        <v>0</v>
      </c>
      <c r="T187" s="6">
        <v>0</v>
      </c>
      <c r="U187" s="6">
        <v>8667</v>
      </c>
      <c r="V187" s="6">
        <v>-3215</v>
      </c>
      <c r="W187" s="6">
        <v>21500</v>
      </c>
      <c r="X187" s="6">
        <v>178</v>
      </c>
      <c r="Y187" s="6"/>
      <c r="Z187" s="6"/>
      <c r="AA187" s="6"/>
      <c r="AB187" s="6">
        <v>7274</v>
      </c>
      <c r="AC187" s="6">
        <v>1836</v>
      </c>
      <c r="AD187" s="6">
        <v>0</v>
      </c>
      <c r="AE187" s="6">
        <v>20390</v>
      </c>
      <c r="AF187" s="6">
        <v>7868</v>
      </c>
    </row>
    <row r="188" spans="1:32" x14ac:dyDescent="0.35">
      <c r="A188" s="1">
        <v>38861</v>
      </c>
      <c r="B188" s="6">
        <v>840251</v>
      </c>
      <c r="C188" s="6">
        <v>11037</v>
      </c>
      <c r="D188" s="6">
        <v>2200</v>
      </c>
      <c r="E188" s="6">
        <v>743</v>
      </c>
      <c r="F188" s="6">
        <v>790441</v>
      </c>
      <c r="G188" s="6">
        <v>762378</v>
      </c>
      <c r="H188" s="6">
        <v>762378</v>
      </c>
      <c r="I188" s="6">
        <v>275370</v>
      </c>
      <c r="J188" s="6">
        <v>460850</v>
      </c>
      <c r="K188" s="6">
        <v>22646</v>
      </c>
      <c r="L188" s="6">
        <v>3513</v>
      </c>
      <c r="M188" s="6">
        <v>65840</v>
      </c>
      <c r="N188" s="6">
        <v>163279</v>
      </c>
      <c r="O188" s="6">
        <v>181747</v>
      </c>
      <c r="P188" s="6">
        <v>213652</v>
      </c>
      <c r="Q188" s="6">
        <v>59595</v>
      </c>
      <c r="R188" s="6">
        <v>78265</v>
      </c>
      <c r="S188" s="6">
        <v>0</v>
      </c>
      <c r="T188" s="6">
        <v>0</v>
      </c>
      <c r="U188" s="6">
        <v>8670</v>
      </c>
      <c r="V188" s="6">
        <v>-3286</v>
      </c>
      <c r="W188" s="6">
        <v>22500</v>
      </c>
      <c r="X188" s="6">
        <v>179</v>
      </c>
      <c r="Y188" s="6"/>
      <c r="Z188" s="6"/>
      <c r="AA188" s="6"/>
      <c r="AB188" s="6">
        <v>5410</v>
      </c>
      <c r="AC188" s="6">
        <v>1836</v>
      </c>
      <c r="AD188" s="6">
        <v>0</v>
      </c>
      <c r="AE188" s="6">
        <v>20253</v>
      </c>
      <c r="AF188" s="6">
        <v>8330</v>
      </c>
    </row>
    <row r="189" spans="1:32" x14ac:dyDescent="0.35">
      <c r="A189" s="1">
        <v>38868</v>
      </c>
      <c r="B189" s="6">
        <v>851580</v>
      </c>
      <c r="C189" s="6">
        <v>11037</v>
      </c>
      <c r="D189" s="6">
        <v>2200</v>
      </c>
      <c r="E189" s="6">
        <v>716</v>
      </c>
      <c r="F189" s="6">
        <v>798714</v>
      </c>
      <c r="G189" s="6">
        <v>762411</v>
      </c>
      <c r="H189" s="6">
        <v>762411</v>
      </c>
      <c r="I189" s="6">
        <v>275370</v>
      </c>
      <c r="J189" s="6">
        <v>460850</v>
      </c>
      <c r="K189" s="6">
        <v>22646</v>
      </c>
      <c r="L189" s="6">
        <v>3545</v>
      </c>
      <c r="M189" s="6">
        <v>58534</v>
      </c>
      <c r="N189" s="6">
        <v>164445</v>
      </c>
      <c r="O189" s="6">
        <v>188284</v>
      </c>
      <c r="P189" s="6">
        <v>213268</v>
      </c>
      <c r="Q189" s="6">
        <v>59600</v>
      </c>
      <c r="R189" s="6">
        <v>78280</v>
      </c>
      <c r="S189" s="6">
        <v>0</v>
      </c>
      <c r="T189" s="6">
        <v>0</v>
      </c>
      <c r="U189" s="6">
        <v>8650</v>
      </c>
      <c r="V189" s="6">
        <v>-3303</v>
      </c>
      <c r="W189" s="6">
        <v>30750</v>
      </c>
      <c r="X189" s="6">
        <v>207</v>
      </c>
      <c r="Y189" s="6"/>
      <c r="Z189" s="6"/>
      <c r="AA189" s="6"/>
      <c r="AB189" s="6">
        <v>8412</v>
      </c>
      <c r="AC189" s="6">
        <v>1837</v>
      </c>
      <c r="AD189" s="6">
        <v>0</v>
      </c>
      <c r="AE189" s="6">
        <v>20381</v>
      </c>
      <c r="AF189" s="6">
        <v>8284</v>
      </c>
    </row>
    <row r="190" spans="1:32" x14ac:dyDescent="0.35">
      <c r="A190" s="1">
        <v>38875</v>
      </c>
      <c r="B190" s="6">
        <v>849074</v>
      </c>
      <c r="C190" s="6">
        <v>11037</v>
      </c>
      <c r="D190" s="6">
        <v>2200</v>
      </c>
      <c r="E190" s="6">
        <v>703</v>
      </c>
      <c r="F190" s="6">
        <v>797064</v>
      </c>
      <c r="G190" s="6">
        <v>764877</v>
      </c>
      <c r="H190" s="6">
        <v>764877</v>
      </c>
      <c r="I190" s="6">
        <v>275370</v>
      </c>
      <c r="J190" s="6">
        <v>463264</v>
      </c>
      <c r="K190" s="6">
        <v>22646</v>
      </c>
      <c r="L190" s="6">
        <v>3597</v>
      </c>
      <c r="M190" s="6">
        <v>58519</v>
      </c>
      <c r="N190" s="6">
        <v>173401</v>
      </c>
      <c r="O190" s="6">
        <v>179347</v>
      </c>
      <c r="P190" s="6">
        <v>214618</v>
      </c>
      <c r="Q190" s="6">
        <v>60688</v>
      </c>
      <c r="R190" s="6">
        <v>78304</v>
      </c>
      <c r="S190" s="6">
        <v>0</v>
      </c>
      <c r="T190" s="6">
        <v>0</v>
      </c>
      <c r="U190" s="6">
        <v>8627</v>
      </c>
      <c r="V190" s="6">
        <v>-3409</v>
      </c>
      <c r="W190" s="6">
        <v>26750</v>
      </c>
      <c r="X190" s="6">
        <v>219</v>
      </c>
      <c r="Y190" s="6"/>
      <c r="Z190" s="6"/>
      <c r="AA190" s="6"/>
      <c r="AB190" s="6">
        <v>7192</v>
      </c>
      <c r="AC190" s="6">
        <v>1847</v>
      </c>
      <c r="AD190" s="6">
        <v>0</v>
      </c>
      <c r="AE190" s="6">
        <v>20275</v>
      </c>
      <c r="AF190" s="6">
        <v>8756</v>
      </c>
    </row>
    <row r="191" spans="1:32" x14ac:dyDescent="0.35">
      <c r="A191" s="1">
        <v>38882</v>
      </c>
      <c r="B191" s="6">
        <v>845869</v>
      </c>
      <c r="C191" s="6">
        <v>11037</v>
      </c>
      <c r="D191" s="6">
        <v>2200</v>
      </c>
      <c r="E191" s="6">
        <v>722</v>
      </c>
      <c r="F191" s="6">
        <v>795915</v>
      </c>
      <c r="G191" s="6">
        <v>766245</v>
      </c>
      <c r="H191" s="6">
        <v>766245</v>
      </c>
      <c r="I191" s="6">
        <v>275370</v>
      </c>
      <c r="J191" s="6">
        <v>464580</v>
      </c>
      <c r="K191" s="6">
        <v>22646</v>
      </c>
      <c r="L191" s="6">
        <v>3649</v>
      </c>
      <c r="M191" s="6">
        <v>56340</v>
      </c>
      <c r="N191" s="6">
        <v>176968</v>
      </c>
      <c r="O191" s="6">
        <v>177963</v>
      </c>
      <c r="P191" s="6">
        <v>215950</v>
      </c>
      <c r="Q191" s="6">
        <v>60696</v>
      </c>
      <c r="R191" s="6">
        <v>78328</v>
      </c>
      <c r="S191" s="6">
        <v>0</v>
      </c>
      <c r="T191" s="6">
        <v>0</v>
      </c>
      <c r="U191" s="6">
        <v>8607</v>
      </c>
      <c r="V191" s="6">
        <v>-3432</v>
      </c>
      <c r="W191" s="6">
        <v>24250</v>
      </c>
      <c r="X191" s="6">
        <v>245</v>
      </c>
      <c r="Y191" s="6"/>
      <c r="Z191" s="6"/>
      <c r="AA191" s="6"/>
      <c r="AB191" s="6">
        <v>4868</v>
      </c>
      <c r="AC191" s="6">
        <v>1852</v>
      </c>
      <c r="AD191" s="6">
        <v>0</v>
      </c>
      <c r="AE191" s="6">
        <v>20016</v>
      </c>
      <c r="AF191" s="6">
        <v>9261</v>
      </c>
    </row>
    <row r="192" spans="1:32" x14ac:dyDescent="0.35">
      <c r="A192" s="1">
        <v>38889</v>
      </c>
      <c r="B192" s="6">
        <v>844773</v>
      </c>
      <c r="C192" s="6">
        <v>11037</v>
      </c>
      <c r="D192" s="6">
        <v>2200</v>
      </c>
      <c r="E192" s="6">
        <v>729</v>
      </c>
      <c r="F192" s="6">
        <v>793960</v>
      </c>
      <c r="G192" s="6">
        <v>766297</v>
      </c>
      <c r="H192" s="6">
        <v>766297</v>
      </c>
      <c r="I192" s="6">
        <v>275370</v>
      </c>
      <c r="J192" s="6">
        <v>464580</v>
      </c>
      <c r="K192" s="6">
        <v>22646</v>
      </c>
      <c r="L192" s="6">
        <v>3701</v>
      </c>
      <c r="M192" s="6">
        <v>63220</v>
      </c>
      <c r="N192" s="6">
        <v>171044</v>
      </c>
      <c r="O192" s="6">
        <v>177012</v>
      </c>
      <c r="P192" s="6">
        <v>215966</v>
      </c>
      <c r="Q192" s="6">
        <v>60704</v>
      </c>
      <c r="R192" s="6">
        <v>78352</v>
      </c>
      <c r="S192" s="6">
        <v>0</v>
      </c>
      <c r="T192" s="6">
        <v>0</v>
      </c>
      <c r="U192" s="6">
        <v>8586</v>
      </c>
      <c r="V192" s="6">
        <v>-3444</v>
      </c>
      <c r="W192" s="6">
        <v>22250</v>
      </c>
      <c r="X192" s="6">
        <v>271</v>
      </c>
      <c r="Y192" s="6"/>
      <c r="Z192" s="6"/>
      <c r="AA192" s="6"/>
      <c r="AB192" s="6">
        <v>5430</v>
      </c>
      <c r="AC192" s="6">
        <v>1854</v>
      </c>
      <c r="AD192" s="6">
        <v>0</v>
      </c>
      <c r="AE192" s="6">
        <v>20061</v>
      </c>
      <c r="AF192" s="6">
        <v>9503</v>
      </c>
    </row>
    <row r="193" spans="1:32" x14ac:dyDescent="0.35">
      <c r="A193" s="1">
        <v>38896</v>
      </c>
      <c r="B193" s="6">
        <v>844436</v>
      </c>
      <c r="C193" s="6">
        <v>11037</v>
      </c>
      <c r="D193" s="6">
        <v>2200</v>
      </c>
      <c r="E193" s="6">
        <v>720</v>
      </c>
      <c r="F193" s="6">
        <v>794253</v>
      </c>
      <c r="G193" s="6">
        <v>766349</v>
      </c>
      <c r="H193" s="6">
        <v>766349</v>
      </c>
      <c r="I193" s="6">
        <v>275370</v>
      </c>
      <c r="J193" s="6">
        <v>464580</v>
      </c>
      <c r="K193" s="6">
        <v>22646</v>
      </c>
      <c r="L193" s="6">
        <v>3753</v>
      </c>
      <c r="M193" s="6">
        <v>61309</v>
      </c>
      <c r="N193" s="6">
        <v>172967</v>
      </c>
      <c r="O193" s="6">
        <v>177003</v>
      </c>
      <c r="P193" s="6">
        <v>215982</v>
      </c>
      <c r="Q193" s="6">
        <v>60712</v>
      </c>
      <c r="R193" s="6">
        <v>78375</v>
      </c>
      <c r="S193" s="6">
        <v>0</v>
      </c>
      <c r="T193" s="6">
        <v>0</v>
      </c>
      <c r="U193" s="6">
        <v>8566</v>
      </c>
      <c r="V193" s="6">
        <v>-3462</v>
      </c>
      <c r="W193" s="6">
        <v>22500</v>
      </c>
      <c r="X193" s="6">
        <v>300</v>
      </c>
      <c r="Y193" s="6"/>
      <c r="Z193" s="6"/>
      <c r="AA193" s="6"/>
      <c r="AB193" s="6">
        <v>4624</v>
      </c>
      <c r="AC193" s="6">
        <v>1855</v>
      </c>
      <c r="AD193" s="6">
        <v>0</v>
      </c>
      <c r="AE193" s="6">
        <v>19826</v>
      </c>
      <c r="AF193" s="6">
        <v>9922</v>
      </c>
    </row>
    <row r="194" spans="1:32" x14ac:dyDescent="0.35">
      <c r="A194" s="1">
        <v>38903</v>
      </c>
      <c r="B194" s="6">
        <v>851659</v>
      </c>
      <c r="C194" s="6">
        <v>11037</v>
      </c>
      <c r="D194" s="6">
        <v>2200</v>
      </c>
      <c r="E194" s="6">
        <v>696</v>
      </c>
      <c r="F194" s="6">
        <v>799972</v>
      </c>
      <c r="G194" s="6">
        <v>766385</v>
      </c>
      <c r="H194" s="6">
        <v>766385</v>
      </c>
      <c r="I194" s="6">
        <v>275370</v>
      </c>
      <c r="J194" s="6">
        <v>464580</v>
      </c>
      <c r="K194" s="6">
        <v>22646</v>
      </c>
      <c r="L194" s="6">
        <v>3789</v>
      </c>
      <c r="M194" s="6">
        <v>58899</v>
      </c>
      <c r="N194" s="6">
        <v>174987</v>
      </c>
      <c r="O194" s="6">
        <v>176068</v>
      </c>
      <c r="P194" s="6">
        <v>217323</v>
      </c>
      <c r="Q194" s="6">
        <v>60717</v>
      </c>
      <c r="R194" s="6">
        <v>78392</v>
      </c>
      <c r="S194" s="6">
        <v>0</v>
      </c>
      <c r="T194" s="6">
        <v>0</v>
      </c>
      <c r="U194" s="6">
        <v>8545</v>
      </c>
      <c r="V194" s="6">
        <v>-3490</v>
      </c>
      <c r="W194" s="6">
        <v>28250</v>
      </c>
      <c r="X194" s="6">
        <v>282</v>
      </c>
      <c r="Y194" s="6"/>
      <c r="Z194" s="6"/>
      <c r="AA194" s="6"/>
      <c r="AB194" s="6">
        <v>5979</v>
      </c>
      <c r="AC194" s="6">
        <v>1857</v>
      </c>
      <c r="AD194" s="6">
        <v>0</v>
      </c>
      <c r="AE194" s="6">
        <v>20068</v>
      </c>
      <c r="AF194" s="6">
        <v>9849</v>
      </c>
    </row>
    <row r="195" spans="1:32" x14ac:dyDescent="0.35">
      <c r="A195" s="1">
        <v>38910</v>
      </c>
      <c r="B195" s="6">
        <v>844391</v>
      </c>
      <c r="C195" s="6">
        <v>11037</v>
      </c>
      <c r="D195" s="6">
        <v>2200</v>
      </c>
      <c r="E195" s="6">
        <v>711</v>
      </c>
      <c r="F195" s="6">
        <v>792549</v>
      </c>
      <c r="G195" s="6">
        <v>766414</v>
      </c>
      <c r="H195" s="6">
        <v>766414</v>
      </c>
      <c r="I195" s="6">
        <v>275370</v>
      </c>
      <c r="J195" s="6">
        <v>464580</v>
      </c>
      <c r="K195" s="6">
        <v>22646</v>
      </c>
      <c r="L195" s="6">
        <v>3819</v>
      </c>
      <c r="M195" s="6">
        <v>58461</v>
      </c>
      <c r="N195" s="6">
        <v>174817</v>
      </c>
      <c r="O195" s="6">
        <v>176677</v>
      </c>
      <c r="P195" s="6">
        <v>217332</v>
      </c>
      <c r="Q195" s="6">
        <v>60722</v>
      </c>
      <c r="R195" s="6">
        <v>78406</v>
      </c>
      <c r="S195" s="6">
        <v>0</v>
      </c>
      <c r="T195" s="6">
        <v>0</v>
      </c>
      <c r="U195" s="6">
        <v>8525</v>
      </c>
      <c r="V195" s="6">
        <v>-3495</v>
      </c>
      <c r="W195" s="6">
        <v>20750</v>
      </c>
      <c r="X195" s="6">
        <v>355</v>
      </c>
      <c r="Y195" s="6"/>
      <c r="Z195" s="6"/>
      <c r="AA195" s="6"/>
      <c r="AB195" s="6">
        <v>5559</v>
      </c>
      <c r="AC195" s="6">
        <v>1858</v>
      </c>
      <c r="AD195" s="6">
        <v>0</v>
      </c>
      <c r="AE195" s="6">
        <v>20074</v>
      </c>
      <c r="AF195" s="6">
        <v>10403</v>
      </c>
    </row>
    <row r="196" spans="1:32" x14ac:dyDescent="0.35">
      <c r="A196" s="1">
        <v>38917</v>
      </c>
      <c r="B196" s="6">
        <v>849894</v>
      </c>
      <c r="C196" s="6">
        <v>11037</v>
      </c>
      <c r="D196" s="6">
        <v>2200</v>
      </c>
      <c r="E196" s="6">
        <v>736</v>
      </c>
      <c r="F196" s="6">
        <v>799026</v>
      </c>
      <c r="G196" s="6">
        <v>764731</v>
      </c>
      <c r="H196" s="6">
        <v>764731</v>
      </c>
      <c r="I196" s="6">
        <v>277019</v>
      </c>
      <c r="J196" s="6">
        <v>459061</v>
      </c>
      <c r="K196" s="6">
        <v>24783</v>
      </c>
      <c r="L196" s="6">
        <v>3869</v>
      </c>
      <c r="M196" s="6">
        <v>62077</v>
      </c>
      <c r="N196" s="6">
        <v>170021</v>
      </c>
      <c r="O196" s="6">
        <v>174965</v>
      </c>
      <c r="P196" s="6">
        <v>217908</v>
      </c>
      <c r="Q196" s="6">
        <v>61341</v>
      </c>
      <c r="R196" s="6">
        <v>78419</v>
      </c>
      <c r="S196" s="6">
        <v>0</v>
      </c>
      <c r="T196" s="6">
        <v>0</v>
      </c>
      <c r="U196" s="6">
        <v>8502</v>
      </c>
      <c r="V196" s="6">
        <v>-3551</v>
      </c>
      <c r="W196" s="6">
        <v>29000</v>
      </c>
      <c r="X196" s="6">
        <v>343</v>
      </c>
      <c r="Y196" s="6"/>
      <c r="Z196" s="6"/>
      <c r="AA196" s="6"/>
      <c r="AB196" s="6">
        <v>4928</v>
      </c>
      <c r="AC196" s="6">
        <v>1860</v>
      </c>
      <c r="AD196" s="6">
        <v>0</v>
      </c>
      <c r="AE196" s="6">
        <v>19827</v>
      </c>
      <c r="AF196" s="6">
        <v>10281</v>
      </c>
    </row>
    <row r="197" spans="1:32" x14ac:dyDescent="0.35">
      <c r="A197" s="1">
        <v>38924</v>
      </c>
      <c r="B197" s="6">
        <v>841552</v>
      </c>
      <c r="C197" s="6">
        <v>11037</v>
      </c>
      <c r="D197" s="6">
        <v>2200</v>
      </c>
      <c r="E197" s="6">
        <v>750</v>
      </c>
      <c r="F197" s="6">
        <v>791064</v>
      </c>
      <c r="G197" s="6">
        <v>764763</v>
      </c>
      <c r="H197" s="6">
        <v>764763</v>
      </c>
      <c r="I197" s="6">
        <v>277019</v>
      </c>
      <c r="J197" s="6">
        <v>459061</v>
      </c>
      <c r="K197" s="6">
        <v>24783</v>
      </c>
      <c r="L197" s="6">
        <v>3900</v>
      </c>
      <c r="M197" s="6">
        <v>62066</v>
      </c>
      <c r="N197" s="6">
        <v>169303</v>
      </c>
      <c r="O197" s="6">
        <v>175697</v>
      </c>
      <c r="P197" s="6">
        <v>217918</v>
      </c>
      <c r="Q197" s="6">
        <v>61347</v>
      </c>
      <c r="R197" s="6">
        <v>78433</v>
      </c>
      <c r="S197" s="6">
        <v>0</v>
      </c>
      <c r="T197" s="6">
        <v>0</v>
      </c>
      <c r="U197" s="6">
        <v>8479</v>
      </c>
      <c r="V197" s="6">
        <v>-3549</v>
      </c>
      <c r="W197" s="6">
        <v>21000</v>
      </c>
      <c r="X197" s="6">
        <v>371</v>
      </c>
      <c r="Y197" s="6"/>
      <c r="Z197" s="6"/>
      <c r="AA197" s="6"/>
      <c r="AB197" s="6">
        <v>4030</v>
      </c>
      <c r="AC197" s="6">
        <v>1864</v>
      </c>
      <c r="AD197" s="6">
        <v>0</v>
      </c>
      <c r="AE197" s="6">
        <v>19914</v>
      </c>
      <c r="AF197" s="6">
        <v>10693</v>
      </c>
    </row>
    <row r="198" spans="1:32" x14ac:dyDescent="0.35">
      <c r="A198" s="1">
        <v>38931</v>
      </c>
      <c r="B198" s="6">
        <v>850263</v>
      </c>
      <c r="C198" s="6">
        <v>11037</v>
      </c>
      <c r="D198" s="6">
        <v>2200</v>
      </c>
      <c r="E198" s="6">
        <v>757</v>
      </c>
      <c r="F198" s="6">
        <v>798602</v>
      </c>
      <c r="G198" s="6">
        <v>764815</v>
      </c>
      <c r="H198" s="6">
        <v>764815</v>
      </c>
      <c r="I198" s="6">
        <v>277019</v>
      </c>
      <c r="J198" s="6">
        <v>457826</v>
      </c>
      <c r="K198" s="6">
        <v>26019</v>
      </c>
      <c r="L198" s="6">
        <v>3952</v>
      </c>
      <c r="M198" s="6">
        <v>59407</v>
      </c>
      <c r="N198" s="6">
        <v>169631</v>
      </c>
      <c r="O198" s="6">
        <v>176154</v>
      </c>
      <c r="P198" s="6">
        <v>218566</v>
      </c>
      <c r="Q198" s="6">
        <v>61352</v>
      </c>
      <c r="R198" s="6">
        <v>79704</v>
      </c>
      <c r="S198" s="6">
        <v>0</v>
      </c>
      <c r="T198" s="6">
        <v>0</v>
      </c>
      <c r="U198" s="6">
        <v>8456</v>
      </c>
      <c r="V198" s="6">
        <v>-3670</v>
      </c>
      <c r="W198" s="6">
        <v>27750</v>
      </c>
      <c r="X198" s="6">
        <v>1251</v>
      </c>
      <c r="Y198" s="6"/>
      <c r="Z198" s="6"/>
      <c r="AA198" s="6"/>
      <c r="AB198" s="6">
        <v>4880</v>
      </c>
      <c r="AC198" s="6">
        <v>1866</v>
      </c>
      <c r="AD198" s="6">
        <v>0</v>
      </c>
      <c r="AE198" s="6">
        <v>20243</v>
      </c>
      <c r="AF198" s="6">
        <v>10677</v>
      </c>
    </row>
    <row r="199" spans="1:32" x14ac:dyDescent="0.35">
      <c r="A199" s="1">
        <v>38938</v>
      </c>
      <c r="B199" s="6">
        <v>840006</v>
      </c>
      <c r="C199" s="6">
        <v>11037</v>
      </c>
      <c r="D199" s="6">
        <v>2200</v>
      </c>
      <c r="E199" s="6">
        <v>764</v>
      </c>
      <c r="F199" s="6">
        <v>787446</v>
      </c>
      <c r="G199" s="6">
        <v>764828</v>
      </c>
      <c r="H199" s="6">
        <v>764828</v>
      </c>
      <c r="I199" s="6">
        <v>277019</v>
      </c>
      <c r="J199" s="6">
        <v>457826</v>
      </c>
      <c r="K199" s="6">
        <v>26019</v>
      </c>
      <c r="L199" s="6">
        <v>3966</v>
      </c>
      <c r="M199" s="6">
        <v>59574</v>
      </c>
      <c r="N199" s="6">
        <v>168826</v>
      </c>
      <c r="O199" s="6">
        <v>176794</v>
      </c>
      <c r="P199" s="6">
        <v>218570</v>
      </c>
      <c r="Q199" s="6">
        <v>61355</v>
      </c>
      <c r="R199" s="6">
        <v>79710</v>
      </c>
      <c r="S199" s="6">
        <v>0</v>
      </c>
      <c r="T199" s="6">
        <v>0</v>
      </c>
      <c r="U199" s="6">
        <v>8433</v>
      </c>
      <c r="V199" s="6">
        <v>-3676</v>
      </c>
      <c r="W199" s="6">
        <v>17500</v>
      </c>
      <c r="X199" s="6">
        <v>360</v>
      </c>
      <c r="Y199" s="6"/>
      <c r="Z199" s="6"/>
      <c r="AA199" s="6"/>
      <c r="AB199" s="6">
        <v>5263</v>
      </c>
      <c r="AC199" s="6">
        <v>1867</v>
      </c>
      <c r="AD199" s="6">
        <v>0</v>
      </c>
      <c r="AE199" s="6">
        <v>20292</v>
      </c>
      <c r="AF199" s="6">
        <v>11137</v>
      </c>
    </row>
    <row r="200" spans="1:32" x14ac:dyDescent="0.35">
      <c r="A200" s="1">
        <v>38945</v>
      </c>
      <c r="B200" s="6">
        <v>842876</v>
      </c>
      <c r="C200" s="6">
        <v>11037</v>
      </c>
      <c r="D200" s="6">
        <v>2200</v>
      </c>
      <c r="E200" s="6">
        <v>769</v>
      </c>
      <c r="F200" s="6">
        <v>795026</v>
      </c>
      <c r="G200" s="6">
        <v>764842</v>
      </c>
      <c r="H200" s="6">
        <v>764842</v>
      </c>
      <c r="I200" s="6">
        <v>277019</v>
      </c>
      <c r="J200" s="6">
        <v>457826</v>
      </c>
      <c r="K200" s="6">
        <v>26019</v>
      </c>
      <c r="L200" s="6">
        <v>3979</v>
      </c>
      <c r="M200" s="6">
        <v>62903</v>
      </c>
      <c r="N200" s="6">
        <v>159003</v>
      </c>
      <c r="O200" s="6">
        <v>190839</v>
      </c>
      <c r="P200" s="6">
        <v>211115</v>
      </c>
      <c r="Q200" s="6">
        <v>58151</v>
      </c>
      <c r="R200" s="6">
        <v>82830</v>
      </c>
      <c r="S200" s="6">
        <v>0</v>
      </c>
      <c r="T200" s="6">
        <v>0</v>
      </c>
      <c r="U200" s="6">
        <v>8410</v>
      </c>
      <c r="V200" s="6">
        <v>-3837</v>
      </c>
      <c r="W200" s="6">
        <v>25250</v>
      </c>
      <c r="X200" s="6">
        <v>361</v>
      </c>
      <c r="Y200" s="6"/>
      <c r="Z200" s="6"/>
      <c r="AA200" s="6"/>
      <c r="AB200" s="6">
        <v>4013</v>
      </c>
      <c r="AC200" s="6">
        <v>1870</v>
      </c>
      <c r="AD200" s="6">
        <v>0</v>
      </c>
      <c r="AE200" s="6">
        <v>20237</v>
      </c>
      <c r="AF200" s="6">
        <v>7725</v>
      </c>
    </row>
    <row r="201" spans="1:32" x14ac:dyDescent="0.35">
      <c r="A201" s="1">
        <v>38952</v>
      </c>
      <c r="B201" s="6">
        <v>837987</v>
      </c>
      <c r="C201" s="6">
        <v>11037</v>
      </c>
      <c r="D201" s="6">
        <v>2200</v>
      </c>
      <c r="E201" s="6">
        <v>776</v>
      </c>
      <c r="F201" s="6">
        <v>789509</v>
      </c>
      <c r="G201" s="6">
        <v>764855</v>
      </c>
      <c r="H201" s="6">
        <v>764855</v>
      </c>
      <c r="I201" s="6">
        <v>277019</v>
      </c>
      <c r="J201" s="6">
        <v>457826</v>
      </c>
      <c r="K201" s="6">
        <v>26019</v>
      </c>
      <c r="L201" s="6">
        <v>3992</v>
      </c>
      <c r="M201" s="6">
        <v>63576</v>
      </c>
      <c r="N201" s="6">
        <v>165659</v>
      </c>
      <c r="O201" s="6">
        <v>183512</v>
      </c>
      <c r="P201" s="6">
        <v>211118</v>
      </c>
      <c r="Q201" s="6">
        <v>59710</v>
      </c>
      <c r="R201" s="6">
        <v>81279</v>
      </c>
      <c r="S201" s="6">
        <v>0</v>
      </c>
      <c r="T201" s="6">
        <v>0</v>
      </c>
      <c r="U201" s="6">
        <v>8387</v>
      </c>
      <c r="V201" s="6">
        <v>-3850</v>
      </c>
      <c r="W201" s="6">
        <v>19750</v>
      </c>
      <c r="X201" s="6">
        <v>367</v>
      </c>
      <c r="Y201" s="6"/>
      <c r="Z201" s="6"/>
      <c r="AA201" s="6"/>
      <c r="AB201" s="6">
        <v>4260</v>
      </c>
      <c r="AC201" s="6">
        <v>1877</v>
      </c>
      <c r="AD201" s="6">
        <v>0</v>
      </c>
      <c r="AE201" s="6">
        <v>20128</v>
      </c>
      <c r="AF201" s="6">
        <v>8199</v>
      </c>
    </row>
    <row r="202" spans="1:32" x14ac:dyDescent="0.35">
      <c r="A202" s="1">
        <v>38959</v>
      </c>
      <c r="B202" s="6">
        <v>850925</v>
      </c>
      <c r="C202" s="6">
        <v>11037</v>
      </c>
      <c r="D202" s="6">
        <v>2200</v>
      </c>
      <c r="E202" s="6">
        <v>781</v>
      </c>
      <c r="F202" s="6">
        <v>802163</v>
      </c>
      <c r="G202" s="6">
        <v>766738</v>
      </c>
      <c r="H202" s="6">
        <v>766738</v>
      </c>
      <c r="I202" s="6">
        <v>277019</v>
      </c>
      <c r="J202" s="6">
        <v>459695</v>
      </c>
      <c r="K202" s="6">
        <v>26019</v>
      </c>
      <c r="L202" s="6">
        <v>4006</v>
      </c>
      <c r="M202" s="6">
        <v>63768</v>
      </c>
      <c r="N202" s="6">
        <v>164899</v>
      </c>
      <c r="O202" s="6">
        <v>184496</v>
      </c>
      <c r="P202" s="6">
        <v>212576</v>
      </c>
      <c r="Q202" s="6">
        <v>59713</v>
      </c>
      <c r="R202" s="6">
        <v>81285</v>
      </c>
      <c r="S202" s="6">
        <v>0</v>
      </c>
      <c r="T202" s="6">
        <v>0</v>
      </c>
      <c r="U202" s="6">
        <v>8364</v>
      </c>
      <c r="V202" s="6">
        <v>-3881</v>
      </c>
      <c r="W202" s="6">
        <v>30250</v>
      </c>
      <c r="X202" s="6">
        <v>693</v>
      </c>
      <c r="Y202" s="6"/>
      <c r="Z202" s="6"/>
      <c r="AA202" s="6"/>
      <c r="AB202" s="6">
        <v>4060</v>
      </c>
      <c r="AC202" s="6">
        <v>1877</v>
      </c>
      <c r="AD202" s="6">
        <v>0</v>
      </c>
      <c r="AE202" s="6">
        <v>20120</v>
      </c>
      <c r="AF202" s="6">
        <v>8686</v>
      </c>
    </row>
    <row r="203" spans="1:32" x14ac:dyDescent="0.35">
      <c r="A203" s="1">
        <v>38966</v>
      </c>
      <c r="B203" s="6">
        <v>848594</v>
      </c>
      <c r="C203" s="6">
        <v>11037</v>
      </c>
      <c r="D203" s="6">
        <v>2200</v>
      </c>
      <c r="E203" s="6">
        <v>780</v>
      </c>
      <c r="F203" s="6">
        <v>791278</v>
      </c>
      <c r="G203" s="6">
        <v>766757</v>
      </c>
      <c r="H203" s="6">
        <v>766757</v>
      </c>
      <c r="I203" s="6">
        <v>277019</v>
      </c>
      <c r="J203" s="6">
        <v>459695</v>
      </c>
      <c r="K203" s="6">
        <v>26019</v>
      </c>
      <c r="L203" s="6">
        <v>4025</v>
      </c>
      <c r="M203" s="6">
        <v>55397</v>
      </c>
      <c r="N203" s="6">
        <v>171654</v>
      </c>
      <c r="O203" s="6">
        <v>185406</v>
      </c>
      <c r="P203" s="6">
        <v>213289</v>
      </c>
      <c r="Q203" s="6">
        <v>59717</v>
      </c>
      <c r="R203" s="6">
        <v>81294</v>
      </c>
      <c r="S203" s="6">
        <v>0</v>
      </c>
      <c r="T203" s="6">
        <v>0</v>
      </c>
      <c r="U203" s="6">
        <v>8341</v>
      </c>
      <c r="V203" s="6">
        <v>-3918</v>
      </c>
      <c r="W203" s="6">
        <v>19750</v>
      </c>
      <c r="X203" s="6">
        <v>348</v>
      </c>
      <c r="Y203" s="6"/>
      <c r="Z203" s="6"/>
      <c r="AA203" s="6"/>
      <c r="AB203" s="6">
        <v>12790</v>
      </c>
      <c r="AC203" s="6">
        <v>1882</v>
      </c>
      <c r="AD203" s="6">
        <v>0</v>
      </c>
      <c r="AE203" s="6">
        <v>20116</v>
      </c>
      <c r="AF203" s="6">
        <v>8512</v>
      </c>
    </row>
    <row r="204" spans="1:32" x14ac:dyDescent="0.35">
      <c r="A204" s="1">
        <v>38973</v>
      </c>
      <c r="B204" s="6">
        <v>840886</v>
      </c>
      <c r="C204" s="6">
        <v>11037</v>
      </c>
      <c r="D204" s="6">
        <v>2200</v>
      </c>
      <c r="E204" s="6">
        <v>809</v>
      </c>
      <c r="F204" s="6">
        <v>791295</v>
      </c>
      <c r="G204" s="6">
        <v>768874</v>
      </c>
      <c r="H204" s="6">
        <v>768874</v>
      </c>
      <c r="I204" s="6">
        <v>277019</v>
      </c>
      <c r="J204" s="6">
        <v>461791</v>
      </c>
      <c r="K204" s="6">
        <v>26019</v>
      </c>
      <c r="L204" s="6">
        <v>4046</v>
      </c>
      <c r="M204" s="6">
        <v>54071</v>
      </c>
      <c r="N204" s="6">
        <v>172526</v>
      </c>
      <c r="O204" s="6">
        <v>185863</v>
      </c>
      <c r="P204" s="6">
        <v>214615</v>
      </c>
      <c r="Q204" s="6">
        <v>60269</v>
      </c>
      <c r="R204" s="6">
        <v>81531</v>
      </c>
      <c r="S204" s="6">
        <v>0</v>
      </c>
      <c r="T204" s="6">
        <v>0</v>
      </c>
      <c r="U204" s="6">
        <v>8390</v>
      </c>
      <c r="V204" s="6">
        <v>-3992</v>
      </c>
      <c r="W204" s="6">
        <v>16000</v>
      </c>
      <c r="X204" s="6">
        <v>2023</v>
      </c>
      <c r="Y204" s="6"/>
      <c r="Z204" s="6"/>
      <c r="AA204" s="6"/>
      <c r="AB204" s="6">
        <v>4738</v>
      </c>
      <c r="AC204" s="6">
        <v>1886</v>
      </c>
      <c r="AD204" s="6">
        <v>0</v>
      </c>
      <c r="AE204" s="6">
        <v>19998</v>
      </c>
      <c r="AF204" s="6">
        <v>8922</v>
      </c>
    </row>
    <row r="205" spans="1:32" x14ac:dyDescent="0.35">
      <c r="A205" s="1">
        <v>38980</v>
      </c>
      <c r="B205" s="6">
        <v>838192</v>
      </c>
      <c r="C205" s="6">
        <v>11037</v>
      </c>
      <c r="D205" s="6">
        <v>2200</v>
      </c>
      <c r="E205" s="6">
        <v>837</v>
      </c>
      <c r="F205" s="6">
        <v>788626</v>
      </c>
      <c r="G205" s="6">
        <v>768895</v>
      </c>
      <c r="H205" s="6">
        <v>768895</v>
      </c>
      <c r="I205" s="6">
        <v>277019</v>
      </c>
      <c r="J205" s="6">
        <v>461791</v>
      </c>
      <c r="K205" s="6">
        <v>26019</v>
      </c>
      <c r="L205" s="6">
        <v>4067</v>
      </c>
      <c r="M205" s="6">
        <v>60426</v>
      </c>
      <c r="N205" s="6">
        <v>165469</v>
      </c>
      <c r="O205" s="6">
        <v>186566</v>
      </c>
      <c r="P205" s="6">
        <v>214621</v>
      </c>
      <c r="Q205" s="6">
        <v>60272</v>
      </c>
      <c r="R205" s="6">
        <v>81540</v>
      </c>
      <c r="S205" s="6">
        <v>0</v>
      </c>
      <c r="T205" s="6">
        <v>0</v>
      </c>
      <c r="U205" s="6">
        <v>8367</v>
      </c>
      <c r="V205" s="6">
        <v>-3999</v>
      </c>
      <c r="W205" s="6">
        <v>15000</v>
      </c>
      <c r="X205" s="6">
        <v>363</v>
      </c>
      <c r="Y205" s="6"/>
      <c r="Z205" s="6"/>
      <c r="AA205" s="6"/>
      <c r="AB205" s="6">
        <v>4317</v>
      </c>
      <c r="AC205" s="6">
        <v>1888</v>
      </c>
      <c r="AD205" s="6">
        <v>0</v>
      </c>
      <c r="AE205" s="6">
        <v>20011</v>
      </c>
      <c r="AF205" s="6">
        <v>9276</v>
      </c>
    </row>
    <row r="206" spans="1:32" x14ac:dyDescent="0.35">
      <c r="A206" s="1">
        <v>38987</v>
      </c>
      <c r="B206" s="6">
        <v>849971</v>
      </c>
      <c r="C206" s="6">
        <v>11037</v>
      </c>
      <c r="D206" s="6">
        <v>2200</v>
      </c>
      <c r="E206" s="6">
        <v>858</v>
      </c>
      <c r="F206" s="6">
        <v>801123</v>
      </c>
      <c r="G206" s="6">
        <v>768915</v>
      </c>
      <c r="H206" s="6">
        <v>768915</v>
      </c>
      <c r="I206" s="6">
        <v>277019</v>
      </c>
      <c r="J206" s="6">
        <v>461791</v>
      </c>
      <c r="K206" s="6">
        <v>26019</v>
      </c>
      <c r="L206" s="6">
        <v>4087</v>
      </c>
      <c r="M206" s="6">
        <v>58235</v>
      </c>
      <c r="N206" s="6">
        <v>166986</v>
      </c>
      <c r="O206" s="6">
        <v>187242</v>
      </c>
      <c r="P206" s="6">
        <v>214627</v>
      </c>
      <c r="Q206" s="6">
        <v>60276</v>
      </c>
      <c r="R206" s="6">
        <v>81550</v>
      </c>
      <c r="S206" s="6">
        <v>0</v>
      </c>
      <c r="T206" s="6">
        <v>0</v>
      </c>
      <c r="U206" s="6">
        <v>8344</v>
      </c>
      <c r="V206" s="6">
        <v>-4003</v>
      </c>
      <c r="W206" s="6">
        <v>27500</v>
      </c>
      <c r="X206" s="6">
        <v>366</v>
      </c>
      <c r="Y206" s="6"/>
      <c r="Z206" s="6"/>
      <c r="AA206" s="6"/>
      <c r="AB206" s="6">
        <v>3141</v>
      </c>
      <c r="AC206" s="6">
        <v>1889</v>
      </c>
      <c r="AD206" s="6">
        <v>0</v>
      </c>
      <c r="AE206" s="6">
        <v>20000</v>
      </c>
      <c r="AF206" s="6">
        <v>9724</v>
      </c>
    </row>
    <row r="207" spans="1:32" x14ac:dyDescent="0.35">
      <c r="A207" s="1">
        <v>38994</v>
      </c>
      <c r="B207" s="6">
        <v>842296</v>
      </c>
      <c r="C207" s="6">
        <v>11037</v>
      </c>
      <c r="D207" s="6">
        <v>2200</v>
      </c>
      <c r="E207" s="6">
        <v>848</v>
      </c>
      <c r="F207" s="6">
        <v>791765</v>
      </c>
      <c r="G207" s="6">
        <v>768932</v>
      </c>
      <c r="H207" s="6">
        <v>768932</v>
      </c>
      <c r="I207" s="6">
        <v>277019</v>
      </c>
      <c r="J207" s="6">
        <v>461791</v>
      </c>
      <c r="K207" s="6">
        <v>26019</v>
      </c>
      <c r="L207" s="6">
        <v>4104</v>
      </c>
      <c r="M207" s="6">
        <v>54634</v>
      </c>
      <c r="N207" s="6">
        <v>170012</v>
      </c>
      <c r="O207" s="6">
        <v>186680</v>
      </c>
      <c r="P207" s="6">
        <v>215770</v>
      </c>
      <c r="Q207" s="6">
        <v>60279</v>
      </c>
      <c r="R207" s="6">
        <v>81557</v>
      </c>
      <c r="S207" s="6">
        <v>0</v>
      </c>
      <c r="T207" s="6">
        <v>0</v>
      </c>
      <c r="U207" s="6">
        <v>8321</v>
      </c>
      <c r="V207" s="6">
        <v>-4004</v>
      </c>
      <c r="W207" s="6">
        <v>18250</v>
      </c>
      <c r="X207" s="6">
        <v>267</v>
      </c>
      <c r="Y207" s="6"/>
      <c r="Z207" s="6"/>
      <c r="AA207" s="6"/>
      <c r="AB207" s="6">
        <v>4999</v>
      </c>
      <c r="AC207" s="6">
        <v>1901</v>
      </c>
      <c r="AD207" s="6">
        <v>0</v>
      </c>
      <c r="AE207" s="6">
        <v>19963</v>
      </c>
      <c r="AF207" s="6">
        <v>9582</v>
      </c>
    </row>
    <row r="208" spans="1:32" x14ac:dyDescent="0.35">
      <c r="A208" s="1">
        <v>39001</v>
      </c>
      <c r="B208" s="6">
        <v>859339</v>
      </c>
      <c r="C208" s="6">
        <v>11037</v>
      </c>
      <c r="D208" s="6">
        <v>2200</v>
      </c>
      <c r="E208" s="6">
        <v>836</v>
      </c>
      <c r="F208" s="6">
        <v>801746</v>
      </c>
      <c r="G208" s="6">
        <v>768945</v>
      </c>
      <c r="H208" s="6">
        <v>768945</v>
      </c>
      <c r="I208" s="6">
        <v>277019</v>
      </c>
      <c r="J208" s="6">
        <v>461791</v>
      </c>
      <c r="K208" s="6">
        <v>26019</v>
      </c>
      <c r="L208" s="6">
        <v>4117</v>
      </c>
      <c r="M208" s="6">
        <v>53745</v>
      </c>
      <c r="N208" s="6">
        <v>170639</v>
      </c>
      <c r="O208" s="6">
        <v>186943</v>
      </c>
      <c r="P208" s="6">
        <v>215774</v>
      </c>
      <c r="Q208" s="6">
        <v>60282</v>
      </c>
      <c r="R208" s="6">
        <v>81563</v>
      </c>
      <c r="S208" s="6">
        <v>0</v>
      </c>
      <c r="T208" s="6">
        <v>0</v>
      </c>
      <c r="U208" s="6">
        <v>8298</v>
      </c>
      <c r="V208" s="6">
        <v>-3981</v>
      </c>
      <c r="W208" s="6">
        <v>28250</v>
      </c>
      <c r="X208" s="6">
        <v>234</v>
      </c>
      <c r="Y208" s="6"/>
      <c r="Z208" s="6"/>
      <c r="AA208" s="6"/>
      <c r="AB208" s="6">
        <v>11816</v>
      </c>
      <c r="AC208" s="6">
        <v>1901</v>
      </c>
      <c r="AD208" s="6">
        <v>0</v>
      </c>
      <c r="AE208" s="6">
        <v>19740</v>
      </c>
      <c r="AF208" s="6">
        <v>10063</v>
      </c>
    </row>
    <row r="209" spans="1:32" x14ac:dyDescent="0.35">
      <c r="A209" s="1">
        <v>39008</v>
      </c>
      <c r="B209" s="6">
        <v>844200</v>
      </c>
      <c r="C209" s="6">
        <v>11037</v>
      </c>
      <c r="D209" s="6">
        <v>2200</v>
      </c>
      <c r="E209" s="6">
        <v>830</v>
      </c>
      <c r="F209" s="6">
        <v>794109</v>
      </c>
      <c r="G209" s="6">
        <v>766651</v>
      </c>
      <c r="H209" s="6">
        <v>766651</v>
      </c>
      <c r="I209" s="6">
        <v>277019</v>
      </c>
      <c r="J209" s="6">
        <v>458058</v>
      </c>
      <c r="K209" s="6">
        <v>27430</v>
      </c>
      <c r="L209" s="6">
        <v>4143</v>
      </c>
      <c r="M209" s="6">
        <v>56670</v>
      </c>
      <c r="N209" s="6">
        <v>165316</v>
      </c>
      <c r="O209" s="6">
        <v>184182</v>
      </c>
      <c r="P209" s="6">
        <v>217172</v>
      </c>
      <c r="Q209" s="6">
        <v>61742</v>
      </c>
      <c r="R209" s="6">
        <v>81569</v>
      </c>
      <c r="S209" s="6">
        <v>0</v>
      </c>
      <c r="T209" s="6">
        <v>0</v>
      </c>
      <c r="U209" s="6">
        <v>8282</v>
      </c>
      <c r="V209" s="6">
        <v>-3977</v>
      </c>
      <c r="W209" s="6">
        <v>22750</v>
      </c>
      <c r="X209" s="6">
        <v>404</v>
      </c>
      <c r="Y209" s="6"/>
      <c r="Z209" s="6"/>
      <c r="AA209" s="6"/>
      <c r="AB209" s="6">
        <v>4257</v>
      </c>
      <c r="AC209" s="6">
        <v>1899</v>
      </c>
      <c r="AD209" s="6">
        <v>0</v>
      </c>
      <c r="AE209" s="6">
        <v>19745</v>
      </c>
      <c r="AF209" s="6">
        <v>10123</v>
      </c>
    </row>
    <row r="210" spans="1:32" x14ac:dyDescent="0.35">
      <c r="A210" s="1">
        <v>39015</v>
      </c>
      <c r="B210" s="6">
        <v>852648</v>
      </c>
      <c r="C210" s="6">
        <v>11037</v>
      </c>
      <c r="D210" s="6">
        <v>2200</v>
      </c>
      <c r="E210" s="6">
        <v>831</v>
      </c>
      <c r="F210" s="6">
        <v>802881</v>
      </c>
      <c r="G210" s="6">
        <v>768422</v>
      </c>
      <c r="H210" s="6">
        <v>768422</v>
      </c>
      <c r="I210" s="6">
        <v>277019</v>
      </c>
      <c r="J210" s="6">
        <v>459815</v>
      </c>
      <c r="K210" s="6">
        <v>27430</v>
      </c>
      <c r="L210" s="6">
        <v>4157</v>
      </c>
      <c r="M210" s="6">
        <v>57745</v>
      </c>
      <c r="N210" s="6">
        <v>163996</v>
      </c>
      <c r="O210" s="6">
        <v>186185</v>
      </c>
      <c r="P210" s="6">
        <v>217176</v>
      </c>
      <c r="Q210" s="6">
        <v>61745</v>
      </c>
      <c r="R210" s="6">
        <v>81575</v>
      </c>
      <c r="S210" s="6">
        <v>0</v>
      </c>
      <c r="T210" s="6">
        <v>0</v>
      </c>
      <c r="U210" s="6">
        <v>8259</v>
      </c>
      <c r="V210" s="6">
        <v>-3972</v>
      </c>
      <c r="W210" s="6">
        <v>30000</v>
      </c>
      <c r="X210" s="6">
        <v>172</v>
      </c>
      <c r="Y210" s="6"/>
      <c r="Z210" s="6"/>
      <c r="AA210" s="6"/>
      <c r="AB210" s="6">
        <v>3376</v>
      </c>
      <c r="AC210" s="6">
        <v>1902</v>
      </c>
      <c r="AD210" s="6">
        <v>0</v>
      </c>
      <c r="AE210" s="6">
        <v>19821</v>
      </c>
      <c r="AF210" s="6">
        <v>10600</v>
      </c>
    </row>
    <row r="211" spans="1:32" x14ac:dyDescent="0.35">
      <c r="A211" s="1">
        <v>39022</v>
      </c>
      <c r="B211" s="6">
        <v>855536</v>
      </c>
      <c r="C211" s="6">
        <v>11037</v>
      </c>
      <c r="D211" s="6">
        <v>2200</v>
      </c>
      <c r="E211" s="6">
        <v>834</v>
      </c>
      <c r="F211" s="6">
        <v>799344</v>
      </c>
      <c r="G211" s="6">
        <v>769918</v>
      </c>
      <c r="H211" s="6">
        <v>769918</v>
      </c>
      <c r="I211" s="6">
        <v>277019</v>
      </c>
      <c r="J211" s="6">
        <v>459065</v>
      </c>
      <c r="K211" s="6">
        <v>29611</v>
      </c>
      <c r="L211" s="6">
        <v>4223</v>
      </c>
      <c r="M211" s="6">
        <v>60074</v>
      </c>
      <c r="N211" s="6">
        <v>154842</v>
      </c>
      <c r="O211" s="6">
        <v>193350</v>
      </c>
      <c r="P211" s="6">
        <v>218327</v>
      </c>
      <c r="Q211" s="6">
        <v>61746</v>
      </c>
      <c r="R211" s="6">
        <v>81578</v>
      </c>
      <c r="S211" s="6">
        <v>0</v>
      </c>
      <c r="T211" s="6">
        <v>0</v>
      </c>
      <c r="U211" s="6">
        <v>8242</v>
      </c>
      <c r="V211" s="6">
        <v>-4012</v>
      </c>
      <c r="W211" s="6">
        <v>25000</v>
      </c>
      <c r="X211" s="6">
        <v>197</v>
      </c>
      <c r="Y211" s="6"/>
      <c r="Z211" s="6"/>
      <c r="AA211" s="6"/>
      <c r="AB211" s="6">
        <v>9615</v>
      </c>
      <c r="AC211" s="6">
        <v>1912</v>
      </c>
      <c r="AD211" s="6">
        <v>0</v>
      </c>
      <c r="AE211" s="6">
        <v>20143</v>
      </c>
      <c r="AF211" s="6">
        <v>10450</v>
      </c>
    </row>
    <row r="212" spans="1:32" x14ac:dyDescent="0.35">
      <c r="A212" s="1">
        <v>39029</v>
      </c>
      <c r="B212" s="6">
        <v>858630</v>
      </c>
      <c r="C212" s="6">
        <v>11037</v>
      </c>
      <c r="D212" s="6">
        <v>2200</v>
      </c>
      <c r="E212" s="6">
        <v>847</v>
      </c>
      <c r="F212" s="6">
        <v>806463</v>
      </c>
      <c r="G212" s="6">
        <v>770425</v>
      </c>
      <c r="H212" s="6">
        <v>770425</v>
      </c>
      <c r="I212" s="6">
        <v>277019</v>
      </c>
      <c r="J212" s="6">
        <v>459065</v>
      </c>
      <c r="K212" s="6">
        <v>30105</v>
      </c>
      <c r="L212" s="6">
        <v>4236</v>
      </c>
      <c r="M212" s="6">
        <v>42894</v>
      </c>
      <c r="N212" s="6">
        <v>178195</v>
      </c>
      <c r="O212" s="6">
        <v>187174</v>
      </c>
      <c r="P212" s="6">
        <v>218530</v>
      </c>
      <c r="Q212" s="6">
        <v>62057</v>
      </c>
      <c r="R212" s="6">
        <v>81575</v>
      </c>
      <c r="S212" s="6">
        <v>0</v>
      </c>
      <c r="T212" s="6">
        <v>0</v>
      </c>
      <c r="U212" s="6">
        <v>8230</v>
      </c>
      <c r="V212" s="6">
        <v>-4009</v>
      </c>
      <c r="W212" s="6">
        <v>31500</v>
      </c>
      <c r="X212" s="6">
        <v>318</v>
      </c>
      <c r="Y212" s="6"/>
      <c r="Z212" s="6"/>
      <c r="AA212" s="6"/>
      <c r="AB212" s="6">
        <v>5164</v>
      </c>
      <c r="AC212" s="6">
        <v>1904</v>
      </c>
      <c r="AD212" s="6">
        <v>0</v>
      </c>
      <c r="AE212" s="6">
        <v>20105</v>
      </c>
      <c r="AF212" s="6">
        <v>10909</v>
      </c>
    </row>
    <row r="213" spans="1:32" x14ac:dyDescent="0.35">
      <c r="A213" s="1">
        <v>39036</v>
      </c>
      <c r="B213" s="6">
        <v>855551</v>
      </c>
      <c r="C213" s="6">
        <v>11037</v>
      </c>
      <c r="D213" s="6">
        <v>2200</v>
      </c>
      <c r="E213" s="6">
        <v>833</v>
      </c>
      <c r="F213" s="6">
        <v>809616</v>
      </c>
      <c r="G213" s="6">
        <v>770050</v>
      </c>
      <c r="H213" s="6">
        <v>770050</v>
      </c>
      <c r="I213" s="6">
        <v>277019</v>
      </c>
      <c r="J213" s="6">
        <v>458730</v>
      </c>
      <c r="K213" s="6">
        <v>30105</v>
      </c>
      <c r="L213" s="6">
        <v>4197</v>
      </c>
      <c r="M213" s="6">
        <v>57985</v>
      </c>
      <c r="N213" s="6">
        <v>155219</v>
      </c>
      <c r="O213" s="6">
        <v>193265</v>
      </c>
      <c r="P213" s="6">
        <v>217679</v>
      </c>
      <c r="Q213" s="6">
        <v>62048</v>
      </c>
      <c r="R213" s="6">
        <v>83853</v>
      </c>
      <c r="S213" s="6">
        <v>0</v>
      </c>
      <c r="T213" s="6">
        <v>0</v>
      </c>
      <c r="U213" s="6">
        <v>8208</v>
      </c>
      <c r="V213" s="6">
        <v>-4011</v>
      </c>
      <c r="W213" s="6">
        <v>35250</v>
      </c>
      <c r="X213" s="6">
        <v>118</v>
      </c>
      <c r="Y213" s="6"/>
      <c r="Z213" s="6"/>
      <c r="AA213" s="6"/>
      <c r="AB213" s="6">
        <v>3876</v>
      </c>
      <c r="AC213" s="6">
        <v>1909</v>
      </c>
      <c r="AD213" s="6">
        <v>0</v>
      </c>
      <c r="AE213" s="6">
        <v>20122</v>
      </c>
      <c r="AF213" s="6">
        <v>5958</v>
      </c>
    </row>
    <row r="214" spans="1:32" x14ac:dyDescent="0.35">
      <c r="A214" s="1">
        <v>39043</v>
      </c>
      <c r="B214" s="6">
        <v>865126</v>
      </c>
      <c r="C214" s="6">
        <v>11037</v>
      </c>
      <c r="D214" s="6">
        <v>2200</v>
      </c>
      <c r="E214" s="6">
        <v>805</v>
      </c>
      <c r="F214" s="6">
        <v>819237</v>
      </c>
      <c r="G214" s="6">
        <v>771873</v>
      </c>
      <c r="H214" s="6">
        <v>771873</v>
      </c>
      <c r="I214" s="6">
        <v>277019</v>
      </c>
      <c r="J214" s="6">
        <v>460598</v>
      </c>
      <c r="K214" s="6">
        <v>30105</v>
      </c>
      <c r="L214" s="6">
        <v>4152</v>
      </c>
      <c r="M214" s="6">
        <v>58834</v>
      </c>
      <c r="N214" s="6">
        <v>158397</v>
      </c>
      <c r="O214" s="6">
        <v>189455</v>
      </c>
      <c r="P214" s="6">
        <v>219213</v>
      </c>
      <c r="Q214" s="6">
        <v>67249</v>
      </c>
      <c r="R214" s="6">
        <v>78726</v>
      </c>
      <c r="S214" s="6">
        <v>0</v>
      </c>
      <c r="T214" s="6">
        <v>0</v>
      </c>
      <c r="U214" s="6">
        <v>8192</v>
      </c>
      <c r="V214" s="6">
        <v>-3967</v>
      </c>
      <c r="W214" s="6">
        <v>43000</v>
      </c>
      <c r="X214" s="6">
        <v>139</v>
      </c>
      <c r="Y214" s="6"/>
      <c r="Z214" s="6"/>
      <c r="AA214" s="6"/>
      <c r="AB214" s="6">
        <v>3076</v>
      </c>
      <c r="AC214" s="6">
        <v>1910</v>
      </c>
      <c r="AD214" s="6">
        <v>0</v>
      </c>
      <c r="AE214" s="6">
        <v>20345</v>
      </c>
      <c r="AF214" s="6">
        <v>6516</v>
      </c>
    </row>
    <row r="215" spans="1:32" x14ac:dyDescent="0.35">
      <c r="A215" s="1">
        <v>39050</v>
      </c>
      <c r="B215" s="6">
        <v>856671</v>
      </c>
      <c r="C215" s="6">
        <v>11037</v>
      </c>
      <c r="D215" s="6">
        <v>2200</v>
      </c>
      <c r="E215" s="6">
        <v>786</v>
      </c>
      <c r="F215" s="6">
        <v>810124</v>
      </c>
      <c r="G215" s="6">
        <v>772610</v>
      </c>
      <c r="H215" s="6">
        <v>772610</v>
      </c>
      <c r="I215" s="6">
        <v>277019</v>
      </c>
      <c r="J215" s="6">
        <v>461368</v>
      </c>
      <c r="K215" s="6">
        <v>30105</v>
      </c>
      <c r="L215" s="6">
        <v>4118</v>
      </c>
      <c r="M215" s="6">
        <v>59795</v>
      </c>
      <c r="N215" s="6">
        <v>158353</v>
      </c>
      <c r="O215" s="6">
        <v>188536</v>
      </c>
      <c r="P215" s="6">
        <v>219202</v>
      </c>
      <c r="Q215" s="6">
        <v>67241</v>
      </c>
      <c r="R215" s="6">
        <v>79482</v>
      </c>
      <c r="S215" s="6">
        <v>0</v>
      </c>
      <c r="T215" s="6">
        <v>0</v>
      </c>
      <c r="U215" s="6">
        <v>8367</v>
      </c>
      <c r="V215" s="6">
        <v>-3981</v>
      </c>
      <c r="W215" s="6">
        <v>33000</v>
      </c>
      <c r="X215" s="6">
        <v>128</v>
      </c>
      <c r="Y215" s="6"/>
      <c r="Z215" s="6"/>
      <c r="AA215" s="6"/>
      <c r="AB215" s="6">
        <v>3088</v>
      </c>
      <c r="AC215" s="6">
        <v>1912</v>
      </c>
      <c r="AD215" s="6">
        <v>0</v>
      </c>
      <c r="AE215" s="6">
        <v>20581</v>
      </c>
      <c r="AF215" s="6">
        <v>6944</v>
      </c>
    </row>
    <row r="216" spans="1:32" x14ac:dyDescent="0.35">
      <c r="A216" s="1">
        <v>39057</v>
      </c>
      <c r="B216" s="6">
        <v>862178</v>
      </c>
      <c r="C216" s="6">
        <v>11037</v>
      </c>
      <c r="D216" s="6">
        <v>2200</v>
      </c>
      <c r="E216" s="6">
        <v>814</v>
      </c>
      <c r="F216" s="6">
        <v>811102</v>
      </c>
      <c r="G216" s="6">
        <v>774215</v>
      </c>
      <c r="H216" s="6">
        <v>774215</v>
      </c>
      <c r="I216" s="6">
        <v>277019</v>
      </c>
      <c r="J216" s="6">
        <v>463015</v>
      </c>
      <c r="K216" s="6">
        <v>30105</v>
      </c>
      <c r="L216" s="6">
        <v>4077</v>
      </c>
      <c r="M216" s="6">
        <v>52305</v>
      </c>
      <c r="N216" s="6">
        <v>167584</v>
      </c>
      <c r="O216" s="6">
        <v>186733</v>
      </c>
      <c r="P216" s="6">
        <v>220125</v>
      </c>
      <c r="Q216" s="6">
        <v>67678</v>
      </c>
      <c r="R216" s="6">
        <v>79790</v>
      </c>
      <c r="S216" s="6">
        <v>0</v>
      </c>
      <c r="T216" s="6">
        <v>0</v>
      </c>
      <c r="U216" s="6">
        <v>8583</v>
      </c>
      <c r="V216" s="6">
        <v>-3962</v>
      </c>
      <c r="W216" s="6">
        <v>32000</v>
      </c>
      <c r="X216" s="6">
        <v>266</v>
      </c>
      <c r="Y216" s="6"/>
      <c r="Z216" s="6"/>
      <c r="AA216" s="6"/>
      <c r="AB216" s="6">
        <v>7427</v>
      </c>
      <c r="AC216" s="6">
        <v>1923</v>
      </c>
      <c r="AD216" s="6">
        <v>0</v>
      </c>
      <c r="AE216" s="6">
        <v>20828</v>
      </c>
      <c r="AF216" s="6">
        <v>6847</v>
      </c>
    </row>
    <row r="217" spans="1:32" x14ac:dyDescent="0.35">
      <c r="A217" s="1">
        <v>39064</v>
      </c>
      <c r="B217" s="6">
        <v>853851</v>
      </c>
      <c r="C217" s="6">
        <v>11037</v>
      </c>
      <c r="D217" s="6">
        <v>2200</v>
      </c>
      <c r="E217" s="6">
        <v>827</v>
      </c>
      <c r="F217" s="6">
        <v>802401</v>
      </c>
      <c r="G217" s="6">
        <v>775603</v>
      </c>
      <c r="H217" s="6">
        <v>775603</v>
      </c>
      <c r="I217" s="6">
        <v>277019</v>
      </c>
      <c r="J217" s="6">
        <v>464445</v>
      </c>
      <c r="K217" s="6">
        <v>30105</v>
      </c>
      <c r="L217" s="6">
        <v>4035</v>
      </c>
      <c r="M217" s="6">
        <v>51484</v>
      </c>
      <c r="N217" s="6">
        <v>168695</v>
      </c>
      <c r="O217" s="6">
        <v>186441</v>
      </c>
      <c r="P217" s="6">
        <v>221541</v>
      </c>
      <c r="Q217" s="6">
        <v>67668</v>
      </c>
      <c r="R217" s="6">
        <v>79773</v>
      </c>
      <c r="S217" s="6">
        <v>0</v>
      </c>
      <c r="T217" s="6">
        <v>0</v>
      </c>
      <c r="U217" s="6">
        <v>8564</v>
      </c>
      <c r="V217" s="6">
        <v>-3953</v>
      </c>
      <c r="W217" s="6">
        <v>21250</v>
      </c>
      <c r="X217" s="6">
        <v>936</v>
      </c>
      <c r="Y217" s="6"/>
      <c r="Z217" s="6"/>
      <c r="AA217" s="6"/>
      <c r="AB217" s="6">
        <v>7585</v>
      </c>
      <c r="AC217" s="6">
        <v>1921</v>
      </c>
      <c r="AD217" s="6">
        <v>0</v>
      </c>
      <c r="AE217" s="6">
        <v>20584</v>
      </c>
      <c r="AF217" s="6">
        <v>7296</v>
      </c>
    </row>
    <row r="218" spans="1:32" x14ac:dyDescent="0.35">
      <c r="A218" s="1">
        <v>39071</v>
      </c>
      <c r="B218" s="6">
        <v>865010</v>
      </c>
      <c r="C218" s="6">
        <v>11037</v>
      </c>
      <c r="D218" s="6">
        <v>2200</v>
      </c>
      <c r="E218" s="6">
        <v>821</v>
      </c>
      <c r="F218" s="6">
        <v>816026</v>
      </c>
      <c r="G218" s="6">
        <v>777638</v>
      </c>
      <c r="H218" s="6">
        <v>777638</v>
      </c>
      <c r="I218" s="6">
        <v>277019</v>
      </c>
      <c r="J218" s="6">
        <v>466522</v>
      </c>
      <c r="K218" s="6">
        <v>30105</v>
      </c>
      <c r="L218" s="6">
        <v>3993</v>
      </c>
      <c r="M218" s="6">
        <v>58550</v>
      </c>
      <c r="N218" s="6">
        <v>161869</v>
      </c>
      <c r="O218" s="6">
        <v>186198</v>
      </c>
      <c r="P218" s="6">
        <v>222856</v>
      </c>
      <c r="Q218" s="6">
        <v>67659</v>
      </c>
      <c r="R218" s="6">
        <v>80505</v>
      </c>
      <c r="S218" s="6">
        <v>0</v>
      </c>
      <c r="T218" s="6">
        <v>0</v>
      </c>
      <c r="U218" s="6">
        <v>8732</v>
      </c>
      <c r="V218" s="6">
        <v>-3935</v>
      </c>
      <c r="W218" s="6">
        <v>33500</v>
      </c>
      <c r="X218" s="6">
        <v>90</v>
      </c>
      <c r="Y218" s="6"/>
      <c r="Z218" s="6"/>
      <c r="AA218" s="6"/>
      <c r="AB218" s="6">
        <v>4814</v>
      </c>
      <c r="AC218" s="6">
        <v>1931</v>
      </c>
      <c r="AD218" s="6">
        <v>0</v>
      </c>
      <c r="AE218" s="6">
        <v>20497</v>
      </c>
      <c r="AF218" s="6">
        <v>7683</v>
      </c>
    </row>
    <row r="219" spans="1:32" x14ac:dyDescent="0.35">
      <c r="A219" s="1">
        <v>39078</v>
      </c>
      <c r="B219" s="6">
        <v>869988</v>
      </c>
      <c r="C219" s="6">
        <v>11037</v>
      </c>
      <c r="D219" s="6">
        <v>2200</v>
      </c>
      <c r="E219" s="6">
        <v>800</v>
      </c>
      <c r="F219" s="6">
        <v>820240</v>
      </c>
      <c r="G219" s="6">
        <v>778938</v>
      </c>
      <c r="H219" s="6">
        <v>778938</v>
      </c>
      <c r="I219" s="6">
        <v>277019</v>
      </c>
      <c r="J219" s="6">
        <v>467864</v>
      </c>
      <c r="K219" s="6">
        <v>30105</v>
      </c>
      <c r="L219" s="6">
        <v>3951</v>
      </c>
      <c r="M219" s="6">
        <v>57557</v>
      </c>
      <c r="N219" s="6">
        <v>163462</v>
      </c>
      <c r="O219" s="6">
        <v>185595</v>
      </c>
      <c r="P219" s="6">
        <v>224185</v>
      </c>
      <c r="Q219" s="6">
        <v>67650</v>
      </c>
      <c r="R219" s="6">
        <v>80489</v>
      </c>
      <c r="S219" s="6">
        <v>0</v>
      </c>
      <c r="T219" s="6">
        <v>0</v>
      </c>
      <c r="U219" s="6">
        <v>8719</v>
      </c>
      <c r="V219" s="6">
        <v>-3906</v>
      </c>
      <c r="W219" s="6">
        <v>36000</v>
      </c>
      <c r="X219" s="6">
        <v>488</v>
      </c>
      <c r="Y219" s="6"/>
      <c r="Z219" s="6"/>
      <c r="AA219" s="6"/>
      <c r="AB219" s="6">
        <v>5137</v>
      </c>
      <c r="AC219" s="6">
        <v>1944</v>
      </c>
      <c r="AD219" s="6">
        <v>0</v>
      </c>
      <c r="AE219" s="6">
        <v>20426</v>
      </c>
      <c r="AF219" s="6">
        <v>8204</v>
      </c>
    </row>
    <row r="220" spans="1:32" x14ac:dyDescent="0.35">
      <c r="A220" s="1">
        <v>39085</v>
      </c>
      <c r="B220" s="6">
        <v>874626</v>
      </c>
      <c r="C220" s="6">
        <v>11037</v>
      </c>
      <c r="D220" s="6">
        <v>2200</v>
      </c>
      <c r="E220" s="6">
        <v>797</v>
      </c>
      <c r="F220" s="6">
        <v>824723</v>
      </c>
      <c r="G220" s="6">
        <v>778910</v>
      </c>
      <c r="H220" s="6">
        <v>778910</v>
      </c>
      <c r="I220" s="6">
        <v>277019</v>
      </c>
      <c r="J220" s="6">
        <v>467864</v>
      </c>
      <c r="K220" s="6">
        <v>30105</v>
      </c>
      <c r="L220" s="6">
        <v>3922</v>
      </c>
      <c r="M220" s="6">
        <v>51356</v>
      </c>
      <c r="N220" s="6">
        <v>170177</v>
      </c>
      <c r="O220" s="6">
        <v>184284</v>
      </c>
      <c r="P220" s="6">
        <v>224972</v>
      </c>
      <c r="Q220" s="6">
        <v>67644</v>
      </c>
      <c r="R220" s="6">
        <v>80477</v>
      </c>
      <c r="S220" s="6">
        <v>0</v>
      </c>
      <c r="T220" s="6">
        <v>0</v>
      </c>
      <c r="U220" s="6">
        <v>8700</v>
      </c>
      <c r="V220" s="6">
        <v>-3898</v>
      </c>
      <c r="W220" s="6">
        <v>39750</v>
      </c>
      <c r="X220" s="6">
        <v>1262</v>
      </c>
      <c r="Y220" s="6"/>
      <c r="Z220" s="6"/>
      <c r="AA220" s="6"/>
      <c r="AB220" s="6">
        <v>5472</v>
      </c>
      <c r="AC220" s="6">
        <v>1945</v>
      </c>
      <c r="AD220" s="6">
        <v>0</v>
      </c>
      <c r="AE220" s="6">
        <v>20422</v>
      </c>
      <c r="AF220" s="6">
        <v>8030</v>
      </c>
    </row>
    <row r="221" spans="1:32" x14ac:dyDescent="0.35">
      <c r="A221" s="1">
        <v>39092</v>
      </c>
      <c r="B221" s="6">
        <v>854819</v>
      </c>
      <c r="C221" s="6">
        <v>11037</v>
      </c>
      <c r="D221" s="6">
        <v>2200</v>
      </c>
      <c r="E221" s="6">
        <v>865</v>
      </c>
      <c r="F221" s="6">
        <v>805229</v>
      </c>
      <c r="G221" s="6">
        <v>778898</v>
      </c>
      <c r="H221" s="6">
        <v>778898</v>
      </c>
      <c r="I221" s="6">
        <v>277019</v>
      </c>
      <c r="J221" s="6">
        <v>467864</v>
      </c>
      <c r="K221" s="6">
        <v>30105</v>
      </c>
      <c r="L221" s="6">
        <v>3911</v>
      </c>
      <c r="M221" s="6">
        <v>51875</v>
      </c>
      <c r="N221" s="6">
        <v>170185</v>
      </c>
      <c r="O221" s="6">
        <v>183756</v>
      </c>
      <c r="P221" s="6">
        <v>224968</v>
      </c>
      <c r="Q221" s="6">
        <v>67642</v>
      </c>
      <c r="R221" s="6">
        <v>80473</v>
      </c>
      <c r="S221" s="6">
        <v>0</v>
      </c>
      <c r="T221" s="6">
        <v>0</v>
      </c>
      <c r="U221" s="6">
        <v>8680</v>
      </c>
      <c r="V221" s="6">
        <v>-3871</v>
      </c>
      <c r="W221" s="6">
        <v>21500</v>
      </c>
      <c r="X221" s="6">
        <v>21</v>
      </c>
      <c r="Y221" s="6"/>
      <c r="Z221" s="6"/>
      <c r="AA221" s="6"/>
      <c r="AB221" s="6">
        <v>4804</v>
      </c>
      <c r="AC221" s="6">
        <v>1944</v>
      </c>
      <c r="AD221" s="6">
        <v>0</v>
      </c>
      <c r="AE221" s="6">
        <v>20219</v>
      </c>
      <c r="AF221" s="6">
        <v>8520</v>
      </c>
    </row>
    <row r="222" spans="1:32" x14ac:dyDescent="0.35">
      <c r="A222" s="1">
        <v>39099</v>
      </c>
      <c r="B222" s="6">
        <v>859363</v>
      </c>
      <c r="C222" s="6">
        <v>11037</v>
      </c>
      <c r="D222" s="6">
        <v>2200</v>
      </c>
      <c r="E222" s="6">
        <v>908</v>
      </c>
      <c r="F222" s="6">
        <v>805198</v>
      </c>
      <c r="G222" s="6">
        <v>778887</v>
      </c>
      <c r="H222" s="6">
        <v>778887</v>
      </c>
      <c r="I222" s="6">
        <v>277019</v>
      </c>
      <c r="J222" s="6">
        <v>467864</v>
      </c>
      <c r="K222" s="6">
        <v>30587</v>
      </c>
      <c r="L222" s="6">
        <v>3417</v>
      </c>
      <c r="M222" s="6">
        <v>56939</v>
      </c>
      <c r="N222" s="6">
        <v>163558</v>
      </c>
      <c r="O222" s="6">
        <v>185391</v>
      </c>
      <c r="P222" s="6">
        <v>222745</v>
      </c>
      <c r="Q222" s="6">
        <v>67537</v>
      </c>
      <c r="R222" s="6">
        <v>82717</v>
      </c>
      <c r="S222" s="6">
        <v>0</v>
      </c>
      <c r="T222" s="6">
        <v>0</v>
      </c>
      <c r="U222" s="6">
        <v>8661</v>
      </c>
      <c r="V222" s="6">
        <v>-3855</v>
      </c>
      <c r="W222" s="6">
        <v>19750</v>
      </c>
      <c r="X222" s="6">
        <v>1756</v>
      </c>
      <c r="Y222" s="6"/>
      <c r="Z222" s="6"/>
      <c r="AA222" s="6"/>
      <c r="AB222" s="6">
        <v>9332</v>
      </c>
      <c r="AC222" s="6">
        <v>1944</v>
      </c>
      <c r="AD222" s="6">
        <v>0</v>
      </c>
      <c r="AE222" s="6">
        <v>20167</v>
      </c>
      <c r="AF222" s="6">
        <v>8578</v>
      </c>
    </row>
    <row r="223" spans="1:32" x14ac:dyDescent="0.35">
      <c r="A223" s="1">
        <v>39106</v>
      </c>
      <c r="B223" s="6">
        <v>851755</v>
      </c>
      <c r="C223" s="6">
        <v>11037</v>
      </c>
      <c r="D223" s="6">
        <v>2200</v>
      </c>
      <c r="E223" s="6">
        <v>984</v>
      </c>
      <c r="F223" s="6">
        <v>802713</v>
      </c>
      <c r="G223" s="6">
        <v>778875</v>
      </c>
      <c r="H223" s="6">
        <v>778875</v>
      </c>
      <c r="I223" s="6">
        <v>277019</v>
      </c>
      <c r="J223" s="6">
        <v>467864</v>
      </c>
      <c r="K223" s="6">
        <v>30587</v>
      </c>
      <c r="L223" s="6">
        <v>3406</v>
      </c>
      <c r="M223" s="6">
        <v>58154</v>
      </c>
      <c r="N223" s="6">
        <v>162832</v>
      </c>
      <c r="O223" s="6">
        <v>184901</v>
      </c>
      <c r="P223" s="6">
        <v>222742</v>
      </c>
      <c r="Q223" s="6">
        <v>69783</v>
      </c>
      <c r="R223" s="6">
        <v>80464</v>
      </c>
      <c r="S223" s="6">
        <v>0</v>
      </c>
      <c r="T223" s="6">
        <v>0</v>
      </c>
      <c r="U223" s="6">
        <v>8642</v>
      </c>
      <c r="V223" s="6">
        <v>-3829</v>
      </c>
      <c r="W223" s="6">
        <v>19000</v>
      </c>
      <c r="X223" s="6">
        <v>26</v>
      </c>
      <c r="Y223" s="6"/>
      <c r="Z223" s="6"/>
      <c r="AA223" s="6"/>
      <c r="AB223" s="6">
        <v>3118</v>
      </c>
      <c r="AC223" s="6">
        <v>1949</v>
      </c>
      <c r="AD223" s="6">
        <v>0</v>
      </c>
      <c r="AE223" s="6">
        <v>20176</v>
      </c>
      <c r="AF223" s="6">
        <v>9578</v>
      </c>
    </row>
    <row r="224" spans="1:32" x14ac:dyDescent="0.35">
      <c r="A224" s="1">
        <v>39113</v>
      </c>
      <c r="B224" s="6">
        <v>865730</v>
      </c>
      <c r="C224" s="6">
        <v>11037</v>
      </c>
      <c r="D224" s="6">
        <v>2200</v>
      </c>
      <c r="E224" s="6">
        <v>1069</v>
      </c>
      <c r="F224" s="6">
        <v>816982</v>
      </c>
      <c r="G224" s="6">
        <v>778863</v>
      </c>
      <c r="H224" s="6">
        <v>778863</v>
      </c>
      <c r="I224" s="6">
        <v>277019</v>
      </c>
      <c r="J224" s="6">
        <v>466675</v>
      </c>
      <c r="K224" s="6">
        <v>31776</v>
      </c>
      <c r="L224" s="6">
        <v>3393</v>
      </c>
      <c r="M224" s="6">
        <v>56075</v>
      </c>
      <c r="N224" s="6">
        <v>169534</v>
      </c>
      <c r="O224" s="6">
        <v>179349</v>
      </c>
      <c r="P224" s="6">
        <v>222478</v>
      </c>
      <c r="Q224" s="6">
        <v>69780</v>
      </c>
      <c r="R224" s="6">
        <v>81647</v>
      </c>
      <c r="S224" s="6">
        <v>0</v>
      </c>
      <c r="T224" s="6">
        <v>0</v>
      </c>
      <c r="U224" s="6">
        <v>8622</v>
      </c>
      <c r="V224" s="6">
        <v>-3829</v>
      </c>
      <c r="W224" s="6">
        <v>32000</v>
      </c>
      <c r="X224" s="6">
        <v>1326</v>
      </c>
      <c r="Y224" s="6"/>
      <c r="Z224" s="6"/>
      <c r="AA224" s="6"/>
      <c r="AB224" s="6">
        <v>2729</v>
      </c>
      <c r="AC224" s="6">
        <v>1962</v>
      </c>
      <c r="AD224" s="6">
        <v>0</v>
      </c>
      <c r="AE224" s="6">
        <v>20201</v>
      </c>
      <c r="AF224" s="6">
        <v>9550</v>
      </c>
    </row>
    <row r="225" spans="1:32" x14ac:dyDescent="0.35">
      <c r="A225" s="1">
        <v>39120</v>
      </c>
      <c r="B225" s="6">
        <v>855057</v>
      </c>
      <c r="C225" s="6">
        <v>11037</v>
      </c>
      <c r="D225" s="6">
        <v>2200</v>
      </c>
      <c r="E225" s="6">
        <v>1040</v>
      </c>
      <c r="F225" s="6">
        <v>803442</v>
      </c>
      <c r="G225" s="6">
        <v>778876</v>
      </c>
      <c r="H225" s="6">
        <v>778876</v>
      </c>
      <c r="I225" s="6">
        <v>277019</v>
      </c>
      <c r="J225" s="6">
        <v>466675</v>
      </c>
      <c r="K225" s="6">
        <v>31776</v>
      </c>
      <c r="L225" s="6">
        <v>3406</v>
      </c>
      <c r="M225" s="6">
        <v>56872</v>
      </c>
      <c r="N225" s="6">
        <v>169234</v>
      </c>
      <c r="O225" s="6">
        <v>178853</v>
      </c>
      <c r="P225" s="6">
        <v>222482</v>
      </c>
      <c r="Q225" s="6">
        <v>69783</v>
      </c>
      <c r="R225" s="6">
        <v>81652</v>
      </c>
      <c r="S225" s="6">
        <v>0</v>
      </c>
      <c r="T225" s="6">
        <v>0</v>
      </c>
      <c r="U225" s="6">
        <v>8603</v>
      </c>
      <c r="V225" s="6">
        <v>-3811</v>
      </c>
      <c r="W225" s="6">
        <v>19750</v>
      </c>
      <c r="X225" s="6">
        <v>23</v>
      </c>
      <c r="Y225" s="6"/>
      <c r="Z225" s="6"/>
      <c r="AA225" s="6"/>
      <c r="AB225" s="6">
        <v>5093</v>
      </c>
      <c r="AC225" s="6">
        <v>1956</v>
      </c>
      <c r="AD225" s="6">
        <v>0</v>
      </c>
      <c r="AE225" s="6">
        <v>20255</v>
      </c>
      <c r="AF225" s="6">
        <v>10035</v>
      </c>
    </row>
    <row r="226" spans="1:32" x14ac:dyDescent="0.35">
      <c r="A226" s="1">
        <v>39127</v>
      </c>
      <c r="B226" s="6">
        <v>867199</v>
      </c>
      <c r="C226" s="6">
        <v>11037</v>
      </c>
      <c r="D226" s="6">
        <v>2200</v>
      </c>
      <c r="E226" s="6">
        <v>1029</v>
      </c>
      <c r="F226" s="6">
        <v>813716</v>
      </c>
      <c r="G226" s="6">
        <v>778889</v>
      </c>
      <c r="H226" s="6">
        <v>778889</v>
      </c>
      <c r="I226" s="6">
        <v>277019</v>
      </c>
      <c r="J226" s="6">
        <v>466675</v>
      </c>
      <c r="K226" s="6">
        <v>31776</v>
      </c>
      <c r="L226" s="6">
        <v>3419</v>
      </c>
      <c r="M226" s="6">
        <v>66154</v>
      </c>
      <c r="N226" s="6">
        <v>171475</v>
      </c>
      <c r="O226" s="6">
        <v>167331</v>
      </c>
      <c r="P226" s="6">
        <v>226945</v>
      </c>
      <c r="Q226" s="6">
        <v>65326</v>
      </c>
      <c r="R226" s="6">
        <v>81657</v>
      </c>
      <c r="S226" s="6">
        <v>0</v>
      </c>
      <c r="T226" s="6">
        <v>0</v>
      </c>
      <c r="U226" s="6">
        <v>8583</v>
      </c>
      <c r="V226" s="6">
        <v>-3806</v>
      </c>
      <c r="W226" s="6">
        <v>30000</v>
      </c>
      <c r="X226" s="6">
        <v>49</v>
      </c>
      <c r="Y226" s="6"/>
      <c r="Z226" s="6"/>
      <c r="AA226" s="6"/>
      <c r="AB226" s="6">
        <v>6374</v>
      </c>
      <c r="AC226" s="6">
        <v>1959</v>
      </c>
      <c r="AD226" s="6">
        <v>0</v>
      </c>
      <c r="AE226" s="6">
        <v>20355</v>
      </c>
      <c r="AF226" s="6">
        <v>10530</v>
      </c>
    </row>
    <row r="227" spans="1:32" x14ac:dyDescent="0.35">
      <c r="A227" s="1">
        <v>39134</v>
      </c>
      <c r="B227" s="6">
        <v>869235</v>
      </c>
      <c r="C227" s="6">
        <v>11037</v>
      </c>
      <c r="D227" s="6">
        <v>2200</v>
      </c>
      <c r="E227" s="6">
        <v>1001</v>
      </c>
      <c r="F227" s="6">
        <v>817687</v>
      </c>
      <c r="G227" s="6">
        <v>778902</v>
      </c>
      <c r="H227" s="6">
        <v>778902</v>
      </c>
      <c r="I227" s="6">
        <v>277019</v>
      </c>
      <c r="J227" s="6">
        <v>466675</v>
      </c>
      <c r="K227" s="6">
        <v>31776</v>
      </c>
      <c r="L227" s="6">
        <v>3432</v>
      </c>
      <c r="M227" s="6">
        <v>63134</v>
      </c>
      <c r="N227" s="6">
        <v>171140</v>
      </c>
      <c r="O227" s="6">
        <v>176111</v>
      </c>
      <c r="P227" s="6">
        <v>219506</v>
      </c>
      <c r="Q227" s="6">
        <v>66523</v>
      </c>
      <c r="R227" s="6">
        <v>82489</v>
      </c>
      <c r="S227" s="6">
        <v>0</v>
      </c>
      <c r="T227" s="6">
        <v>0</v>
      </c>
      <c r="U227" s="6">
        <v>8564</v>
      </c>
      <c r="V227" s="6">
        <v>-3822</v>
      </c>
      <c r="W227" s="6">
        <v>34000</v>
      </c>
      <c r="X227" s="6">
        <v>41</v>
      </c>
      <c r="Y227" s="6"/>
      <c r="Z227" s="6"/>
      <c r="AA227" s="6"/>
      <c r="AB227" s="6">
        <v>8082</v>
      </c>
      <c r="AC227" s="6">
        <v>1960</v>
      </c>
      <c r="AD227" s="6">
        <v>0</v>
      </c>
      <c r="AE227" s="6">
        <v>20352</v>
      </c>
      <c r="AF227" s="6">
        <v>6915</v>
      </c>
    </row>
    <row r="228" spans="1:32" x14ac:dyDescent="0.35">
      <c r="A228" s="1">
        <v>39141</v>
      </c>
      <c r="B228" s="6">
        <v>877409</v>
      </c>
      <c r="C228" s="6">
        <v>11037</v>
      </c>
      <c r="D228" s="6">
        <v>2200</v>
      </c>
      <c r="E228" s="6">
        <v>985</v>
      </c>
      <c r="F228" s="6">
        <v>830753</v>
      </c>
      <c r="G228" s="6">
        <v>780793</v>
      </c>
      <c r="H228" s="6">
        <v>780793</v>
      </c>
      <c r="I228" s="6">
        <v>277019</v>
      </c>
      <c r="J228" s="6">
        <v>468553</v>
      </c>
      <c r="K228" s="6">
        <v>31776</v>
      </c>
      <c r="L228" s="6">
        <v>3446</v>
      </c>
      <c r="M228" s="6">
        <v>54261</v>
      </c>
      <c r="N228" s="6">
        <v>171003</v>
      </c>
      <c r="O228" s="6">
        <v>177267</v>
      </c>
      <c r="P228" s="6">
        <v>229242</v>
      </c>
      <c r="Q228" s="6">
        <v>66526</v>
      </c>
      <c r="R228" s="6">
        <v>82494</v>
      </c>
      <c r="S228" s="6">
        <v>0</v>
      </c>
      <c r="T228" s="6">
        <v>0</v>
      </c>
      <c r="U228" s="6">
        <v>8546</v>
      </c>
      <c r="V228" s="6">
        <v>-3858</v>
      </c>
      <c r="W228" s="6">
        <v>45250</v>
      </c>
      <c r="X228" s="6">
        <v>22</v>
      </c>
      <c r="Y228" s="6"/>
      <c r="Z228" s="6"/>
      <c r="AA228" s="6"/>
      <c r="AB228" s="6">
        <v>3040</v>
      </c>
      <c r="AC228" s="6">
        <v>1974</v>
      </c>
      <c r="AD228" s="6">
        <v>0</v>
      </c>
      <c r="AE228" s="6">
        <v>20636</v>
      </c>
      <c r="AF228" s="6">
        <v>6785</v>
      </c>
    </row>
    <row r="229" spans="1:32" x14ac:dyDescent="0.35">
      <c r="A229" s="1">
        <v>39148</v>
      </c>
      <c r="B229" s="6">
        <v>864505</v>
      </c>
      <c r="C229" s="6">
        <v>11037</v>
      </c>
      <c r="D229" s="6">
        <v>2200</v>
      </c>
      <c r="E229" s="6">
        <v>977</v>
      </c>
      <c r="F229" s="6">
        <v>816766</v>
      </c>
      <c r="G229" s="6">
        <v>780818</v>
      </c>
      <c r="H229" s="6">
        <v>780818</v>
      </c>
      <c r="I229" s="6">
        <v>277019</v>
      </c>
      <c r="J229" s="6">
        <v>468553</v>
      </c>
      <c r="K229" s="6">
        <v>31776</v>
      </c>
      <c r="L229" s="6">
        <v>3470</v>
      </c>
      <c r="M229" s="6">
        <v>53269</v>
      </c>
      <c r="N229" s="6">
        <v>179493</v>
      </c>
      <c r="O229" s="6">
        <v>174455</v>
      </c>
      <c r="P229" s="6">
        <v>224564</v>
      </c>
      <c r="Q229" s="6">
        <v>66533</v>
      </c>
      <c r="R229" s="6">
        <v>82504</v>
      </c>
      <c r="S229" s="6">
        <v>0</v>
      </c>
      <c r="T229" s="6">
        <v>0</v>
      </c>
      <c r="U229" s="6">
        <v>8527</v>
      </c>
      <c r="V229" s="6">
        <v>-3871</v>
      </c>
      <c r="W229" s="6">
        <v>31250</v>
      </c>
      <c r="X229" s="6">
        <v>43</v>
      </c>
      <c r="Y229" s="6"/>
      <c r="Z229" s="6"/>
      <c r="AA229" s="6"/>
      <c r="AB229" s="6">
        <v>3582</v>
      </c>
      <c r="AC229" s="6">
        <v>1969</v>
      </c>
      <c r="AD229" s="6">
        <v>0</v>
      </c>
      <c r="AE229" s="6">
        <v>20699</v>
      </c>
      <c r="AF229" s="6">
        <v>7275</v>
      </c>
    </row>
    <row r="230" spans="1:32" x14ac:dyDescent="0.35">
      <c r="A230" s="1">
        <v>39155</v>
      </c>
      <c r="B230" s="6">
        <v>876108</v>
      </c>
      <c r="C230" s="6">
        <v>11037</v>
      </c>
      <c r="D230" s="6">
        <v>2200</v>
      </c>
      <c r="E230" s="6">
        <v>952</v>
      </c>
      <c r="F230" s="6">
        <v>828498</v>
      </c>
      <c r="G230" s="6">
        <v>780842</v>
      </c>
      <c r="H230" s="6">
        <v>780842</v>
      </c>
      <c r="I230" s="6">
        <v>277019</v>
      </c>
      <c r="J230" s="6">
        <v>468553</v>
      </c>
      <c r="K230" s="6">
        <v>31776</v>
      </c>
      <c r="L230" s="6">
        <v>3494</v>
      </c>
      <c r="M230" s="6">
        <v>52120</v>
      </c>
      <c r="N230" s="6">
        <v>180565</v>
      </c>
      <c r="O230" s="6">
        <v>174534</v>
      </c>
      <c r="P230" s="6">
        <v>224570</v>
      </c>
      <c r="Q230" s="6">
        <v>66539</v>
      </c>
      <c r="R230" s="6">
        <v>82514</v>
      </c>
      <c r="S230" s="6">
        <v>0</v>
      </c>
      <c r="T230" s="6">
        <v>0</v>
      </c>
      <c r="U230" s="6">
        <v>8508</v>
      </c>
      <c r="V230" s="6">
        <v>-3878</v>
      </c>
      <c r="W230" s="6">
        <v>43000</v>
      </c>
      <c r="X230" s="6">
        <v>27</v>
      </c>
      <c r="Y230" s="6"/>
      <c r="Z230" s="6"/>
      <c r="AA230" s="6"/>
      <c r="AB230" s="6">
        <v>2990</v>
      </c>
      <c r="AC230" s="6">
        <v>1969</v>
      </c>
      <c r="AD230" s="6">
        <v>0</v>
      </c>
      <c r="AE230" s="6">
        <v>20789</v>
      </c>
      <c r="AF230" s="6">
        <v>7672</v>
      </c>
    </row>
    <row r="231" spans="1:32" x14ac:dyDescent="0.35">
      <c r="A231" s="1">
        <v>39162</v>
      </c>
      <c r="B231" s="6">
        <v>863067</v>
      </c>
      <c r="C231" s="6">
        <v>11037</v>
      </c>
      <c r="D231" s="6">
        <v>2200</v>
      </c>
      <c r="E231" s="6">
        <v>931</v>
      </c>
      <c r="F231" s="6">
        <v>815249</v>
      </c>
      <c r="G231" s="6">
        <v>780866</v>
      </c>
      <c r="H231" s="6">
        <v>780866</v>
      </c>
      <c r="I231" s="6">
        <v>277019</v>
      </c>
      <c r="J231" s="6">
        <v>468553</v>
      </c>
      <c r="K231" s="6">
        <v>31776</v>
      </c>
      <c r="L231" s="6">
        <v>3518</v>
      </c>
      <c r="M231" s="6">
        <v>58762</v>
      </c>
      <c r="N231" s="6">
        <v>173851</v>
      </c>
      <c r="O231" s="6">
        <v>174608</v>
      </c>
      <c r="P231" s="6">
        <v>224576</v>
      </c>
      <c r="Q231" s="6">
        <v>66546</v>
      </c>
      <c r="R231" s="6">
        <v>82524</v>
      </c>
      <c r="S231" s="6">
        <v>0</v>
      </c>
      <c r="T231" s="6">
        <v>0</v>
      </c>
      <c r="U231" s="6">
        <v>8489</v>
      </c>
      <c r="V231" s="6">
        <v>-3885</v>
      </c>
      <c r="W231" s="6">
        <v>29750</v>
      </c>
      <c r="X231" s="6">
        <v>29</v>
      </c>
      <c r="Y231" s="6"/>
      <c r="Z231" s="6"/>
      <c r="AA231" s="6"/>
      <c r="AB231" s="6">
        <v>2905</v>
      </c>
      <c r="AC231" s="6">
        <v>1974</v>
      </c>
      <c r="AD231" s="6">
        <v>0</v>
      </c>
      <c r="AE231" s="6">
        <v>20770</v>
      </c>
      <c r="AF231" s="6">
        <v>8001</v>
      </c>
    </row>
    <row r="232" spans="1:32" x14ac:dyDescent="0.35">
      <c r="A232" s="1">
        <v>39169</v>
      </c>
      <c r="B232" s="6">
        <v>869803</v>
      </c>
      <c r="C232" s="6">
        <v>11037</v>
      </c>
      <c r="D232" s="6">
        <v>2200</v>
      </c>
      <c r="E232" s="6">
        <v>921</v>
      </c>
      <c r="F232" s="6">
        <v>821510</v>
      </c>
      <c r="G232" s="6">
        <v>780890</v>
      </c>
      <c r="H232" s="6">
        <v>780890</v>
      </c>
      <c r="I232" s="6">
        <v>277019</v>
      </c>
      <c r="J232" s="6">
        <v>468553</v>
      </c>
      <c r="K232" s="6">
        <v>31776</v>
      </c>
      <c r="L232" s="6">
        <v>3543</v>
      </c>
      <c r="M232" s="6">
        <v>57927</v>
      </c>
      <c r="N232" s="6">
        <v>174578</v>
      </c>
      <c r="O232" s="6">
        <v>174718</v>
      </c>
      <c r="P232" s="6">
        <v>224582</v>
      </c>
      <c r="Q232" s="6">
        <v>66552</v>
      </c>
      <c r="R232" s="6">
        <v>82534</v>
      </c>
      <c r="S232" s="6">
        <v>0</v>
      </c>
      <c r="T232" s="6">
        <v>0</v>
      </c>
      <c r="U232" s="6">
        <v>8470</v>
      </c>
      <c r="V232" s="6">
        <v>-3878</v>
      </c>
      <c r="W232" s="6">
        <v>36000</v>
      </c>
      <c r="X232" s="6">
        <v>28</v>
      </c>
      <c r="Y232" s="6"/>
      <c r="Z232" s="6"/>
      <c r="AA232" s="6"/>
      <c r="AB232" s="6">
        <v>2819</v>
      </c>
      <c r="AC232" s="6">
        <v>1975</v>
      </c>
      <c r="AD232" s="6">
        <v>0</v>
      </c>
      <c r="AE232" s="6">
        <v>20873</v>
      </c>
      <c r="AF232" s="6">
        <v>8468</v>
      </c>
    </row>
    <row r="233" spans="1:32" x14ac:dyDescent="0.35">
      <c r="A233" s="1">
        <v>39176</v>
      </c>
      <c r="B233" s="6">
        <v>862319</v>
      </c>
      <c r="C233" s="6">
        <v>11037</v>
      </c>
      <c r="D233" s="6">
        <v>2200</v>
      </c>
      <c r="E233" s="6">
        <v>939</v>
      </c>
      <c r="F233" s="6">
        <v>813543</v>
      </c>
      <c r="G233" s="6">
        <v>780926</v>
      </c>
      <c r="H233" s="6">
        <v>780926</v>
      </c>
      <c r="I233" s="6">
        <v>277019</v>
      </c>
      <c r="J233" s="6">
        <v>468553</v>
      </c>
      <c r="K233" s="6">
        <v>31776</v>
      </c>
      <c r="L233" s="6">
        <v>3578</v>
      </c>
      <c r="M233" s="6">
        <v>49523</v>
      </c>
      <c r="N233" s="6">
        <v>182042</v>
      </c>
      <c r="O233" s="6">
        <v>174217</v>
      </c>
      <c r="P233" s="6">
        <v>226033</v>
      </c>
      <c r="Q233" s="6">
        <v>66562</v>
      </c>
      <c r="R233" s="6">
        <v>82549</v>
      </c>
      <c r="S233" s="6">
        <v>0</v>
      </c>
      <c r="T233" s="6">
        <v>0</v>
      </c>
      <c r="U233" s="6">
        <v>8451</v>
      </c>
      <c r="V233" s="6">
        <v>-3866</v>
      </c>
      <c r="W233" s="6">
        <v>28000</v>
      </c>
      <c r="X233" s="6">
        <v>32</v>
      </c>
      <c r="Y233" s="6"/>
      <c r="Z233" s="6"/>
      <c r="AA233" s="6"/>
      <c r="AB233" s="6">
        <v>3510</v>
      </c>
      <c r="AC233" s="6">
        <v>1986</v>
      </c>
      <c r="AD233" s="6">
        <v>0</v>
      </c>
      <c r="AE233" s="6">
        <v>20786</v>
      </c>
      <c r="AF233" s="6">
        <v>8318</v>
      </c>
    </row>
    <row r="234" spans="1:32" x14ac:dyDescent="0.35">
      <c r="A234" s="1">
        <v>39183</v>
      </c>
      <c r="B234" s="6">
        <v>865441</v>
      </c>
      <c r="C234" s="6">
        <v>11037</v>
      </c>
      <c r="D234" s="6">
        <v>2200</v>
      </c>
      <c r="E234" s="6">
        <v>963</v>
      </c>
      <c r="F234" s="6">
        <v>816494</v>
      </c>
      <c r="G234" s="6">
        <v>782816</v>
      </c>
      <c r="H234" s="6">
        <v>782816</v>
      </c>
      <c r="I234" s="6">
        <v>277019</v>
      </c>
      <c r="J234" s="6">
        <v>470399</v>
      </c>
      <c r="K234" s="6">
        <v>31776</v>
      </c>
      <c r="L234" s="6">
        <v>3622</v>
      </c>
      <c r="M234" s="6">
        <v>49653</v>
      </c>
      <c r="N234" s="6">
        <v>181952</v>
      </c>
      <c r="O234" s="6">
        <v>174180</v>
      </c>
      <c r="P234" s="6">
        <v>226985</v>
      </c>
      <c r="Q234" s="6">
        <v>66839</v>
      </c>
      <c r="R234" s="6">
        <v>83207</v>
      </c>
      <c r="S234" s="6">
        <v>0</v>
      </c>
      <c r="T234" s="6">
        <v>0</v>
      </c>
      <c r="U234" s="6">
        <v>8712</v>
      </c>
      <c r="V234" s="6">
        <v>-3834</v>
      </c>
      <c r="W234" s="6">
        <v>28750</v>
      </c>
      <c r="X234" s="6">
        <v>49</v>
      </c>
      <c r="Y234" s="6"/>
      <c r="Z234" s="6"/>
      <c r="AA234" s="6"/>
      <c r="AB234" s="6">
        <v>3122</v>
      </c>
      <c r="AC234" s="6">
        <v>1988</v>
      </c>
      <c r="AD234" s="6">
        <v>0</v>
      </c>
      <c r="AE234" s="6">
        <v>20822</v>
      </c>
      <c r="AF234" s="6">
        <v>8816</v>
      </c>
    </row>
    <row r="235" spans="1:32" x14ac:dyDescent="0.35">
      <c r="A235" s="1">
        <v>39190</v>
      </c>
      <c r="B235" s="6">
        <v>861335</v>
      </c>
      <c r="C235" s="6">
        <v>11037</v>
      </c>
      <c r="D235" s="6">
        <v>2200</v>
      </c>
      <c r="E235" s="6">
        <v>976</v>
      </c>
      <c r="F235" s="6">
        <v>811810</v>
      </c>
      <c r="G235" s="6">
        <v>782860</v>
      </c>
      <c r="H235" s="6">
        <v>782860</v>
      </c>
      <c r="I235" s="6">
        <v>277019</v>
      </c>
      <c r="J235" s="6">
        <v>470399</v>
      </c>
      <c r="K235" s="6">
        <v>31776</v>
      </c>
      <c r="L235" s="6">
        <v>3666</v>
      </c>
      <c r="M235" s="6">
        <v>60740</v>
      </c>
      <c r="N235" s="6">
        <v>171156</v>
      </c>
      <c r="O235" s="6">
        <v>173892</v>
      </c>
      <c r="P235" s="6">
        <v>226996</v>
      </c>
      <c r="Q235" s="6">
        <v>66851</v>
      </c>
      <c r="R235" s="6">
        <v>83225</v>
      </c>
      <c r="S235" s="6">
        <v>0</v>
      </c>
      <c r="T235" s="6">
        <v>0</v>
      </c>
      <c r="U235" s="6">
        <v>8692</v>
      </c>
      <c r="V235" s="6">
        <v>-3794</v>
      </c>
      <c r="W235" s="6">
        <v>24000</v>
      </c>
      <c r="X235" s="6">
        <v>52</v>
      </c>
      <c r="Y235" s="6"/>
      <c r="Z235" s="6"/>
      <c r="AA235" s="6"/>
      <c r="AB235" s="6">
        <v>3273</v>
      </c>
      <c r="AC235" s="6">
        <v>1991</v>
      </c>
      <c r="AD235" s="6">
        <v>0</v>
      </c>
      <c r="AE235" s="6">
        <v>21037</v>
      </c>
      <c r="AF235" s="6">
        <v>9010</v>
      </c>
    </row>
    <row r="236" spans="1:32" x14ac:dyDescent="0.35">
      <c r="A236" s="1">
        <v>39197</v>
      </c>
      <c r="B236" s="6">
        <v>879686</v>
      </c>
      <c r="C236" s="6">
        <v>11037</v>
      </c>
      <c r="D236" s="6">
        <v>2200</v>
      </c>
      <c r="E236" s="6">
        <v>1019</v>
      </c>
      <c r="F236" s="6">
        <v>830107</v>
      </c>
      <c r="G236" s="6">
        <v>787149</v>
      </c>
      <c r="H236" s="6">
        <v>787149</v>
      </c>
      <c r="I236" s="6">
        <v>277019</v>
      </c>
      <c r="J236" s="6">
        <v>474059</v>
      </c>
      <c r="K236" s="6">
        <v>32336</v>
      </c>
      <c r="L236" s="6">
        <v>3736</v>
      </c>
      <c r="M236" s="6">
        <v>62771</v>
      </c>
      <c r="N236" s="6">
        <v>169707</v>
      </c>
      <c r="O236" s="6">
        <v>174707</v>
      </c>
      <c r="P236" s="6">
        <v>229833</v>
      </c>
      <c r="Q236" s="6">
        <v>66887</v>
      </c>
      <c r="R236" s="6">
        <v>83244</v>
      </c>
      <c r="S236" s="6">
        <v>0</v>
      </c>
      <c r="T236" s="6">
        <v>0</v>
      </c>
      <c r="U236" s="6">
        <v>8676</v>
      </c>
      <c r="V236" s="6">
        <v>-3775</v>
      </c>
      <c r="W236" s="6">
        <v>38000</v>
      </c>
      <c r="X236" s="6">
        <v>57</v>
      </c>
      <c r="Y236" s="6"/>
      <c r="Z236" s="6"/>
      <c r="AA236" s="6"/>
      <c r="AB236" s="6">
        <v>2707</v>
      </c>
      <c r="AC236" s="6">
        <v>1990</v>
      </c>
      <c r="AD236" s="6">
        <v>0</v>
      </c>
      <c r="AE236" s="6">
        <v>21094</v>
      </c>
      <c r="AF236" s="6">
        <v>9533</v>
      </c>
    </row>
    <row r="237" spans="1:32" x14ac:dyDescent="0.35">
      <c r="A237" s="1">
        <v>39204</v>
      </c>
      <c r="B237" s="6">
        <v>890857</v>
      </c>
      <c r="C237" s="6">
        <v>11037</v>
      </c>
      <c r="D237" s="6">
        <v>2200</v>
      </c>
      <c r="E237" s="6">
        <v>1073</v>
      </c>
      <c r="F237" s="6">
        <v>840184</v>
      </c>
      <c r="G237" s="6">
        <v>787210</v>
      </c>
      <c r="H237" s="6">
        <v>787210</v>
      </c>
      <c r="I237" s="6">
        <v>277019</v>
      </c>
      <c r="J237" s="6">
        <v>471936</v>
      </c>
      <c r="K237" s="6">
        <v>34459</v>
      </c>
      <c r="L237" s="6">
        <v>3796</v>
      </c>
      <c r="M237" s="6">
        <v>65945</v>
      </c>
      <c r="N237" s="6">
        <v>164712</v>
      </c>
      <c r="O237" s="6">
        <v>171410</v>
      </c>
      <c r="P237" s="6">
        <v>234977</v>
      </c>
      <c r="Q237" s="6">
        <v>66901</v>
      </c>
      <c r="R237" s="6">
        <v>83265</v>
      </c>
      <c r="S237" s="6">
        <v>0</v>
      </c>
      <c r="T237" s="6">
        <v>0</v>
      </c>
      <c r="U237" s="6">
        <v>8656</v>
      </c>
      <c r="V237" s="6">
        <v>-3758</v>
      </c>
      <c r="W237" s="6">
        <v>48000</v>
      </c>
      <c r="X237" s="6">
        <v>76</v>
      </c>
      <c r="Y237" s="6"/>
      <c r="Z237" s="6"/>
      <c r="AA237" s="6"/>
      <c r="AB237" s="6">
        <v>3984</v>
      </c>
      <c r="AC237" s="6">
        <v>2003</v>
      </c>
      <c r="AD237" s="6">
        <v>0</v>
      </c>
      <c r="AE237" s="6">
        <v>20961</v>
      </c>
      <c r="AF237" s="6">
        <v>9415</v>
      </c>
    </row>
    <row r="238" spans="1:32" x14ac:dyDescent="0.35">
      <c r="A238" s="1">
        <v>39211</v>
      </c>
      <c r="B238" s="6">
        <v>875270</v>
      </c>
      <c r="C238" s="6">
        <v>11037</v>
      </c>
      <c r="D238" s="6">
        <v>2200</v>
      </c>
      <c r="E238" s="6">
        <v>1016</v>
      </c>
      <c r="F238" s="6">
        <v>824020</v>
      </c>
      <c r="G238" s="6">
        <v>790025</v>
      </c>
      <c r="H238" s="6">
        <v>790025</v>
      </c>
      <c r="I238" s="6">
        <v>277019</v>
      </c>
      <c r="J238" s="6">
        <v>474672</v>
      </c>
      <c r="K238" s="6">
        <v>34459</v>
      </c>
      <c r="L238" s="6">
        <v>3875</v>
      </c>
      <c r="M238" s="6">
        <v>68357</v>
      </c>
      <c r="N238" s="6">
        <v>162882</v>
      </c>
      <c r="O238" s="6">
        <v>170832</v>
      </c>
      <c r="P238" s="6">
        <v>237737</v>
      </c>
      <c r="Q238" s="6">
        <v>66921</v>
      </c>
      <c r="R238" s="6">
        <v>83296</v>
      </c>
      <c r="S238" s="6">
        <v>0</v>
      </c>
      <c r="T238" s="6">
        <v>0</v>
      </c>
      <c r="U238" s="6">
        <v>8641</v>
      </c>
      <c r="V238" s="6">
        <v>-3728</v>
      </c>
      <c r="W238" s="6">
        <v>29000</v>
      </c>
      <c r="X238" s="6">
        <v>82</v>
      </c>
      <c r="Y238" s="6"/>
      <c r="Z238" s="6"/>
      <c r="AA238" s="6"/>
      <c r="AB238" s="6">
        <v>4144</v>
      </c>
      <c r="AC238" s="6">
        <v>2006</v>
      </c>
      <c r="AD238" s="6">
        <v>0</v>
      </c>
      <c r="AE238" s="6">
        <v>20941</v>
      </c>
      <c r="AF238" s="6">
        <v>9906</v>
      </c>
    </row>
    <row r="239" spans="1:32" x14ac:dyDescent="0.35">
      <c r="A239" s="1">
        <v>39218</v>
      </c>
      <c r="B239" s="6">
        <v>859559</v>
      </c>
      <c r="C239" s="6">
        <v>11037</v>
      </c>
      <c r="D239" s="6">
        <v>2200</v>
      </c>
      <c r="E239" s="6">
        <v>949</v>
      </c>
      <c r="F239" s="6">
        <v>813051</v>
      </c>
      <c r="G239" s="6">
        <v>790103</v>
      </c>
      <c r="H239" s="6">
        <v>790103</v>
      </c>
      <c r="I239" s="6">
        <v>277019</v>
      </c>
      <c r="J239" s="6">
        <v>474672</v>
      </c>
      <c r="K239" s="6">
        <v>34459</v>
      </c>
      <c r="L239" s="6">
        <v>3953</v>
      </c>
      <c r="M239" s="6">
        <v>66840</v>
      </c>
      <c r="N239" s="6">
        <v>153859</v>
      </c>
      <c r="O239" s="6">
        <v>183320</v>
      </c>
      <c r="P239" s="6">
        <v>229466</v>
      </c>
      <c r="Q239" s="6">
        <v>66941</v>
      </c>
      <c r="R239" s="6">
        <v>89676</v>
      </c>
      <c r="S239" s="6">
        <v>0</v>
      </c>
      <c r="T239" s="6">
        <v>0</v>
      </c>
      <c r="U239" s="6">
        <v>8622</v>
      </c>
      <c r="V239" s="6">
        <v>-3767</v>
      </c>
      <c r="W239" s="6">
        <v>18000</v>
      </c>
      <c r="X239" s="6">
        <v>93</v>
      </c>
      <c r="Y239" s="6"/>
      <c r="Z239" s="6"/>
      <c r="AA239" s="6"/>
      <c r="AB239" s="6">
        <v>2523</v>
      </c>
      <c r="AC239" s="6">
        <v>2005</v>
      </c>
      <c r="AD239" s="6">
        <v>0</v>
      </c>
      <c r="AE239" s="6">
        <v>20863</v>
      </c>
      <c r="AF239" s="6">
        <v>6931</v>
      </c>
    </row>
    <row r="240" spans="1:32" x14ac:dyDescent="0.35">
      <c r="A240" s="1">
        <v>39225</v>
      </c>
      <c r="B240" s="6">
        <v>873935</v>
      </c>
      <c r="C240" s="6">
        <v>11037</v>
      </c>
      <c r="D240" s="6">
        <v>2200</v>
      </c>
      <c r="E240" s="6">
        <v>905</v>
      </c>
      <c r="F240" s="6">
        <v>826413</v>
      </c>
      <c r="G240" s="6">
        <v>790182</v>
      </c>
      <c r="H240" s="6">
        <v>790182</v>
      </c>
      <c r="I240" s="6">
        <v>277019</v>
      </c>
      <c r="J240" s="6">
        <v>474672</v>
      </c>
      <c r="K240" s="6">
        <v>34459</v>
      </c>
      <c r="L240" s="6">
        <v>4032</v>
      </c>
      <c r="M240" s="6">
        <v>69193</v>
      </c>
      <c r="N240" s="6">
        <v>164924</v>
      </c>
      <c r="O240" s="6">
        <v>169907</v>
      </c>
      <c r="P240" s="6">
        <v>229490</v>
      </c>
      <c r="Q240" s="6">
        <v>74477</v>
      </c>
      <c r="R240" s="6">
        <v>82190</v>
      </c>
      <c r="S240" s="6">
        <v>0</v>
      </c>
      <c r="T240" s="6">
        <v>0</v>
      </c>
      <c r="U240" s="6">
        <v>8604</v>
      </c>
      <c r="V240" s="6">
        <v>-3741</v>
      </c>
      <c r="W240" s="6">
        <v>31250</v>
      </c>
      <c r="X240" s="6">
        <v>118</v>
      </c>
      <c r="Y240" s="6"/>
      <c r="Z240" s="6"/>
      <c r="AA240" s="6"/>
      <c r="AB240" s="6">
        <v>3135</v>
      </c>
      <c r="AC240" s="6">
        <v>2014</v>
      </c>
      <c r="AD240" s="6">
        <v>0</v>
      </c>
      <c r="AE240" s="6">
        <v>20784</v>
      </c>
      <c r="AF240" s="6">
        <v>7447</v>
      </c>
    </row>
    <row r="241" spans="1:32" x14ac:dyDescent="0.35">
      <c r="A241" s="1">
        <v>39232</v>
      </c>
      <c r="B241" s="6">
        <v>876986</v>
      </c>
      <c r="C241" s="6">
        <v>11037</v>
      </c>
      <c r="D241" s="6">
        <v>2200</v>
      </c>
      <c r="E241" s="6">
        <v>880</v>
      </c>
      <c r="F241" s="6">
        <v>826237</v>
      </c>
      <c r="G241" s="6">
        <v>790260</v>
      </c>
      <c r="H241" s="6">
        <v>790260</v>
      </c>
      <c r="I241" s="6">
        <v>277019</v>
      </c>
      <c r="J241" s="6">
        <v>474672</v>
      </c>
      <c r="K241" s="6">
        <v>34459</v>
      </c>
      <c r="L241" s="6">
        <v>4111</v>
      </c>
      <c r="M241" s="6">
        <v>70503</v>
      </c>
      <c r="N241" s="6">
        <v>164252</v>
      </c>
      <c r="O241" s="6">
        <v>169274</v>
      </c>
      <c r="P241" s="6">
        <v>229514</v>
      </c>
      <c r="Q241" s="6">
        <v>74496</v>
      </c>
      <c r="R241" s="6">
        <v>82220</v>
      </c>
      <c r="S241" s="6">
        <v>0</v>
      </c>
      <c r="T241" s="6">
        <v>0</v>
      </c>
      <c r="U241" s="6">
        <v>8585</v>
      </c>
      <c r="V241" s="6">
        <v>-3729</v>
      </c>
      <c r="W241" s="6">
        <v>31000</v>
      </c>
      <c r="X241" s="6">
        <v>121</v>
      </c>
      <c r="Y241" s="6"/>
      <c r="Z241" s="6"/>
      <c r="AA241" s="6"/>
      <c r="AB241" s="6">
        <v>5934</v>
      </c>
      <c r="AC241" s="6">
        <v>2016</v>
      </c>
      <c r="AD241" s="6">
        <v>0</v>
      </c>
      <c r="AE241" s="6">
        <v>20736</v>
      </c>
      <c r="AF241" s="6">
        <v>7946</v>
      </c>
    </row>
    <row r="242" spans="1:32" x14ac:dyDescent="0.35">
      <c r="A242" s="1">
        <v>39239</v>
      </c>
      <c r="B242" s="6">
        <v>872706</v>
      </c>
      <c r="C242" s="6">
        <v>11037</v>
      </c>
      <c r="D242" s="6">
        <v>2200</v>
      </c>
      <c r="E242" s="6">
        <v>893</v>
      </c>
      <c r="F242" s="6">
        <v>823797</v>
      </c>
      <c r="G242" s="6">
        <v>790322</v>
      </c>
      <c r="H242" s="6">
        <v>790322</v>
      </c>
      <c r="I242" s="6">
        <v>277019</v>
      </c>
      <c r="J242" s="6">
        <v>474672</v>
      </c>
      <c r="K242" s="6">
        <v>34459</v>
      </c>
      <c r="L242" s="6">
        <v>4172</v>
      </c>
      <c r="M242" s="6">
        <v>62340</v>
      </c>
      <c r="N242" s="6">
        <v>172422</v>
      </c>
      <c r="O242" s="6">
        <v>165484</v>
      </c>
      <c r="P242" s="6">
        <v>233320</v>
      </c>
      <c r="Q242" s="6">
        <v>74512</v>
      </c>
      <c r="R242" s="6">
        <v>82244</v>
      </c>
      <c r="S242" s="6">
        <v>0</v>
      </c>
      <c r="T242" s="6">
        <v>0</v>
      </c>
      <c r="U242" s="6">
        <v>8567</v>
      </c>
      <c r="V242" s="6">
        <v>-3746</v>
      </c>
      <c r="W242" s="6">
        <v>28500</v>
      </c>
      <c r="X242" s="6">
        <v>154</v>
      </c>
      <c r="Y242" s="6"/>
      <c r="Z242" s="6"/>
      <c r="AA242" s="6"/>
      <c r="AB242" s="6">
        <v>4071</v>
      </c>
      <c r="AC242" s="6">
        <v>2026</v>
      </c>
      <c r="AD242" s="6">
        <v>0</v>
      </c>
      <c r="AE242" s="6">
        <v>20842</v>
      </c>
      <c r="AF242" s="6">
        <v>7841</v>
      </c>
    </row>
    <row r="243" spans="1:32" x14ac:dyDescent="0.35">
      <c r="A243" s="1">
        <v>39246</v>
      </c>
      <c r="B243" s="6">
        <v>864989</v>
      </c>
      <c r="C243" s="6">
        <v>11037</v>
      </c>
      <c r="D243" s="6">
        <v>2200</v>
      </c>
      <c r="E243" s="6">
        <v>914</v>
      </c>
      <c r="F243" s="6">
        <v>817312</v>
      </c>
      <c r="G243" s="6">
        <v>790380</v>
      </c>
      <c r="H243" s="6">
        <v>790380</v>
      </c>
      <c r="I243" s="6">
        <v>277019</v>
      </c>
      <c r="J243" s="6">
        <v>474672</v>
      </c>
      <c r="K243" s="6">
        <v>34459</v>
      </c>
      <c r="L243" s="6">
        <v>4231</v>
      </c>
      <c r="M243" s="6">
        <v>61006</v>
      </c>
      <c r="N243" s="6">
        <v>173922</v>
      </c>
      <c r="O243" s="6">
        <v>165322</v>
      </c>
      <c r="P243" s="6">
        <v>233338</v>
      </c>
      <c r="Q243" s="6">
        <v>74526</v>
      </c>
      <c r="R243" s="6">
        <v>82267</v>
      </c>
      <c r="S243" s="6">
        <v>0</v>
      </c>
      <c r="T243" s="6">
        <v>0</v>
      </c>
      <c r="U243" s="6">
        <v>8548</v>
      </c>
      <c r="V243" s="6">
        <v>-3759</v>
      </c>
      <c r="W243" s="6">
        <v>22000</v>
      </c>
      <c r="X243" s="6">
        <v>142</v>
      </c>
      <c r="Y243" s="6"/>
      <c r="Z243" s="6"/>
      <c r="AA243" s="6"/>
      <c r="AB243" s="6">
        <v>2696</v>
      </c>
      <c r="AC243" s="6">
        <v>2028</v>
      </c>
      <c r="AD243" s="6">
        <v>0</v>
      </c>
      <c r="AE243" s="6">
        <v>20580</v>
      </c>
      <c r="AF243" s="6">
        <v>8224</v>
      </c>
    </row>
    <row r="244" spans="1:32" x14ac:dyDescent="0.35">
      <c r="A244" s="1">
        <v>39253</v>
      </c>
      <c r="B244" s="6">
        <v>866089</v>
      </c>
      <c r="C244" s="6">
        <v>11037</v>
      </c>
      <c r="D244" s="6">
        <v>2200</v>
      </c>
      <c r="E244" s="6">
        <v>932</v>
      </c>
      <c r="F244" s="6">
        <v>817133</v>
      </c>
      <c r="G244" s="6">
        <v>790439</v>
      </c>
      <c r="H244" s="6">
        <v>790439</v>
      </c>
      <c r="I244" s="6">
        <v>277019</v>
      </c>
      <c r="J244" s="6">
        <v>474672</v>
      </c>
      <c r="K244" s="6">
        <v>34459</v>
      </c>
      <c r="L244" s="6">
        <v>4289</v>
      </c>
      <c r="M244" s="6">
        <v>66144</v>
      </c>
      <c r="N244" s="6">
        <v>168821</v>
      </c>
      <c r="O244" s="6">
        <v>165288</v>
      </c>
      <c r="P244" s="6">
        <v>233355</v>
      </c>
      <c r="Q244" s="6">
        <v>74541</v>
      </c>
      <c r="R244" s="6">
        <v>82289</v>
      </c>
      <c r="S244" s="6">
        <v>0</v>
      </c>
      <c r="T244" s="6">
        <v>0</v>
      </c>
      <c r="U244" s="6">
        <v>8530</v>
      </c>
      <c r="V244" s="6">
        <v>-3769</v>
      </c>
      <c r="W244" s="6">
        <v>21000</v>
      </c>
      <c r="X244" s="6">
        <v>933</v>
      </c>
      <c r="Y244" s="6"/>
      <c r="Z244" s="6"/>
      <c r="AA244" s="6"/>
      <c r="AB244" s="6">
        <v>3514</v>
      </c>
      <c r="AC244" s="6">
        <v>2036</v>
      </c>
      <c r="AD244" s="6">
        <v>0</v>
      </c>
      <c r="AE244" s="6">
        <v>20639</v>
      </c>
      <c r="AF244" s="6">
        <v>8598</v>
      </c>
    </row>
    <row r="245" spans="1:32" x14ac:dyDescent="0.35">
      <c r="A245" s="1">
        <v>39260</v>
      </c>
      <c r="B245" s="6">
        <v>865105</v>
      </c>
      <c r="C245" s="6">
        <v>11037</v>
      </c>
      <c r="D245" s="6">
        <v>2200</v>
      </c>
      <c r="E245" s="6">
        <v>938</v>
      </c>
      <c r="F245" s="6">
        <v>815426</v>
      </c>
      <c r="G245" s="6">
        <v>790497</v>
      </c>
      <c r="H245" s="6">
        <v>790497</v>
      </c>
      <c r="I245" s="6">
        <v>277019</v>
      </c>
      <c r="J245" s="6">
        <v>474672</v>
      </c>
      <c r="K245" s="6">
        <v>34459</v>
      </c>
      <c r="L245" s="6">
        <v>4347</v>
      </c>
      <c r="M245" s="6">
        <v>64425</v>
      </c>
      <c r="N245" s="6">
        <v>170256</v>
      </c>
      <c r="O245" s="6">
        <v>165576</v>
      </c>
      <c r="P245" s="6">
        <v>233373</v>
      </c>
      <c r="Q245" s="6">
        <v>74556</v>
      </c>
      <c r="R245" s="6">
        <v>82312</v>
      </c>
      <c r="S245" s="6">
        <v>0</v>
      </c>
      <c r="T245" s="6">
        <v>0</v>
      </c>
      <c r="U245" s="6">
        <v>8511</v>
      </c>
      <c r="V245" s="6">
        <v>-3770</v>
      </c>
      <c r="W245" s="6">
        <v>20000</v>
      </c>
      <c r="X245" s="6">
        <v>187</v>
      </c>
      <c r="Y245" s="6"/>
      <c r="Z245" s="6"/>
      <c r="AA245" s="6"/>
      <c r="AB245" s="6">
        <v>3686</v>
      </c>
      <c r="AC245" s="6">
        <v>2039</v>
      </c>
      <c r="AD245" s="6">
        <v>0</v>
      </c>
      <c r="AE245" s="6">
        <v>20724</v>
      </c>
      <c r="AF245" s="6">
        <v>9055</v>
      </c>
    </row>
    <row r="246" spans="1:32" x14ac:dyDescent="0.35">
      <c r="A246" s="1">
        <v>39267</v>
      </c>
      <c r="B246" s="6">
        <v>876611</v>
      </c>
      <c r="C246" s="6">
        <v>11037</v>
      </c>
      <c r="D246" s="6">
        <v>2200</v>
      </c>
      <c r="E246" s="6">
        <v>924</v>
      </c>
      <c r="F246" s="6">
        <v>825694</v>
      </c>
      <c r="G246" s="6">
        <v>790553</v>
      </c>
      <c r="H246" s="6">
        <v>790553</v>
      </c>
      <c r="I246" s="6">
        <v>277019</v>
      </c>
      <c r="J246" s="6">
        <v>474672</v>
      </c>
      <c r="K246" s="6">
        <v>34459</v>
      </c>
      <c r="L246" s="6">
        <v>4403</v>
      </c>
      <c r="M246" s="6">
        <v>37561</v>
      </c>
      <c r="N246" s="6">
        <v>196414</v>
      </c>
      <c r="O246" s="6">
        <v>164722</v>
      </c>
      <c r="P246" s="6">
        <v>234953</v>
      </c>
      <c r="Q246" s="6">
        <v>74570</v>
      </c>
      <c r="R246" s="6">
        <v>82333</v>
      </c>
      <c r="S246" s="6">
        <v>0</v>
      </c>
      <c r="T246" s="6">
        <v>0</v>
      </c>
      <c r="U246" s="6">
        <v>8493</v>
      </c>
      <c r="V246" s="6">
        <v>-3788</v>
      </c>
      <c r="W246" s="6">
        <v>30250</v>
      </c>
      <c r="X246" s="6">
        <v>186</v>
      </c>
      <c r="Y246" s="6"/>
      <c r="Z246" s="6"/>
      <c r="AA246" s="6"/>
      <c r="AB246" s="6">
        <v>4916</v>
      </c>
      <c r="AC246" s="6">
        <v>2045</v>
      </c>
      <c r="AD246" s="6">
        <v>0</v>
      </c>
      <c r="AE246" s="6">
        <v>20918</v>
      </c>
      <c r="AF246" s="6">
        <v>8877</v>
      </c>
    </row>
    <row r="247" spans="1:32" x14ac:dyDescent="0.35">
      <c r="A247" s="1">
        <v>39274</v>
      </c>
      <c r="B247" s="6">
        <v>869407</v>
      </c>
      <c r="C247" s="6">
        <v>11037</v>
      </c>
      <c r="D247" s="6">
        <v>2200</v>
      </c>
      <c r="E247" s="6">
        <v>927</v>
      </c>
      <c r="F247" s="6">
        <v>815997</v>
      </c>
      <c r="G247" s="6">
        <v>790606</v>
      </c>
      <c r="H247" s="6">
        <v>790606</v>
      </c>
      <c r="I247" s="6">
        <v>277019</v>
      </c>
      <c r="J247" s="6">
        <v>474672</v>
      </c>
      <c r="K247" s="6">
        <v>34459</v>
      </c>
      <c r="L247" s="6">
        <v>4457</v>
      </c>
      <c r="M247" s="6">
        <v>53555</v>
      </c>
      <c r="N247" s="6">
        <v>179721</v>
      </c>
      <c r="O247" s="6">
        <v>165426</v>
      </c>
      <c r="P247" s="6">
        <v>234969</v>
      </c>
      <c r="Q247" s="6">
        <v>74583</v>
      </c>
      <c r="R247" s="6">
        <v>82354</v>
      </c>
      <c r="S247" s="6">
        <v>0</v>
      </c>
      <c r="T247" s="6">
        <v>0</v>
      </c>
      <c r="U247" s="6">
        <v>8475</v>
      </c>
      <c r="V247" s="6">
        <v>-3791</v>
      </c>
      <c r="W247" s="6">
        <v>20500</v>
      </c>
      <c r="X247" s="6">
        <v>208</v>
      </c>
      <c r="Y247" s="6"/>
      <c r="Z247" s="6"/>
      <c r="AA247" s="6"/>
      <c r="AB247" s="6">
        <v>6703</v>
      </c>
      <c r="AC247" s="6">
        <v>2046</v>
      </c>
      <c r="AD247" s="6">
        <v>0</v>
      </c>
      <c r="AE247" s="6">
        <v>21083</v>
      </c>
      <c r="AF247" s="6">
        <v>9413</v>
      </c>
    </row>
    <row r="248" spans="1:32" x14ac:dyDescent="0.35">
      <c r="A248" s="1">
        <v>39281</v>
      </c>
      <c r="B248" s="6">
        <v>872916</v>
      </c>
      <c r="C248" s="6">
        <v>11037</v>
      </c>
      <c r="D248" s="6">
        <v>2200</v>
      </c>
      <c r="E248" s="6">
        <v>981</v>
      </c>
      <c r="F248" s="6">
        <v>822825</v>
      </c>
      <c r="G248" s="6">
        <v>790660</v>
      </c>
      <c r="H248" s="6">
        <v>790660</v>
      </c>
      <c r="I248" s="6">
        <v>277019</v>
      </c>
      <c r="J248" s="6">
        <v>474672</v>
      </c>
      <c r="K248" s="6">
        <v>34459</v>
      </c>
      <c r="L248" s="6">
        <v>4510</v>
      </c>
      <c r="M248" s="6">
        <v>60013</v>
      </c>
      <c r="N248" s="6">
        <v>172313</v>
      </c>
      <c r="O248" s="6">
        <v>168890</v>
      </c>
      <c r="P248" s="6">
        <v>237738</v>
      </c>
      <c r="Q248" s="6">
        <v>69332</v>
      </c>
      <c r="R248" s="6">
        <v>82374</v>
      </c>
      <c r="S248" s="6">
        <v>0</v>
      </c>
      <c r="T248" s="6">
        <v>0</v>
      </c>
      <c r="U248" s="6">
        <v>8455</v>
      </c>
      <c r="V248" s="6">
        <v>-3791</v>
      </c>
      <c r="W248" s="6">
        <v>27250</v>
      </c>
      <c r="X248" s="6">
        <v>252</v>
      </c>
      <c r="Y248" s="6"/>
      <c r="Z248" s="6"/>
      <c r="AA248" s="6"/>
      <c r="AB248" s="6">
        <v>3229</v>
      </c>
      <c r="AC248" s="6">
        <v>2046</v>
      </c>
      <c r="AD248" s="6">
        <v>0</v>
      </c>
      <c r="AE248" s="6">
        <v>21163</v>
      </c>
      <c r="AF248" s="6">
        <v>9433</v>
      </c>
    </row>
    <row r="249" spans="1:32" x14ac:dyDescent="0.35">
      <c r="A249" s="1">
        <v>39288</v>
      </c>
      <c r="B249" s="6">
        <v>863890</v>
      </c>
      <c r="C249" s="6">
        <v>11037</v>
      </c>
      <c r="D249" s="6">
        <v>2200</v>
      </c>
      <c r="E249" s="6">
        <v>1047</v>
      </c>
      <c r="F249" s="6">
        <v>814347</v>
      </c>
      <c r="G249" s="6">
        <v>790714</v>
      </c>
      <c r="H249" s="6">
        <v>790714</v>
      </c>
      <c r="I249" s="6">
        <v>277019</v>
      </c>
      <c r="J249" s="6">
        <v>474672</v>
      </c>
      <c r="K249" s="6">
        <v>34459</v>
      </c>
      <c r="L249" s="6">
        <v>4564</v>
      </c>
      <c r="M249" s="6">
        <v>59560</v>
      </c>
      <c r="N249" s="6">
        <v>171335</v>
      </c>
      <c r="O249" s="6">
        <v>170324</v>
      </c>
      <c r="P249" s="6">
        <v>237758</v>
      </c>
      <c r="Q249" s="6">
        <v>69342</v>
      </c>
      <c r="R249" s="6">
        <v>82395</v>
      </c>
      <c r="S249" s="6">
        <v>0</v>
      </c>
      <c r="T249" s="6">
        <v>0</v>
      </c>
      <c r="U249" s="6">
        <v>8428</v>
      </c>
      <c r="V249" s="6">
        <v>-3791</v>
      </c>
      <c r="W249" s="6">
        <v>18750</v>
      </c>
      <c r="X249" s="6">
        <v>246</v>
      </c>
      <c r="Y249" s="6"/>
      <c r="Z249" s="6"/>
      <c r="AA249" s="6"/>
      <c r="AB249" s="6">
        <v>2095</v>
      </c>
      <c r="AC249" s="6">
        <v>2055</v>
      </c>
      <c r="AD249" s="6">
        <v>0</v>
      </c>
      <c r="AE249" s="6">
        <v>21177</v>
      </c>
      <c r="AF249" s="6">
        <v>9931</v>
      </c>
    </row>
    <row r="250" spans="1:32" x14ac:dyDescent="0.35">
      <c r="A250" s="1">
        <v>39295</v>
      </c>
      <c r="B250" s="6">
        <v>870261</v>
      </c>
      <c r="C250" s="6">
        <v>11037</v>
      </c>
      <c r="D250" s="6">
        <v>2200</v>
      </c>
      <c r="E250" s="6">
        <v>1096</v>
      </c>
      <c r="F250" s="6">
        <v>820337</v>
      </c>
      <c r="G250" s="6">
        <v>790802</v>
      </c>
      <c r="H250" s="6">
        <v>790802</v>
      </c>
      <c r="I250" s="6">
        <v>277019</v>
      </c>
      <c r="J250" s="6">
        <v>473378</v>
      </c>
      <c r="K250" s="6">
        <v>35753</v>
      </c>
      <c r="L250" s="6">
        <v>4653</v>
      </c>
      <c r="M250" s="6">
        <v>64310</v>
      </c>
      <c r="N250" s="6">
        <v>157010</v>
      </c>
      <c r="O250" s="6">
        <v>178313</v>
      </c>
      <c r="P250" s="6">
        <v>238073</v>
      </c>
      <c r="Q250" s="6">
        <v>69350</v>
      </c>
      <c r="R250" s="6">
        <v>83748</v>
      </c>
      <c r="S250" s="6">
        <v>0</v>
      </c>
      <c r="T250" s="6">
        <v>0</v>
      </c>
      <c r="U250" s="6">
        <v>8401</v>
      </c>
      <c r="V250" s="6">
        <v>-3851</v>
      </c>
      <c r="W250" s="6">
        <v>24750</v>
      </c>
      <c r="X250" s="6">
        <v>235</v>
      </c>
      <c r="Y250" s="6"/>
      <c r="Z250" s="6"/>
      <c r="AA250" s="6"/>
      <c r="AB250" s="6">
        <v>2426</v>
      </c>
      <c r="AC250" s="6">
        <v>2053</v>
      </c>
      <c r="AD250" s="6">
        <v>0</v>
      </c>
      <c r="AE250" s="6">
        <v>21267</v>
      </c>
      <c r="AF250" s="6">
        <v>9845</v>
      </c>
    </row>
    <row r="251" spans="1:32" x14ac:dyDescent="0.35">
      <c r="A251" s="1">
        <v>39302</v>
      </c>
      <c r="B251" s="6">
        <v>865453</v>
      </c>
      <c r="C251" s="6">
        <v>11037</v>
      </c>
      <c r="D251" s="6">
        <v>2200</v>
      </c>
      <c r="E251" s="6">
        <v>1062</v>
      </c>
      <c r="F251" s="6">
        <v>814343</v>
      </c>
      <c r="G251" s="6">
        <v>790820</v>
      </c>
      <c r="H251" s="6">
        <v>790820</v>
      </c>
      <c r="I251" s="6">
        <v>277019</v>
      </c>
      <c r="J251" s="6">
        <v>473378</v>
      </c>
      <c r="K251" s="6">
        <v>35753</v>
      </c>
      <c r="L251" s="6">
        <v>4670</v>
      </c>
      <c r="M251" s="6">
        <v>64771</v>
      </c>
      <c r="N251" s="6">
        <v>162434</v>
      </c>
      <c r="O251" s="6">
        <v>172427</v>
      </c>
      <c r="P251" s="6">
        <v>238079</v>
      </c>
      <c r="Q251" s="6">
        <v>69353</v>
      </c>
      <c r="R251" s="6">
        <v>83755</v>
      </c>
      <c r="S251" s="6">
        <v>0</v>
      </c>
      <c r="T251" s="6">
        <v>0</v>
      </c>
      <c r="U251" s="6">
        <v>8374</v>
      </c>
      <c r="V251" s="6">
        <v>-3856</v>
      </c>
      <c r="W251" s="6">
        <v>18750</v>
      </c>
      <c r="X251" s="6">
        <v>255</v>
      </c>
      <c r="Y251" s="6"/>
      <c r="Z251" s="6"/>
      <c r="AA251" s="6"/>
      <c r="AB251" s="6">
        <v>3127</v>
      </c>
      <c r="AC251" s="6">
        <v>2063</v>
      </c>
      <c r="AD251" s="6">
        <v>0</v>
      </c>
      <c r="AE251" s="6">
        <v>21330</v>
      </c>
      <c r="AF251" s="6">
        <v>10291</v>
      </c>
    </row>
    <row r="252" spans="1:32" x14ac:dyDescent="0.35">
      <c r="A252" s="1">
        <v>39309</v>
      </c>
      <c r="B252" s="6">
        <v>864931</v>
      </c>
      <c r="C252" s="6">
        <v>11037</v>
      </c>
      <c r="D252" s="6">
        <v>2200</v>
      </c>
      <c r="E252" s="6">
        <v>1038</v>
      </c>
      <c r="F252" s="6">
        <v>818238</v>
      </c>
      <c r="G252" s="6">
        <v>789601</v>
      </c>
      <c r="H252" s="6">
        <v>789601</v>
      </c>
      <c r="I252" s="6">
        <v>277019</v>
      </c>
      <c r="J252" s="6">
        <v>472142</v>
      </c>
      <c r="K252" s="6">
        <v>35753</v>
      </c>
      <c r="L252" s="6">
        <v>4688</v>
      </c>
      <c r="M252" s="6">
        <v>51278</v>
      </c>
      <c r="N252" s="6">
        <v>160924</v>
      </c>
      <c r="O252" s="6">
        <v>174350</v>
      </c>
      <c r="P252" s="6">
        <v>241382</v>
      </c>
      <c r="Q252" s="6">
        <v>66060</v>
      </c>
      <c r="R252" s="6">
        <v>95608</v>
      </c>
      <c r="S252" s="6">
        <v>0</v>
      </c>
      <c r="T252" s="6">
        <v>0</v>
      </c>
      <c r="U252" s="6">
        <v>8347</v>
      </c>
      <c r="V252" s="6">
        <v>-3974</v>
      </c>
      <c r="W252" s="6">
        <v>24000</v>
      </c>
      <c r="X252" s="6">
        <v>264</v>
      </c>
      <c r="Y252" s="6"/>
      <c r="Z252" s="6"/>
      <c r="AA252" s="6"/>
      <c r="AB252" s="6">
        <v>2508</v>
      </c>
      <c r="AC252" s="6">
        <v>2067</v>
      </c>
      <c r="AD252" s="6">
        <v>0</v>
      </c>
      <c r="AE252" s="6">
        <v>21195</v>
      </c>
      <c r="AF252" s="6">
        <v>6648</v>
      </c>
    </row>
    <row r="253" spans="1:32" x14ac:dyDescent="0.35">
      <c r="A253" s="1">
        <v>39316</v>
      </c>
      <c r="B253" s="6">
        <v>862775</v>
      </c>
      <c r="C253" s="6">
        <v>11037</v>
      </c>
      <c r="D253" s="6">
        <v>2200</v>
      </c>
      <c r="E253" s="6">
        <v>1017</v>
      </c>
      <c r="F253" s="6">
        <v>815224</v>
      </c>
      <c r="G253" s="6">
        <v>789619</v>
      </c>
      <c r="H253" s="6">
        <v>789619</v>
      </c>
      <c r="I253" s="6">
        <v>277019</v>
      </c>
      <c r="J253" s="6">
        <v>472142</v>
      </c>
      <c r="K253" s="6">
        <v>35753</v>
      </c>
      <c r="L253" s="6">
        <v>4706</v>
      </c>
      <c r="M253" s="6">
        <v>58660</v>
      </c>
      <c r="N253" s="6">
        <v>161606</v>
      </c>
      <c r="O253" s="6">
        <v>173254</v>
      </c>
      <c r="P253" s="6">
        <v>234421</v>
      </c>
      <c r="Q253" s="6">
        <v>75486</v>
      </c>
      <c r="R253" s="6">
        <v>86192</v>
      </c>
      <c r="S253" s="6">
        <v>0</v>
      </c>
      <c r="T253" s="6">
        <v>0</v>
      </c>
      <c r="U253" s="6">
        <v>8321</v>
      </c>
      <c r="V253" s="6">
        <v>-3977</v>
      </c>
      <c r="W253" s="6">
        <v>19000</v>
      </c>
      <c r="X253" s="6">
        <v>2262</v>
      </c>
      <c r="Y253" s="6"/>
      <c r="Z253" s="6"/>
      <c r="AA253" s="6"/>
      <c r="AB253" s="6">
        <v>2655</v>
      </c>
      <c r="AC253" s="6">
        <v>2068</v>
      </c>
      <c r="AD253" s="6">
        <v>0</v>
      </c>
      <c r="AE253" s="6">
        <v>21418</v>
      </c>
      <c r="AF253" s="6">
        <v>7156</v>
      </c>
    </row>
    <row r="254" spans="1:32" x14ac:dyDescent="0.35">
      <c r="A254" s="1">
        <v>39323</v>
      </c>
      <c r="B254" s="6">
        <v>872873</v>
      </c>
      <c r="C254" s="6">
        <v>11037</v>
      </c>
      <c r="D254" s="6">
        <v>2200</v>
      </c>
      <c r="E254" s="6">
        <v>1014</v>
      </c>
      <c r="F254" s="6">
        <v>824140</v>
      </c>
      <c r="G254" s="6">
        <v>784637</v>
      </c>
      <c r="H254" s="6">
        <v>784637</v>
      </c>
      <c r="I254" s="6">
        <v>272019</v>
      </c>
      <c r="J254" s="6">
        <v>472142</v>
      </c>
      <c r="K254" s="6">
        <v>35753</v>
      </c>
      <c r="L254" s="6">
        <v>4723</v>
      </c>
      <c r="M254" s="6">
        <v>57974</v>
      </c>
      <c r="N254" s="6">
        <v>156116</v>
      </c>
      <c r="O254" s="6">
        <v>174430</v>
      </c>
      <c r="P254" s="6">
        <v>234428</v>
      </c>
      <c r="Q254" s="6">
        <v>75489</v>
      </c>
      <c r="R254" s="6">
        <v>86200</v>
      </c>
      <c r="S254" s="6">
        <v>0</v>
      </c>
      <c r="T254" s="6">
        <v>0</v>
      </c>
      <c r="U254" s="6">
        <v>8295</v>
      </c>
      <c r="V254" s="6">
        <v>-3898</v>
      </c>
      <c r="W254" s="6">
        <v>33750</v>
      </c>
      <c r="X254" s="6">
        <v>1357</v>
      </c>
      <c r="Y254" s="6"/>
      <c r="Z254" s="6"/>
      <c r="AA254" s="6"/>
      <c r="AB254" s="6">
        <v>3255</v>
      </c>
      <c r="AC254" s="6">
        <v>2071</v>
      </c>
      <c r="AD254" s="6">
        <v>0</v>
      </c>
      <c r="AE254" s="6">
        <v>21524</v>
      </c>
      <c r="AF254" s="6">
        <v>7631</v>
      </c>
    </row>
    <row r="255" spans="1:32" x14ac:dyDescent="0.35">
      <c r="A255" s="1">
        <v>39330</v>
      </c>
      <c r="B255" s="6">
        <v>871156</v>
      </c>
      <c r="C255" s="6">
        <v>11037</v>
      </c>
      <c r="D255" s="6">
        <v>2200</v>
      </c>
      <c r="E255" s="6">
        <v>1017</v>
      </c>
      <c r="F255" s="6">
        <v>820352</v>
      </c>
      <c r="G255" s="6">
        <v>779640</v>
      </c>
      <c r="H255" s="6">
        <v>779640</v>
      </c>
      <c r="I255" s="6">
        <v>267019</v>
      </c>
      <c r="J255" s="6">
        <v>472142</v>
      </c>
      <c r="K255" s="6">
        <v>35753</v>
      </c>
      <c r="L255" s="6">
        <v>4727</v>
      </c>
      <c r="M255" s="6">
        <v>48105</v>
      </c>
      <c r="N255" s="6">
        <v>160127</v>
      </c>
      <c r="O255" s="6">
        <v>172421</v>
      </c>
      <c r="P255" s="6">
        <v>237297</v>
      </c>
      <c r="Q255" s="6">
        <v>75489</v>
      </c>
      <c r="R255" s="6">
        <v>86201</v>
      </c>
      <c r="S255" s="6">
        <v>0</v>
      </c>
      <c r="T255" s="6">
        <v>0</v>
      </c>
      <c r="U255" s="6">
        <v>8269</v>
      </c>
      <c r="V255" s="6">
        <v>-3895</v>
      </c>
      <c r="W255" s="6">
        <v>35000</v>
      </c>
      <c r="X255" s="6">
        <v>1338</v>
      </c>
      <c r="Y255" s="6"/>
      <c r="Z255" s="6"/>
      <c r="AA255" s="6"/>
      <c r="AB255" s="6">
        <v>5496</v>
      </c>
      <c r="AC255" s="6">
        <v>2079</v>
      </c>
      <c r="AD255" s="6">
        <v>0</v>
      </c>
      <c r="AE255" s="6">
        <v>21556</v>
      </c>
      <c r="AF255" s="6">
        <v>7420</v>
      </c>
    </row>
    <row r="256" spans="1:32" x14ac:dyDescent="0.35">
      <c r="A256" s="1">
        <v>39337</v>
      </c>
      <c r="B256" s="6">
        <v>886314</v>
      </c>
      <c r="C256" s="6">
        <v>11037</v>
      </c>
      <c r="D256" s="6">
        <v>2200</v>
      </c>
      <c r="E256" s="6">
        <v>1049</v>
      </c>
      <c r="F256" s="6">
        <v>836373</v>
      </c>
      <c r="G256" s="6">
        <v>779638</v>
      </c>
      <c r="H256" s="6">
        <v>779638</v>
      </c>
      <c r="I256" s="6">
        <v>267019</v>
      </c>
      <c r="J256" s="6">
        <v>472142</v>
      </c>
      <c r="K256" s="6">
        <v>35753</v>
      </c>
      <c r="L256" s="6">
        <v>4724</v>
      </c>
      <c r="M256" s="6">
        <v>45070</v>
      </c>
      <c r="N256" s="6">
        <v>162887</v>
      </c>
      <c r="O256" s="6">
        <v>172696</v>
      </c>
      <c r="P256" s="6">
        <v>237296</v>
      </c>
      <c r="Q256" s="6">
        <v>75489</v>
      </c>
      <c r="R256" s="6">
        <v>86200</v>
      </c>
      <c r="S256" s="6">
        <v>0</v>
      </c>
      <c r="T256" s="6">
        <v>0</v>
      </c>
      <c r="U256" s="6">
        <v>8243</v>
      </c>
      <c r="V256" s="6">
        <v>-3892</v>
      </c>
      <c r="W256" s="6">
        <v>45000</v>
      </c>
      <c r="X256" s="6">
        <v>7386</v>
      </c>
      <c r="Y256" s="6"/>
      <c r="Z256" s="6"/>
      <c r="AA256" s="6"/>
      <c r="AB256" s="6">
        <v>3744</v>
      </c>
      <c r="AC256" s="6">
        <v>2082</v>
      </c>
      <c r="AD256" s="6">
        <v>0</v>
      </c>
      <c r="AE256" s="6">
        <v>21861</v>
      </c>
      <c r="AF256" s="6">
        <v>7967</v>
      </c>
    </row>
    <row r="257" spans="1:32" x14ac:dyDescent="0.35">
      <c r="A257" s="1">
        <v>39344</v>
      </c>
      <c r="B257" s="6">
        <v>867732</v>
      </c>
      <c r="C257" s="6">
        <v>11037</v>
      </c>
      <c r="D257" s="6">
        <v>2200</v>
      </c>
      <c r="E257" s="6">
        <v>1090</v>
      </c>
      <c r="F257" s="6">
        <v>818107</v>
      </c>
      <c r="G257" s="6">
        <v>779635</v>
      </c>
      <c r="H257" s="6">
        <v>779635</v>
      </c>
      <c r="I257" s="6">
        <v>267019</v>
      </c>
      <c r="J257" s="6">
        <v>472142</v>
      </c>
      <c r="K257" s="6">
        <v>35753</v>
      </c>
      <c r="L257" s="6">
        <v>4722</v>
      </c>
      <c r="M257" s="6">
        <v>50839</v>
      </c>
      <c r="N257" s="6">
        <v>157527</v>
      </c>
      <c r="O257" s="6">
        <v>173753</v>
      </c>
      <c r="P257" s="6">
        <v>235828</v>
      </c>
      <c r="Q257" s="6">
        <v>75489</v>
      </c>
      <c r="R257" s="6">
        <v>86199</v>
      </c>
      <c r="S257" s="6">
        <v>0</v>
      </c>
      <c r="T257" s="6">
        <v>0</v>
      </c>
      <c r="U257" s="6">
        <v>8217</v>
      </c>
      <c r="V257" s="6">
        <v>-3854</v>
      </c>
      <c r="W257" s="6">
        <v>32750</v>
      </c>
      <c r="X257" s="6">
        <v>1359</v>
      </c>
      <c r="Y257" s="6"/>
      <c r="Z257" s="6"/>
      <c r="AA257" s="6"/>
      <c r="AB257" s="6">
        <v>3282</v>
      </c>
      <c r="AC257" s="6">
        <v>2086</v>
      </c>
      <c r="AD257" s="6">
        <v>0</v>
      </c>
      <c r="AE257" s="6">
        <v>21776</v>
      </c>
      <c r="AF257" s="6">
        <v>8154</v>
      </c>
    </row>
    <row r="258" spans="1:32" x14ac:dyDescent="0.35">
      <c r="A258" s="1">
        <v>39351</v>
      </c>
      <c r="B258" s="6">
        <v>889900</v>
      </c>
      <c r="C258" s="6">
        <v>11037</v>
      </c>
      <c r="D258" s="6">
        <v>2200</v>
      </c>
      <c r="E258" s="6">
        <v>1105</v>
      </c>
      <c r="F258" s="6">
        <v>840239</v>
      </c>
      <c r="G258" s="6">
        <v>779633</v>
      </c>
      <c r="H258" s="6">
        <v>779633</v>
      </c>
      <c r="I258" s="6">
        <v>267019</v>
      </c>
      <c r="J258" s="6">
        <v>472142</v>
      </c>
      <c r="K258" s="6">
        <v>35753</v>
      </c>
      <c r="L258" s="6">
        <v>4719</v>
      </c>
      <c r="M258" s="6">
        <v>52162</v>
      </c>
      <c r="N258" s="6">
        <v>157593</v>
      </c>
      <c r="O258" s="6">
        <v>172365</v>
      </c>
      <c r="P258" s="6">
        <v>235828</v>
      </c>
      <c r="Q258" s="6">
        <v>75488</v>
      </c>
      <c r="R258" s="6">
        <v>86198</v>
      </c>
      <c r="S258" s="6">
        <v>0</v>
      </c>
      <c r="T258" s="6">
        <v>0</v>
      </c>
      <c r="U258" s="6">
        <v>8191</v>
      </c>
      <c r="V258" s="6">
        <v>-3791</v>
      </c>
      <c r="W258" s="6">
        <v>56000</v>
      </c>
      <c r="X258" s="6">
        <v>207</v>
      </c>
      <c r="Y258" s="6"/>
      <c r="Z258" s="6"/>
      <c r="AA258" s="6"/>
      <c r="AB258" s="6">
        <v>2607</v>
      </c>
      <c r="AC258" s="6">
        <v>2090</v>
      </c>
      <c r="AD258" s="6">
        <v>0</v>
      </c>
      <c r="AE258" s="6">
        <v>21998</v>
      </c>
      <c r="AF258" s="6">
        <v>8625</v>
      </c>
    </row>
    <row r="259" spans="1:32" x14ac:dyDescent="0.35">
      <c r="A259" s="1">
        <v>39358</v>
      </c>
      <c r="B259" s="6">
        <v>869051</v>
      </c>
      <c r="C259" s="6">
        <v>11037</v>
      </c>
      <c r="D259" s="6">
        <v>2200</v>
      </c>
      <c r="E259" s="6">
        <v>1120</v>
      </c>
      <c r="F259" s="6">
        <v>819503</v>
      </c>
      <c r="G259" s="6">
        <v>779624</v>
      </c>
      <c r="H259" s="6">
        <v>779624</v>
      </c>
      <c r="I259" s="6">
        <v>267019</v>
      </c>
      <c r="J259" s="6">
        <v>472142</v>
      </c>
      <c r="K259" s="6">
        <v>35753</v>
      </c>
      <c r="L259" s="6">
        <v>4711</v>
      </c>
      <c r="M259" s="6">
        <v>46514</v>
      </c>
      <c r="N259" s="6">
        <v>164935</v>
      </c>
      <c r="O259" s="6">
        <v>169183</v>
      </c>
      <c r="P259" s="6">
        <v>237311</v>
      </c>
      <c r="Q259" s="6">
        <v>75487</v>
      </c>
      <c r="R259" s="6">
        <v>86195</v>
      </c>
      <c r="S259" s="6">
        <v>0</v>
      </c>
      <c r="T259" s="6">
        <v>0</v>
      </c>
      <c r="U259" s="6">
        <v>8165</v>
      </c>
      <c r="V259" s="6">
        <v>-3715</v>
      </c>
      <c r="W259" s="6">
        <v>35250</v>
      </c>
      <c r="X259" s="6">
        <v>179</v>
      </c>
      <c r="Y259" s="6"/>
      <c r="Z259" s="6"/>
      <c r="AA259" s="6"/>
      <c r="AB259" s="6">
        <v>2678</v>
      </c>
      <c r="AC259" s="6">
        <v>2103</v>
      </c>
      <c r="AD259" s="6">
        <v>0</v>
      </c>
      <c r="AE259" s="6">
        <v>21942</v>
      </c>
      <c r="AF259" s="6">
        <v>8469</v>
      </c>
    </row>
    <row r="260" spans="1:32" x14ac:dyDescent="0.35">
      <c r="A260" s="1">
        <v>39365</v>
      </c>
      <c r="B260" s="6">
        <v>886363</v>
      </c>
      <c r="C260" s="6">
        <v>11037</v>
      </c>
      <c r="D260" s="6">
        <v>2200</v>
      </c>
      <c r="E260" s="6">
        <v>1143</v>
      </c>
      <c r="F260" s="6">
        <v>834261</v>
      </c>
      <c r="G260" s="6">
        <v>779608</v>
      </c>
      <c r="H260" s="6">
        <v>779608</v>
      </c>
      <c r="I260" s="6">
        <v>267019</v>
      </c>
      <c r="J260" s="6">
        <v>472142</v>
      </c>
      <c r="K260" s="6">
        <v>35753</v>
      </c>
      <c r="L260" s="6">
        <v>4694</v>
      </c>
      <c r="M260" s="6">
        <v>46555</v>
      </c>
      <c r="N260" s="6">
        <v>165644</v>
      </c>
      <c r="O260" s="6">
        <v>168432</v>
      </c>
      <c r="P260" s="6">
        <v>237305</v>
      </c>
      <c r="Q260" s="6">
        <v>75484</v>
      </c>
      <c r="R260" s="6">
        <v>86188</v>
      </c>
      <c r="S260" s="6">
        <v>0</v>
      </c>
      <c r="T260" s="6">
        <v>0</v>
      </c>
      <c r="U260" s="6">
        <v>8138</v>
      </c>
      <c r="V260" s="6">
        <v>-3658</v>
      </c>
      <c r="W260" s="6">
        <v>50000</v>
      </c>
      <c r="X260" s="6">
        <v>173</v>
      </c>
      <c r="Y260" s="6"/>
      <c r="Z260" s="6"/>
      <c r="AA260" s="6"/>
      <c r="AB260" s="6">
        <v>4671</v>
      </c>
      <c r="AC260" s="6">
        <v>2103</v>
      </c>
      <c r="AD260" s="6">
        <v>0</v>
      </c>
      <c r="AE260" s="6">
        <v>21945</v>
      </c>
      <c r="AF260" s="6">
        <v>9003</v>
      </c>
    </row>
    <row r="261" spans="1:32" x14ac:dyDescent="0.35">
      <c r="A261" s="1">
        <v>39372</v>
      </c>
      <c r="B261" s="6">
        <v>869509</v>
      </c>
      <c r="C261" s="6">
        <v>11037</v>
      </c>
      <c r="D261" s="6">
        <v>2200</v>
      </c>
      <c r="E261" s="6">
        <v>1179</v>
      </c>
      <c r="F261" s="6">
        <v>820446</v>
      </c>
      <c r="G261" s="6">
        <v>779591</v>
      </c>
      <c r="H261" s="6">
        <v>779591</v>
      </c>
      <c r="I261" s="6">
        <v>267019</v>
      </c>
      <c r="J261" s="6">
        <v>472142</v>
      </c>
      <c r="K261" s="6">
        <v>35753</v>
      </c>
      <c r="L261" s="6">
        <v>4677</v>
      </c>
      <c r="M261" s="6">
        <v>55399</v>
      </c>
      <c r="N261" s="6">
        <v>159545</v>
      </c>
      <c r="O261" s="6">
        <v>166660</v>
      </c>
      <c r="P261" s="6">
        <v>236325</v>
      </c>
      <c r="Q261" s="6">
        <v>75481</v>
      </c>
      <c r="R261" s="6">
        <v>86181</v>
      </c>
      <c r="S261" s="6">
        <v>0</v>
      </c>
      <c r="T261" s="6">
        <v>0</v>
      </c>
      <c r="U261" s="6">
        <v>8112</v>
      </c>
      <c r="V261" s="6">
        <v>-3615</v>
      </c>
      <c r="W261" s="6">
        <v>36250</v>
      </c>
      <c r="X261" s="6">
        <v>108</v>
      </c>
      <c r="Y261" s="6"/>
      <c r="Z261" s="6"/>
      <c r="AA261" s="6"/>
      <c r="AB261" s="6">
        <v>1377</v>
      </c>
      <c r="AC261" s="6">
        <v>2105</v>
      </c>
      <c r="AD261" s="6">
        <v>0</v>
      </c>
      <c r="AE261" s="6">
        <v>22044</v>
      </c>
      <c r="AF261" s="6">
        <v>9121</v>
      </c>
    </row>
    <row r="262" spans="1:32" x14ac:dyDescent="0.35">
      <c r="A262" s="1">
        <v>39379</v>
      </c>
      <c r="B262" s="6">
        <v>881395</v>
      </c>
      <c r="C262" s="6">
        <v>11037</v>
      </c>
      <c r="D262" s="6">
        <v>2200</v>
      </c>
      <c r="E262" s="6">
        <v>1216</v>
      </c>
      <c r="F262" s="6">
        <v>830584</v>
      </c>
      <c r="G262" s="6">
        <v>779574</v>
      </c>
      <c r="H262" s="6">
        <v>779574</v>
      </c>
      <c r="I262" s="6">
        <v>267019</v>
      </c>
      <c r="J262" s="6">
        <v>472142</v>
      </c>
      <c r="K262" s="6">
        <v>35753</v>
      </c>
      <c r="L262" s="6">
        <v>4661</v>
      </c>
      <c r="M262" s="6">
        <v>57578</v>
      </c>
      <c r="N262" s="6">
        <v>157995</v>
      </c>
      <c r="O262" s="6">
        <v>166029</v>
      </c>
      <c r="P262" s="6">
        <v>236319</v>
      </c>
      <c r="Q262" s="6">
        <v>75478</v>
      </c>
      <c r="R262" s="6">
        <v>86174</v>
      </c>
      <c r="S262" s="6">
        <v>0</v>
      </c>
      <c r="T262" s="6">
        <v>0</v>
      </c>
      <c r="U262" s="6">
        <v>8086</v>
      </c>
      <c r="V262" s="6">
        <v>-3579</v>
      </c>
      <c r="W262" s="6">
        <v>46000</v>
      </c>
      <c r="X262" s="6">
        <v>502</v>
      </c>
      <c r="Y262" s="6"/>
      <c r="Z262" s="6"/>
      <c r="AA262" s="6"/>
      <c r="AB262" s="6">
        <v>2354</v>
      </c>
      <c r="AC262" s="6">
        <v>2106</v>
      </c>
      <c r="AD262" s="6">
        <v>0</v>
      </c>
      <c r="AE262" s="6">
        <v>22276</v>
      </c>
      <c r="AF262" s="6">
        <v>9623</v>
      </c>
    </row>
    <row r="263" spans="1:32" x14ac:dyDescent="0.35">
      <c r="A263" s="1">
        <v>39386</v>
      </c>
      <c r="B263" s="6">
        <v>883385</v>
      </c>
      <c r="C263" s="6">
        <v>11037</v>
      </c>
      <c r="D263" s="6">
        <v>2200</v>
      </c>
      <c r="E263" s="6">
        <v>1251</v>
      </c>
      <c r="F263" s="6">
        <v>832694</v>
      </c>
      <c r="G263" s="6">
        <v>779586</v>
      </c>
      <c r="H263" s="6">
        <v>779586</v>
      </c>
      <c r="I263" s="6">
        <v>267019</v>
      </c>
      <c r="J263" s="6">
        <v>470984</v>
      </c>
      <c r="K263" s="6">
        <v>36911</v>
      </c>
      <c r="L263" s="6">
        <v>4672</v>
      </c>
      <c r="M263" s="6">
        <v>61096</v>
      </c>
      <c r="N263" s="6">
        <v>148087</v>
      </c>
      <c r="O263" s="6">
        <v>164893</v>
      </c>
      <c r="P263" s="6">
        <v>243868</v>
      </c>
      <c r="Q263" s="6">
        <v>75475</v>
      </c>
      <c r="R263" s="6">
        <v>86167</v>
      </c>
      <c r="S263" s="6">
        <v>0</v>
      </c>
      <c r="T263" s="6">
        <v>0</v>
      </c>
      <c r="U263" s="6">
        <v>8060</v>
      </c>
      <c r="V263" s="6">
        <v>-3544</v>
      </c>
      <c r="W263" s="6">
        <v>48500</v>
      </c>
      <c r="X263" s="6">
        <v>92</v>
      </c>
      <c r="Y263" s="6"/>
      <c r="Z263" s="6"/>
      <c r="AA263" s="6"/>
      <c r="AB263" s="6">
        <v>2210</v>
      </c>
      <c r="AC263" s="6">
        <v>2118</v>
      </c>
      <c r="AD263" s="6">
        <v>0</v>
      </c>
      <c r="AE263" s="6">
        <v>22417</v>
      </c>
      <c r="AF263" s="6">
        <v>9458</v>
      </c>
    </row>
    <row r="264" spans="1:32" x14ac:dyDescent="0.35">
      <c r="A264" s="1">
        <v>39393</v>
      </c>
      <c r="B264" s="6">
        <v>885724</v>
      </c>
      <c r="C264" s="6">
        <v>11037</v>
      </c>
      <c r="D264" s="6">
        <v>2200</v>
      </c>
      <c r="E264" s="6">
        <v>1230</v>
      </c>
      <c r="F264" s="6">
        <v>833486</v>
      </c>
      <c r="G264" s="6">
        <v>779613</v>
      </c>
      <c r="H264" s="6">
        <v>779613</v>
      </c>
      <c r="I264" s="6">
        <v>267019</v>
      </c>
      <c r="J264" s="6">
        <v>470984</v>
      </c>
      <c r="K264" s="6">
        <v>36911</v>
      </c>
      <c r="L264" s="6">
        <v>4699</v>
      </c>
      <c r="M264" s="6">
        <v>44044</v>
      </c>
      <c r="N264" s="6">
        <v>171579</v>
      </c>
      <c r="O264" s="6">
        <v>161289</v>
      </c>
      <c r="P264" s="6">
        <v>241043</v>
      </c>
      <c r="Q264" s="6">
        <v>75480</v>
      </c>
      <c r="R264" s="6">
        <v>86178</v>
      </c>
      <c r="S264" s="6">
        <v>0</v>
      </c>
      <c r="T264" s="6">
        <v>0</v>
      </c>
      <c r="U264" s="6">
        <v>8034</v>
      </c>
      <c r="V264" s="6">
        <v>-3505</v>
      </c>
      <c r="W264" s="6">
        <v>48000</v>
      </c>
      <c r="X264" s="6">
        <v>1344</v>
      </c>
      <c r="Y264" s="6"/>
      <c r="Z264" s="6"/>
      <c r="AA264" s="6"/>
      <c r="AB264" s="6">
        <v>2931</v>
      </c>
      <c r="AC264" s="6">
        <v>2110</v>
      </c>
      <c r="AD264" s="6">
        <v>0</v>
      </c>
      <c r="AE264" s="6">
        <v>22768</v>
      </c>
      <c r="AF264" s="6">
        <v>9963</v>
      </c>
    </row>
    <row r="265" spans="1:32" x14ac:dyDescent="0.35">
      <c r="A265" s="1">
        <v>39400</v>
      </c>
      <c r="B265" s="6">
        <v>889537</v>
      </c>
      <c r="C265" s="6">
        <v>11037</v>
      </c>
      <c r="D265" s="6">
        <v>2200</v>
      </c>
      <c r="E265" s="6">
        <v>1203</v>
      </c>
      <c r="F265" s="6">
        <v>833725</v>
      </c>
      <c r="G265" s="6">
        <v>779639</v>
      </c>
      <c r="H265" s="6">
        <v>779639</v>
      </c>
      <c r="I265" s="6">
        <v>267019</v>
      </c>
      <c r="J265" s="6">
        <v>470984</v>
      </c>
      <c r="K265" s="6">
        <v>36911</v>
      </c>
      <c r="L265" s="6">
        <v>4726</v>
      </c>
      <c r="M265" s="6">
        <v>58408</v>
      </c>
      <c r="N265" s="6">
        <v>157628</v>
      </c>
      <c r="O265" s="6">
        <v>160879</v>
      </c>
      <c r="P265" s="6">
        <v>241053</v>
      </c>
      <c r="Q265" s="6">
        <v>75484</v>
      </c>
      <c r="R265" s="6">
        <v>86188</v>
      </c>
      <c r="S265" s="6">
        <v>0</v>
      </c>
      <c r="T265" s="6">
        <v>0</v>
      </c>
      <c r="U265" s="6">
        <v>8008</v>
      </c>
      <c r="V265" s="6">
        <v>-3483</v>
      </c>
      <c r="W265" s="6">
        <v>49500</v>
      </c>
      <c r="X265" s="6">
        <v>60</v>
      </c>
      <c r="Y265" s="6"/>
      <c r="Z265" s="6"/>
      <c r="AA265" s="6"/>
      <c r="AB265" s="6">
        <v>5885</v>
      </c>
      <c r="AC265" s="6">
        <v>2111</v>
      </c>
      <c r="AD265" s="6">
        <v>0</v>
      </c>
      <c r="AE265" s="6">
        <v>22926</v>
      </c>
      <c r="AF265" s="6">
        <v>10451</v>
      </c>
    </row>
    <row r="266" spans="1:32" x14ac:dyDescent="0.35">
      <c r="A266" s="1">
        <v>39407</v>
      </c>
      <c r="B266" s="6">
        <v>891028</v>
      </c>
      <c r="C266" s="6">
        <v>11037</v>
      </c>
      <c r="D266" s="6">
        <v>2200</v>
      </c>
      <c r="E266" s="6">
        <v>1178</v>
      </c>
      <c r="F266" s="6">
        <v>839367</v>
      </c>
      <c r="G266" s="6">
        <v>779670</v>
      </c>
      <c r="H266" s="6">
        <v>779670</v>
      </c>
      <c r="I266" s="6">
        <v>267019</v>
      </c>
      <c r="J266" s="6">
        <v>470984</v>
      </c>
      <c r="K266" s="6">
        <v>36911</v>
      </c>
      <c r="L266" s="6">
        <v>4756</v>
      </c>
      <c r="M266" s="6">
        <v>56879</v>
      </c>
      <c r="N266" s="6">
        <v>160025</v>
      </c>
      <c r="O266" s="6">
        <v>160545</v>
      </c>
      <c r="P266" s="6">
        <v>231526</v>
      </c>
      <c r="Q266" s="6">
        <v>81927</v>
      </c>
      <c r="R266" s="6">
        <v>88767</v>
      </c>
      <c r="S266" s="6">
        <v>0</v>
      </c>
      <c r="T266" s="6">
        <v>0</v>
      </c>
      <c r="U266" s="6">
        <v>8082</v>
      </c>
      <c r="V266" s="6">
        <v>-3443</v>
      </c>
      <c r="W266" s="6">
        <v>55000</v>
      </c>
      <c r="X266" s="6">
        <v>58</v>
      </c>
      <c r="Y266" s="6"/>
      <c r="Z266" s="6"/>
      <c r="AA266" s="6"/>
      <c r="AB266" s="6">
        <v>4365</v>
      </c>
      <c r="AC266" s="6">
        <v>2114</v>
      </c>
      <c r="AD266" s="6">
        <v>0</v>
      </c>
      <c r="AE266" s="6">
        <v>23319</v>
      </c>
      <c r="AF266" s="6">
        <v>7448</v>
      </c>
    </row>
    <row r="267" spans="1:32" x14ac:dyDescent="0.35">
      <c r="A267" s="1">
        <v>39414</v>
      </c>
      <c r="B267" s="6">
        <v>879417</v>
      </c>
      <c r="C267" s="6">
        <v>11037</v>
      </c>
      <c r="D267" s="6">
        <v>2200</v>
      </c>
      <c r="E267" s="6">
        <v>1165</v>
      </c>
      <c r="F267" s="6">
        <v>830382</v>
      </c>
      <c r="G267" s="6">
        <v>779693</v>
      </c>
      <c r="H267" s="6">
        <v>779693</v>
      </c>
      <c r="I267" s="6">
        <v>267019</v>
      </c>
      <c r="J267" s="6">
        <v>470984</v>
      </c>
      <c r="K267" s="6">
        <v>36911</v>
      </c>
      <c r="L267" s="6">
        <v>4779</v>
      </c>
      <c r="M267" s="6">
        <v>58200</v>
      </c>
      <c r="N267" s="6">
        <v>158806</v>
      </c>
      <c r="O267" s="6">
        <v>160446</v>
      </c>
      <c r="P267" s="6">
        <v>231534</v>
      </c>
      <c r="Q267" s="6">
        <v>81931</v>
      </c>
      <c r="R267" s="6">
        <v>88776</v>
      </c>
      <c r="S267" s="6">
        <v>0</v>
      </c>
      <c r="T267" s="6">
        <v>0</v>
      </c>
      <c r="U267" s="6">
        <v>8067</v>
      </c>
      <c r="V267" s="6">
        <v>-3432</v>
      </c>
      <c r="W267" s="6">
        <v>46000</v>
      </c>
      <c r="X267" s="6">
        <v>54</v>
      </c>
      <c r="Y267" s="6"/>
      <c r="Z267" s="6"/>
      <c r="AA267" s="6"/>
      <c r="AB267" s="6">
        <v>1563</v>
      </c>
      <c r="AC267" s="6">
        <v>2114</v>
      </c>
      <c r="AD267" s="6">
        <v>0</v>
      </c>
      <c r="AE267" s="6">
        <v>23106</v>
      </c>
      <c r="AF267" s="6">
        <v>7851</v>
      </c>
    </row>
    <row r="268" spans="1:32" x14ac:dyDescent="0.35">
      <c r="A268" s="1">
        <v>39421</v>
      </c>
      <c r="B268" s="6">
        <v>882764</v>
      </c>
      <c r="C268" s="6">
        <v>11037</v>
      </c>
      <c r="D268" s="6">
        <v>2200</v>
      </c>
      <c r="E268" s="6">
        <v>1190</v>
      </c>
      <c r="F268" s="6">
        <v>833010</v>
      </c>
      <c r="G268" s="6">
        <v>779715</v>
      </c>
      <c r="H268" s="6">
        <v>779715</v>
      </c>
      <c r="I268" s="6">
        <v>267019</v>
      </c>
      <c r="J268" s="6">
        <v>470984</v>
      </c>
      <c r="K268" s="6">
        <v>36911</v>
      </c>
      <c r="L268" s="6">
        <v>4801</v>
      </c>
      <c r="M268" s="6">
        <v>49744</v>
      </c>
      <c r="N268" s="6">
        <v>164739</v>
      </c>
      <c r="O268" s="6">
        <v>159811</v>
      </c>
      <c r="P268" s="6">
        <v>234701</v>
      </c>
      <c r="Q268" s="6">
        <v>81935</v>
      </c>
      <c r="R268" s="6">
        <v>88785</v>
      </c>
      <c r="S268" s="6">
        <v>0</v>
      </c>
      <c r="T268" s="6">
        <v>0</v>
      </c>
      <c r="U268" s="6">
        <v>8050</v>
      </c>
      <c r="V268" s="6">
        <v>-3401</v>
      </c>
      <c r="W268" s="6">
        <v>46500</v>
      </c>
      <c r="X268" s="6">
        <v>2146</v>
      </c>
      <c r="Y268" s="6"/>
      <c r="Z268" s="6"/>
      <c r="AA268" s="6"/>
      <c r="AB268" s="6">
        <v>2445</v>
      </c>
      <c r="AC268" s="6">
        <v>2118</v>
      </c>
      <c r="AD268" s="6">
        <v>0</v>
      </c>
      <c r="AE268" s="6">
        <v>23019</v>
      </c>
      <c r="AF268" s="6">
        <v>7745</v>
      </c>
    </row>
    <row r="269" spans="1:32" x14ac:dyDescent="0.35">
      <c r="A269" s="1">
        <v>39428</v>
      </c>
      <c r="B269" s="6">
        <v>881750</v>
      </c>
      <c r="C269" s="6">
        <v>11037</v>
      </c>
      <c r="D269" s="6">
        <v>2200</v>
      </c>
      <c r="E269" s="6">
        <v>1209</v>
      </c>
      <c r="F269" s="6">
        <v>831718</v>
      </c>
      <c r="G269" s="6">
        <v>774735</v>
      </c>
      <c r="H269" s="6">
        <v>774735</v>
      </c>
      <c r="I269" s="6">
        <v>262019</v>
      </c>
      <c r="J269" s="6">
        <v>470984</v>
      </c>
      <c r="K269" s="6">
        <v>36911</v>
      </c>
      <c r="L269" s="6">
        <v>4821</v>
      </c>
      <c r="M269" s="6">
        <v>46111</v>
      </c>
      <c r="N269" s="6">
        <v>162696</v>
      </c>
      <c r="O269" s="6">
        <v>160488</v>
      </c>
      <c r="P269" s="6">
        <v>234709</v>
      </c>
      <c r="Q269" s="6">
        <v>81938</v>
      </c>
      <c r="R269" s="6">
        <v>88793</v>
      </c>
      <c r="S269" s="6">
        <v>0</v>
      </c>
      <c r="T269" s="6">
        <v>0</v>
      </c>
      <c r="U269" s="6">
        <v>8034</v>
      </c>
      <c r="V269" s="6">
        <v>-3347</v>
      </c>
      <c r="W269" s="6">
        <v>47750</v>
      </c>
      <c r="X269" s="6">
        <v>4547</v>
      </c>
      <c r="Y269" s="6"/>
      <c r="Z269" s="6"/>
      <c r="AA269" s="6"/>
      <c r="AB269" s="6">
        <v>2413</v>
      </c>
      <c r="AC269" s="6">
        <v>2120</v>
      </c>
      <c r="AD269" s="6">
        <v>0</v>
      </c>
      <c r="AE269" s="6">
        <v>22930</v>
      </c>
      <c r="AF269" s="6">
        <v>8123</v>
      </c>
    </row>
    <row r="270" spans="1:32" x14ac:dyDescent="0.35">
      <c r="A270" s="1">
        <v>39435</v>
      </c>
      <c r="B270" s="6">
        <v>887983</v>
      </c>
      <c r="C270" s="6">
        <v>11037</v>
      </c>
      <c r="D270" s="6">
        <v>2200</v>
      </c>
      <c r="E270" s="6">
        <v>1198</v>
      </c>
      <c r="F270" s="6">
        <v>836995</v>
      </c>
      <c r="G270" s="6">
        <v>769755</v>
      </c>
      <c r="H270" s="6">
        <v>769755</v>
      </c>
      <c r="I270" s="6">
        <v>257019</v>
      </c>
      <c r="J270" s="6">
        <v>470984</v>
      </c>
      <c r="K270" s="6">
        <v>36911</v>
      </c>
      <c r="L270" s="6">
        <v>4842</v>
      </c>
      <c r="M270" s="6">
        <v>48814</v>
      </c>
      <c r="N270" s="6">
        <v>153854</v>
      </c>
      <c r="O270" s="6">
        <v>162951</v>
      </c>
      <c r="P270" s="6">
        <v>233394</v>
      </c>
      <c r="Q270" s="6">
        <v>81942</v>
      </c>
      <c r="R270" s="6">
        <v>88801</v>
      </c>
      <c r="S270" s="6">
        <v>0</v>
      </c>
      <c r="T270" s="6">
        <v>0</v>
      </c>
      <c r="U270" s="6">
        <v>8017</v>
      </c>
      <c r="V270" s="6">
        <v>-3293</v>
      </c>
      <c r="W270" s="6">
        <v>57750</v>
      </c>
      <c r="X270" s="6">
        <v>4765</v>
      </c>
      <c r="Y270" s="6"/>
      <c r="Z270" s="6"/>
      <c r="AA270" s="6"/>
      <c r="AB270" s="6">
        <v>3385</v>
      </c>
      <c r="AC270" s="6">
        <v>2124</v>
      </c>
      <c r="AD270" s="6">
        <v>0</v>
      </c>
      <c r="AE270" s="6">
        <v>22509</v>
      </c>
      <c r="AF270" s="6">
        <v>8535</v>
      </c>
    </row>
    <row r="271" spans="1:32" x14ac:dyDescent="0.35">
      <c r="A271" s="1">
        <v>39442</v>
      </c>
      <c r="B271" s="6">
        <v>890662</v>
      </c>
      <c r="C271" s="6">
        <v>11037</v>
      </c>
      <c r="D271" s="6">
        <v>2200</v>
      </c>
      <c r="E271" s="6">
        <v>1173</v>
      </c>
      <c r="F271" s="6">
        <v>826551</v>
      </c>
      <c r="G271" s="6">
        <v>754612</v>
      </c>
      <c r="H271" s="6">
        <v>754612</v>
      </c>
      <c r="I271" s="6">
        <v>241856</v>
      </c>
      <c r="J271" s="6">
        <v>470984</v>
      </c>
      <c r="K271" s="6">
        <v>36911</v>
      </c>
      <c r="L271" s="6">
        <v>4862</v>
      </c>
      <c r="M271" s="6">
        <v>46058</v>
      </c>
      <c r="N271" s="6">
        <v>146785</v>
      </c>
      <c r="O271" s="6">
        <v>157614</v>
      </c>
      <c r="P271" s="6">
        <v>233402</v>
      </c>
      <c r="Q271" s="6">
        <v>81945</v>
      </c>
      <c r="R271" s="6">
        <v>88809</v>
      </c>
      <c r="S271" s="6">
        <v>0</v>
      </c>
      <c r="T271" s="6">
        <v>0</v>
      </c>
      <c r="U271" s="6">
        <v>8000</v>
      </c>
      <c r="V271" s="6">
        <v>-3096</v>
      </c>
      <c r="W271" s="6">
        <v>42500</v>
      </c>
      <c r="X271" s="6">
        <v>4535</v>
      </c>
      <c r="Y271" s="6"/>
      <c r="Z271" s="6"/>
      <c r="AA271" s="6"/>
      <c r="AB271" s="6">
        <v>1881</v>
      </c>
      <c r="AC271" s="6">
        <v>2128</v>
      </c>
      <c r="AD271" s="6">
        <v>14000</v>
      </c>
      <c r="AE271" s="6">
        <v>22640</v>
      </c>
      <c r="AF271" s="6">
        <v>9053</v>
      </c>
    </row>
    <row r="272" spans="1:32" x14ac:dyDescent="0.35">
      <c r="A272" s="1">
        <v>39449</v>
      </c>
      <c r="B272" s="6">
        <v>922187</v>
      </c>
      <c r="C272" s="6">
        <v>11037</v>
      </c>
      <c r="D272" s="6">
        <v>2200</v>
      </c>
      <c r="E272" s="6">
        <v>1169</v>
      </c>
      <c r="F272" s="6">
        <v>847366</v>
      </c>
      <c r="G272" s="6">
        <v>740627</v>
      </c>
      <c r="H272" s="6">
        <v>740627</v>
      </c>
      <c r="I272" s="6">
        <v>227841</v>
      </c>
      <c r="J272" s="6">
        <v>470984</v>
      </c>
      <c r="K272" s="6">
        <v>36911</v>
      </c>
      <c r="L272" s="6">
        <v>4892</v>
      </c>
      <c r="M272" s="6">
        <v>39862</v>
      </c>
      <c r="N272" s="6">
        <v>143717</v>
      </c>
      <c r="O272" s="6">
        <v>150526</v>
      </c>
      <c r="P272" s="6">
        <v>235751</v>
      </c>
      <c r="Q272" s="6">
        <v>81950</v>
      </c>
      <c r="R272" s="6">
        <v>88821</v>
      </c>
      <c r="S272" s="6">
        <v>0</v>
      </c>
      <c r="T272" s="6">
        <v>0</v>
      </c>
      <c r="U272" s="6">
        <v>7983</v>
      </c>
      <c r="V272" s="6">
        <v>-2917</v>
      </c>
      <c r="W272" s="6">
        <v>56750</v>
      </c>
      <c r="X272" s="6">
        <v>4923</v>
      </c>
      <c r="Y272" s="6"/>
      <c r="Z272" s="6"/>
      <c r="AA272" s="6"/>
      <c r="AB272" s="6">
        <v>2150</v>
      </c>
      <c r="AC272" s="6">
        <v>2134</v>
      </c>
      <c r="AD272" s="6">
        <v>24000</v>
      </c>
      <c r="AE272" s="6">
        <v>23241</v>
      </c>
      <c r="AF272" s="6">
        <v>8890</v>
      </c>
    </row>
    <row r="273" spans="1:32" x14ac:dyDescent="0.35">
      <c r="A273" s="1">
        <v>39456</v>
      </c>
      <c r="B273" s="6">
        <v>880754</v>
      </c>
      <c r="C273" s="6">
        <v>11037</v>
      </c>
      <c r="D273" s="6">
        <v>2200</v>
      </c>
      <c r="E273" s="6">
        <v>1202</v>
      </c>
      <c r="F273" s="6">
        <v>804941</v>
      </c>
      <c r="G273" s="6">
        <v>728203</v>
      </c>
      <c r="H273" s="6">
        <v>728203</v>
      </c>
      <c r="I273" s="6">
        <v>215360</v>
      </c>
      <c r="J273" s="6">
        <v>470984</v>
      </c>
      <c r="K273" s="6">
        <v>36911</v>
      </c>
      <c r="L273" s="6">
        <v>4948</v>
      </c>
      <c r="M273" s="6">
        <v>39729</v>
      </c>
      <c r="N273" s="6">
        <v>137196</v>
      </c>
      <c r="O273" s="6">
        <v>144703</v>
      </c>
      <c r="P273" s="6">
        <v>235773</v>
      </c>
      <c r="Q273" s="6">
        <v>81960</v>
      </c>
      <c r="R273" s="6">
        <v>88843</v>
      </c>
      <c r="S273" s="6">
        <v>0</v>
      </c>
      <c r="T273" s="6">
        <v>0</v>
      </c>
      <c r="U273" s="6">
        <v>7966</v>
      </c>
      <c r="V273" s="6">
        <v>-2743</v>
      </c>
      <c r="W273" s="6">
        <v>30500</v>
      </c>
      <c r="X273" s="6">
        <v>1015</v>
      </c>
      <c r="Y273" s="6"/>
      <c r="Z273" s="6"/>
      <c r="AA273" s="6"/>
      <c r="AB273" s="6">
        <v>2647</v>
      </c>
      <c r="AC273" s="6">
        <v>2132</v>
      </c>
      <c r="AD273" s="6">
        <v>24000</v>
      </c>
      <c r="AE273" s="6">
        <v>23225</v>
      </c>
      <c r="AF273" s="6">
        <v>9372</v>
      </c>
    </row>
    <row r="274" spans="1:32" x14ac:dyDescent="0.35">
      <c r="A274" s="1">
        <v>39463</v>
      </c>
      <c r="B274" s="6">
        <v>893581</v>
      </c>
      <c r="C274" s="6">
        <v>11037</v>
      </c>
      <c r="D274" s="6">
        <v>2200</v>
      </c>
      <c r="E274" s="6">
        <v>1246</v>
      </c>
      <c r="F274" s="6">
        <v>818054</v>
      </c>
      <c r="G274" s="6">
        <v>728259</v>
      </c>
      <c r="H274" s="6">
        <v>728259</v>
      </c>
      <c r="I274" s="6">
        <v>215360</v>
      </c>
      <c r="J274" s="6">
        <v>470984</v>
      </c>
      <c r="K274" s="6">
        <v>37463</v>
      </c>
      <c r="L274" s="6">
        <v>4452</v>
      </c>
      <c r="M274" s="6">
        <v>43205</v>
      </c>
      <c r="N274" s="6">
        <v>131419</v>
      </c>
      <c r="O274" s="6">
        <v>148990</v>
      </c>
      <c r="P274" s="6">
        <v>231397</v>
      </c>
      <c r="Q274" s="6">
        <v>81969</v>
      </c>
      <c r="R274" s="6">
        <v>91278</v>
      </c>
      <c r="S274" s="6">
        <v>0</v>
      </c>
      <c r="T274" s="6">
        <v>0</v>
      </c>
      <c r="U274" s="6">
        <v>7949</v>
      </c>
      <c r="V274" s="6">
        <v>-2722</v>
      </c>
      <c r="W274" s="6">
        <v>39000</v>
      </c>
      <c r="X274" s="6">
        <v>5567</v>
      </c>
      <c r="Y274" s="6"/>
      <c r="Z274" s="6"/>
      <c r="AA274" s="6"/>
      <c r="AB274" s="6">
        <v>2062</v>
      </c>
      <c r="AC274" s="6">
        <v>2132</v>
      </c>
      <c r="AD274" s="6">
        <v>24000</v>
      </c>
      <c r="AE274" s="6">
        <v>23411</v>
      </c>
      <c r="AF274" s="6">
        <v>9439</v>
      </c>
    </row>
    <row r="275" spans="1:32" x14ac:dyDescent="0.35">
      <c r="A275" s="1">
        <v>39470</v>
      </c>
      <c r="B275" s="6">
        <v>877253</v>
      </c>
      <c r="C275" s="6">
        <v>11037</v>
      </c>
      <c r="D275" s="6">
        <v>2200</v>
      </c>
      <c r="E275" s="6">
        <v>1294</v>
      </c>
      <c r="F275" s="6">
        <v>800608</v>
      </c>
      <c r="G275" s="6">
        <v>723315</v>
      </c>
      <c r="H275" s="6">
        <v>723315</v>
      </c>
      <c r="I275" s="6">
        <v>210360</v>
      </c>
      <c r="J275" s="6">
        <v>470984</v>
      </c>
      <c r="K275" s="6">
        <v>37463</v>
      </c>
      <c r="L275" s="6">
        <v>4508</v>
      </c>
      <c r="M275" s="6">
        <v>46545</v>
      </c>
      <c r="N275" s="6">
        <v>123121</v>
      </c>
      <c r="O275" s="6">
        <v>148953</v>
      </c>
      <c r="P275" s="6">
        <v>231414</v>
      </c>
      <c r="Q275" s="6">
        <v>84395</v>
      </c>
      <c r="R275" s="6">
        <v>88887</v>
      </c>
      <c r="S275" s="6">
        <v>0</v>
      </c>
      <c r="T275" s="6">
        <v>0</v>
      </c>
      <c r="U275" s="6">
        <v>7933</v>
      </c>
      <c r="V275" s="6">
        <v>-2659</v>
      </c>
      <c r="W275" s="6">
        <v>22000</v>
      </c>
      <c r="X275" s="6">
        <v>20</v>
      </c>
      <c r="Y275" s="6"/>
      <c r="Z275" s="6"/>
      <c r="AA275" s="6"/>
      <c r="AB275" s="6">
        <v>2688</v>
      </c>
      <c r="AC275" s="6">
        <v>2137</v>
      </c>
      <c r="AD275" s="6">
        <v>24000</v>
      </c>
      <c r="AE275" s="6">
        <v>23480</v>
      </c>
      <c r="AF275" s="6">
        <v>9809</v>
      </c>
    </row>
    <row r="276" spans="1:32" x14ac:dyDescent="0.35">
      <c r="A276" s="1">
        <v>39477</v>
      </c>
      <c r="B276" s="6">
        <v>900264</v>
      </c>
      <c r="C276" s="6">
        <v>11037</v>
      </c>
      <c r="D276" s="6">
        <v>2200</v>
      </c>
      <c r="E276" s="6">
        <v>1369</v>
      </c>
      <c r="F276" s="6">
        <v>823751</v>
      </c>
      <c r="G276" s="6">
        <v>718371</v>
      </c>
      <c r="H276" s="6">
        <v>718371</v>
      </c>
      <c r="I276" s="6">
        <v>205360</v>
      </c>
      <c r="J276" s="6">
        <v>470984</v>
      </c>
      <c r="K276" s="6">
        <v>37463</v>
      </c>
      <c r="L276" s="6">
        <v>4564</v>
      </c>
      <c r="M276" s="6">
        <v>48770</v>
      </c>
      <c r="N276" s="6">
        <v>115775</v>
      </c>
      <c r="O276" s="6">
        <v>149079</v>
      </c>
      <c r="P276" s="6">
        <v>231432</v>
      </c>
      <c r="Q276" s="6">
        <v>84407</v>
      </c>
      <c r="R276" s="6">
        <v>88909</v>
      </c>
      <c r="S276" s="6">
        <v>0</v>
      </c>
      <c r="T276" s="6">
        <v>0</v>
      </c>
      <c r="U276" s="6">
        <v>7916</v>
      </c>
      <c r="V276" s="6">
        <v>-2582</v>
      </c>
      <c r="W276" s="6">
        <v>50000</v>
      </c>
      <c r="X276" s="6">
        <v>46</v>
      </c>
      <c r="Y276" s="6"/>
      <c r="Z276" s="6"/>
      <c r="AA276" s="6"/>
      <c r="AB276" s="6">
        <v>1725</v>
      </c>
      <c r="AC276" s="6">
        <v>2140</v>
      </c>
      <c r="AD276" s="6">
        <v>24000</v>
      </c>
      <c r="AE276" s="6">
        <v>23563</v>
      </c>
      <c r="AF276" s="6">
        <v>10479</v>
      </c>
    </row>
    <row r="277" spans="1:32" x14ac:dyDescent="0.35">
      <c r="A277" s="1">
        <v>39484</v>
      </c>
      <c r="B277" s="6">
        <v>871022</v>
      </c>
      <c r="C277" s="6">
        <v>11037</v>
      </c>
      <c r="D277" s="6">
        <v>2200</v>
      </c>
      <c r="E277" s="6">
        <v>1388</v>
      </c>
      <c r="F277" s="6">
        <v>794702</v>
      </c>
      <c r="G277" s="6">
        <v>713376</v>
      </c>
      <c r="H277" s="6">
        <v>713376</v>
      </c>
      <c r="I277" s="6">
        <v>200360</v>
      </c>
      <c r="J277" s="6">
        <v>470010</v>
      </c>
      <c r="K277" s="6">
        <v>38437</v>
      </c>
      <c r="L277" s="6">
        <v>4570</v>
      </c>
      <c r="M277" s="6">
        <v>54661</v>
      </c>
      <c r="N277" s="6">
        <v>104384</v>
      </c>
      <c r="O277" s="6">
        <v>146948</v>
      </c>
      <c r="P277" s="6">
        <v>233089</v>
      </c>
      <c r="Q277" s="6">
        <v>84408</v>
      </c>
      <c r="R277" s="6">
        <v>89887</v>
      </c>
      <c r="S277" s="6">
        <v>0</v>
      </c>
      <c r="T277" s="6">
        <v>0</v>
      </c>
      <c r="U277" s="6">
        <v>7899</v>
      </c>
      <c r="V277" s="6">
        <v>-2533</v>
      </c>
      <c r="W277" s="6">
        <v>15500</v>
      </c>
      <c r="X277" s="6">
        <v>459</v>
      </c>
      <c r="Y277" s="6"/>
      <c r="Z277" s="6"/>
      <c r="AA277" s="6"/>
      <c r="AB277" s="6">
        <v>1817</v>
      </c>
      <c r="AC277" s="6">
        <v>2132</v>
      </c>
      <c r="AD277" s="6">
        <v>24000</v>
      </c>
      <c r="AE277" s="6">
        <v>23454</v>
      </c>
      <c r="AF277" s="6">
        <v>10291</v>
      </c>
    </row>
    <row r="278" spans="1:32" x14ac:dyDescent="0.35">
      <c r="A278" s="1">
        <v>39491</v>
      </c>
      <c r="B278" s="6">
        <v>883005</v>
      </c>
      <c r="C278" s="6">
        <v>11037</v>
      </c>
      <c r="D278" s="6">
        <v>2200</v>
      </c>
      <c r="E278" s="6">
        <v>1380</v>
      </c>
      <c r="F278" s="6">
        <v>806789</v>
      </c>
      <c r="G278" s="6">
        <v>713369</v>
      </c>
      <c r="H278" s="6">
        <v>713369</v>
      </c>
      <c r="I278" s="6">
        <v>200360</v>
      </c>
      <c r="J278" s="6">
        <v>470010</v>
      </c>
      <c r="K278" s="6">
        <v>38437</v>
      </c>
      <c r="L278" s="6">
        <v>4563</v>
      </c>
      <c r="M278" s="6">
        <v>53488</v>
      </c>
      <c r="N278" s="6">
        <v>105884</v>
      </c>
      <c r="O278" s="6">
        <v>146619</v>
      </c>
      <c r="P278" s="6">
        <v>233087</v>
      </c>
      <c r="Q278" s="6">
        <v>84406</v>
      </c>
      <c r="R278" s="6">
        <v>89884</v>
      </c>
      <c r="S278" s="6">
        <v>0</v>
      </c>
      <c r="T278" s="6">
        <v>0</v>
      </c>
      <c r="U278" s="6">
        <v>7882</v>
      </c>
      <c r="V278" s="6">
        <v>-2502</v>
      </c>
      <c r="W278" s="6">
        <v>28000</v>
      </c>
      <c r="X278" s="6">
        <v>39</v>
      </c>
      <c r="Y278" s="6"/>
      <c r="Z278" s="6"/>
      <c r="AA278" s="6"/>
      <c r="AB278" s="6">
        <v>1376</v>
      </c>
      <c r="AC278" s="6">
        <v>2132</v>
      </c>
      <c r="AD278" s="6">
        <v>24000</v>
      </c>
      <c r="AE278" s="6">
        <v>23290</v>
      </c>
      <c r="AF278" s="6">
        <v>10802</v>
      </c>
    </row>
    <row r="279" spans="1:32" x14ac:dyDescent="0.35">
      <c r="A279" s="1">
        <v>39498</v>
      </c>
      <c r="B279" s="6">
        <v>878949</v>
      </c>
      <c r="C279" s="6">
        <v>11037</v>
      </c>
      <c r="D279" s="6">
        <v>2200</v>
      </c>
      <c r="E279" s="6">
        <v>1359</v>
      </c>
      <c r="F279" s="6">
        <v>818766</v>
      </c>
      <c r="G279" s="6">
        <v>713362</v>
      </c>
      <c r="H279" s="6">
        <v>713362</v>
      </c>
      <c r="I279" s="6">
        <v>200360</v>
      </c>
      <c r="J279" s="6">
        <v>470010</v>
      </c>
      <c r="K279" s="6">
        <v>38437</v>
      </c>
      <c r="L279" s="6">
        <v>4556</v>
      </c>
      <c r="M279" s="6">
        <v>48171</v>
      </c>
      <c r="N279" s="6">
        <v>114849</v>
      </c>
      <c r="O279" s="6">
        <v>135884</v>
      </c>
      <c r="P279" s="6">
        <v>231343</v>
      </c>
      <c r="Q279" s="6">
        <v>88939</v>
      </c>
      <c r="R279" s="6">
        <v>94177</v>
      </c>
      <c r="S279" s="6">
        <v>0</v>
      </c>
      <c r="T279" s="6">
        <v>0</v>
      </c>
      <c r="U279" s="6">
        <v>7865</v>
      </c>
      <c r="V279" s="6">
        <v>-2583</v>
      </c>
      <c r="W279" s="6">
        <v>38750</v>
      </c>
      <c r="X279" s="6">
        <v>1371</v>
      </c>
      <c r="Y279" s="6"/>
      <c r="Z279" s="6"/>
      <c r="AA279" s="6"/>
      <c r="AB279" s="6">
        <v>2914</v>
      </c>
      <c r="AC279" s="6">
        <v>2134</v>
      </c>
      <c r="AD279" s="6">
        <v>10000</v>
      </c>
      <c r="AE279" s="6">
        <v>23373</v>
      </c>
      <c r="AF279" s="6">
        <v>7166</v>
      </c>
    </row>
    <row r="280" spans="1:32" x14ac:dyDescent="0.35">
      <c r="A280" s="1">
        <v>39505</v>
      </c>
      <c r="B280" s="6">
        <v>893825</v>
      </c>
      <c r="C280" s="6">
        <v>11037</v>
      </c>
      <c r="D280" s="6">
        <v>2200</v>
      </c>
      <c r="E280" s="6">
        <v>1352</v>
      </c>
      <c r="F280" s="6">
        <v>833860</v>
      </c>
      <c r="G280" s="6">
        <v>713355</v>
      </c>
      <c r="H280" s="6">
        <v>713355</v>
      </c>
      <c r="I280" s="6">
        <v>200360</v>
      </c>
      <c r="J280" s="6">
        <v>470010</v>
      </c>
      <c r="K280" s="6">
        <v>38437</v>
      </c>
      <c r="L280" s="6">
        <v>4549</v>
      </c>
      <c r="M280" s="6">
        <v>47921</v>
      </c>
      <c r="N280" s="6">
        <v>116819</v>
      </c>
      <c r="O280" s="6">
        <v>134163</v>
      </c>
      <c r="P280" s="6">
        <v>231341</v>
      </c>
      <c r="Q280" s="6">
        <v>88938</v>
      </c>
      <c r="R280" s="6">
        <v>94174</v>
      </c>
      <c r="S280" s="6">
        <v>0</v>
      </c>
      <c r="T280" s="6">
        <v>0</v>
      </c>
      <c r="U280" s="6">
        <v>7849</v>
      </c>
      <c r="V280" s="6">
        <v>-2531</v>
      </c>
      <c r="W280" s="6">
        <v>54500</v>
      </c>
      <c r="X280" s="6">
        <v>687</v>
      </c>
      <c r="Y280" s="6"/>
      <c r="Z280" s="6"/>
      <c r="AA280" s="6"/>
      <c r="AB280" s="6">
        <v>1565</v>
      </c>
      <c r="AC280" s="6">
        <v>2138</v>
      </c>
      <c r="AD280" s="6">
        <v>10000</v>
      </c>
      <c r="AE280" s="6">
        <v>23988</v>
      </c>
      <c r="AF280" s="6">
        <v>7686</v>
      </c>
    </row>
    <row r="281" spans="1:32" x14ac:dyDescent="0.35">
      <c r="A281" s="1">
        <v>39512</v>
      </c>
      <c r="B281" s="6">
        <v>881208</v>
      </c>
      <c r="C281" s="6">
        <v>11037</v>
      </c>
      <c r="D281" s="6">
        <v>2200</v>
      </c>
      <c r="E281" s="6">
        <v>1351</v>
      </c>
      <c r="F281" s="6">
        <v>831013</v>
      </c>
      <c r="G281" s="6">
        <v>713388</v>
      </c>
      <c r="H281" s="6">
        <v>713388</v>
      </c>
      <c r="I281" s="6">
        <v>200360</v>
      </c>
      <c r="J281" s="6">
        <v>470010</v>
      </c>
      <c r="K281" s="6">
        <v>38437</v>
      </c>
      <c r="L281" s="6">
        <v>4581</v>
      </c>
      <c r="M281" s="6">
        <v>38873</v>
      </c>
      <c r="N281" s="6">
        <v>126745</v>
      </c>
      <c r="O281" s="6">
        <v>133639</v>
      </c>
      <c r="P281" s="6">
        <v>231000</v>
      </c>
      <c r="Q281" s="6">
        <v>88945</v>
      </c>
      <c r="R281" s="6">
        <v>94187</v>
      </c>
      <c r="S281" s="6">
        <v>0</v>
      </c>
      <c r="T281" s="6">
        <v>0</v>
      </c>
      <c r="U281" s="6">
        <v>7832</v>
      </c>
      <c r="V281" s="6">
        <v>-2494</v>
      </c>
      <c r="W281" s="6">
        <v>52250</v>
      </c>
      <c r="X281" s="6">
        <v>37</v>
      </c>
      <c r="Y281" s="6"/>
      <c r="Z281" s="6"/>
      <c r="AA281" s="6"/>
      <c r="AB281" s="6">
        <v>1715</v>
      </c>
      <c r="AC281" s="6">
        <v>2140</v>
      </c>
      <c r="AD281" s="6">
        <v>0</v>
      </c>
      <c r="AE281" s="6">
        <v>24331</v>
      </c>
      <c r="AF281" s="6">
        <v>7421</v>
      </c>
    </row>
    <row r="282" spans="1:32" x14ac:dyDescent="0.35">
      <c r="A282" s="1">
        <v>39519</v>
      </c>
      <c r="B282" s="6">
        <v>896565</v>
      </c>
      <c r="C282" s="6">
        <v>11037</v>
      </c>
      <c r="D282" s="6">
        <v>2200</v>
      </c>
      <c r="E282" s="6">
        <v>1324</v>
      </c>
      <c r="F282" s="6">
        <v>845888</v>
      </c>
      <c r="G282" s="6">
        <v>703436</v>
      </c>
      <c r="H282" s="6">
        <v>703436</v>
      </c>
      <c r="I282" s="6">
        <v>190360</v>
      </c>
      <c r="J282" s="6">
        <v>470010</v>
      </c>
      <c r="K282" s="6">
        <v>38437</v>
      </c>
      <c r="L282" s="6">
        <v>4629</v>
      </c>
      <c r="M282" s="6">
        <v>34413</v>
      </c>
      <c r="N282" s="6">
        <v>122887</v>
      </c>
      <c r="O282" s="6">
        <v>131959</v>
      </c>
      <c r="P282" s="6">
        <v>231014</v>
      </c>
      <c r="Q282" s="6">
        <v>88956</v>
      </c>
      <c r="R282" s="6">
        <v>94207</v>
      </c>
      <c r="S282" s="6">
        <v>0</v>
      </c>
      <c r="T282" s="6">
        <v>0</v>
      </c>
      <c r="U282" s="6">
        <v>7816</v>
      </c>
      <c r="V282" s="6">
        <v>-2392</v>
      </c>
      <c r="W282" s="6">
        <v>77000</v>
      </c>
      <c r="X282" s="6">
        <v>28</v>
      </c>
      <c r="Y282" s="6"/>
      <c r="Z282" s="6"/>
      <c r="AA282" s="6"/>
      <c r="AB282" s="6">
        <v>1354</v>
      </c>
      <c r="AC282" s="6">
        <v>2138</v>
      </c>
      <c r="AD282" s="6">
        <v>0</v>
      </c>
      <c r="AE282" s="6">
        <v>24699</v>
      </c>
      <c r="AF282" s="6">
        <v>7926</v>
      </c>
    </row>
    <row r="283" spans="1:32" x14ac:dyDescent="0.35">
      <c r="A283" s="1">
        <v>39526</v>
      </c>
      <c r="B283" s="6">
        <v>888646</v>
      </c>
      <c r="C283" s="6">
        <v>11037</v>
      </c>
      <c r="D283" s="6">
        <v>2200</v>
      </c>
      <c r="E283" s="6">
        <v>1316</v>
      </c>
      <c r="F283" s="6">
        <v>837108</v>
      </c>
      <c r="G283" s="6">
        <v>660484</v>
      </c>
      <c r="H283" s="6">
        <v>660484</v>
      </c>
      <c r="I283" s="6">
        <v>152360</v>
      </c>
      <c r="J283" s="6">
        <v>465010</v>
      </c>
      <c r="K283" s="6">
        <v>38437</v>
      </c>
      <c r="L283" s="6">
        <v>4678</v>
      </c>
      <c r="M283" s="6">
        <v>38691</v>
      </c>
      <c r="N283" s="6">
        <v>99574</v>
      </c>
      <c r="O283" s="6">
        <v>114118</v>
      </c>
      <c r="P283" s="6">
        <v>224908</v>
      </c>
      <c r="Q283" s="6">
        <v>88966</v>
      </c>
      <c r="R283" s="6">
        <v>94226</v>
      </c>
      <c r="S283" s="6">
        <v>0</v>
      </c>
      <c r="T283" s="6">
        <v>0</v>
      </c>
      <c r="U283" s="6">
        <v>7799</v>
      </c>
      <c r="V283" s="6">
        <v>-2101</v>
      </c>
      <c r="W283" s="6">
        <v>62000</v>
      </c>
      <c r="X283" s="6">
        <v>28925</v>
      </c>
      <c r="Y283" s="6"/>
      <c r="Z283" s="6"/>
      <c r="AA283" s="6"/>
      <c r="AB283" s="6">
        <v>1486</v>
      </c>
      <c r="AC283" s="6">
        <v>2141</v>
      </c>
      <c r="AD283" s="6">
        <v>0</v>
      </c>
      <c r="AE283" s="6">
        <v>25143</v>
      </c>
      <c r="AF283" s="6">
        <v>8217</v>
      </c>
    </row>
    <row r="284" spans="1:32" x14ac:dyDescent="0.35">
      <c r="A284" s="1">
        <v>39533</v>
      </c>
      <c r="B284" s="6">
        <v>893965</v>
      </c>
      <c r="C284" s="6">
        <v>11037</v>
      </c>
      <c r="D284" s="6">
        <v>2200</v>
      </c>
      <c r="E284" s="6">
        <v>1321</v>
      </c>
      <c r="F284" s="6">
        <v>842625</v>
      </c>
      <c r="G284" s="6">
        <v>612305</v>
      </c>
      <c r="H284" s="6">
        <v>612305</v>
      </c>
      <c r="I284" s="6">
        <v>114091</v>
      </c>
      <c r="J284" s="6">
        <v>455052</v>
      </c>
      <c r="K284" s="6">
        <v>38437</v>
      </c>
      <c r="L284" s="6">
        <v>4726</v>
      </c>
      <c r="M284" s="6">
        <v>39831</v>
      </c>
      <c r="N284" s="6">
        <v>73064</v>
      </c>
      <c r="O284" s="6">
        <v>101222</v>
      </c>
      <c r="P284" s="6">
        <v>214965</v>
      </c>
      <c r="Q284" s="6">
        <v>88977</v>
      </c>
      <c r="R284" s="6">
        <v>94246</v>
      </c>
      <c r="S284" s="6">
        <v>0</v>
      </c>
      <c r="T284" s="6">
        <v>0</v>
      </c>
      <c r="U284" s="6">
        <v>7765</v>
      </c>
      <c r="V284" s="6">
        <v>-1803</v>
      </c>
      <c r="W284" s="6">
        <v>106750</v>
      </c>
      <c r="X284" s="6">
        <v>37607</v>
      </c>
      <c r="Y284" s="6"/>
      <c r="Z284" s="6"/>
      <c r="AA284" s="6"/>
      <c r="AB284" s="6">
        <v>785</v>
      </c>
      <c r="AC284" s="6">
        <v>2143</v>
      </c>
      <c r="AD284" s="6">
        <v>0</v>
      </c>
      <c r="AE284" s="6">
        <v>25295</v>
      </c>
      <c r="AF284" s="6">
        <v>8558</v>
      </c>
    </row>
    <row r="285" spans="1:32" x14ac:dyDescent="0.35">
      <c r="A285" s="1">
        <v>39540</v>
      </c>
      <c r="B285" s="6">
        <v>883708</v>
      </c>
      <c r="C285" s="6">
        <v>11037</v>
      </c>
      <c r="D285" s="6">
        <v>2200</v>
      </c>
      <c r="E285" s="6">
        <v>1340</v>
      </c>
      <c r="F285" s="6">
        <v>808090</v>
      </c>
      <c r="G285" s="6">
        <v>581240</v>
      </c>
      <c r="H285" s="6">
        <v>581240</v>
      </c>
      <c r="I285" s="6">
        <v>92985</v>
      </c>
      <c r="J285" s="6">
        <v>445050</v>
      </c>
      <c r="K285" s="6">
        <v>38437</v>
      </c>
      <c r="L285" s="6">
        <v>4769</v>
      </c>
      <c r="M285" s="6">
        <v>30277</v>
      </c>
      <c r="N285" s="6">
        <v>61816</v>
      </c>
      <c r="O285" s="6">
        <v>99009</v>
      </c>
      <c r="P285" s="6">
        <v>206888</v>
      </c>
      <c r="Q285" s="6">
        <v>88986</v>
      </c>
      <c r="R285" s="6">
        <v>94263</v>
      </c>
      <c r="S285" s="6">
        <v>0</v>
      </c>
      <c r="T285" s="6">
        <v>0</v>
      </c>
      <c r="U285" s="6">
        <v>7749</v>
      </c>
      <c r="V285" s="6">
        <v>-1695</v>
      </c>
      <c r="W285" s="6">
        <v>76000</v>
      </c>
      <c r="X285" s="6">
        <v>44796</v>
      </c>
      <c r="Y285" s="6"/>
      <c r="Z285" s="6"/>
      <c r="AA285" s="6"/>
      <c r="AB285" s="6">
        <v>4733</v>
      </c>
      <c r="AC285" s="6">
        <v>2145</v>
      </c>
      <c r="AD285" s="6">
        <v>21000</v>
      </c>
      <c r="AE285" s="6">
        <v>24835</v>
      </c>
      <c r="AF285" s="6">
        <v>8329</v>
      </c>
    </row>
    <row r="286" spans="1:32" x14ac:dyDescent="0.35">
      <c r="A286" s="1">
        <v>39547</v>
      </c>
      <c r="B286" s="6">
        <v>893029</v>
      </c>
      <c r="C286" s="6">
        <v>11037</v>
      </c>
      <c r="D286" s="6">
        <v>2200</v>
      </c>
      <c r="E286" s="6">
        <v>1356</v>
      </c>
      <c r="F286" s="6">
        <v>820030</v>
      </c>
      <c r="G286" s="6">
        <v>560114</v>
      </c>
      <c r="H286" s="6">
        <v>560114</v>
      </c>
      <c r="I286" s="6">
        <v>81828</v>
      </c>
      <c r="J286" s="6">
        <v>435051</v>
      </c>
      <c r="K286" s="6">
        <v>38437</v>
      </c>
      <c r="L286" s="6">
        <v>4798</v>
      </c>
      <c r="M286" s="6">
        <v>26342</v>
      </c>
      <c r="N286" s="6">
        <v>54594</v>
      </c>
      <c r="O286" s="6">
        <v>99011</v>
      </c>
      <c r="P286" s="6">
        <v>196898</v>
      </c>
      <c r="Q286" s="6">
        <v>88993</v>
      </c>
      <c r="R286" s="6">
        <v>94275</v>
      </c>
      <c r="S286" s="6">
        <v>0</v>
      </c>
      <c r="T286" s="6">
        <v>0</v>
      </c>
      <c r="U286" s="6">
        <v>7706</v>
      </c>
      <c r="V286" s="6">
        <v>-1629</v>
      </c>
      <c r="W286" s="6">
        <v>120000</v>
      </c>
      <c r="X286" s="6">
        <v>33838</v>
      </c>
      <c r="Y286" s="6"/>
      <c r="Z286" s="6"/>
      <c r="AA286" s="6"/>
      <c r="AB286" s="6">
        <v>1361</v>
      </c>
      <c r="AC286" s="6">
        <v>2142</v>
      </c>
      <c r="AD286" s="6">
        <v>21000</v>
      </c>
      <c r="AE286" s="6">
        <v>25129</v>
      </c>
      <c r="AF286" s="6">
        <v>8774</v>
      </c>
    </row>
    <row r="287" spans="1:32" x14ac:dyDescent="0.35">
      <c r="A287" s="1">
        <v>39554</v>
      </c>
      <c r="B287" s="6">
        <v>881904</v>
      </c>
      <c r="C287" s="6">
        <v>11037</v>
      </c>
      <c r="D287" s="6">
        <v>2200</v>
      </c>
      <c r="E287" s="6">
        <v>1381</v>
      </c>
      <c r="F287" s="6">
        <v>793497</v>
      </c>
      <c r="G287" s="6">
        <v>548632</v>
      </c>
      <c r="H287" s="6">
        <v>548632</v>
      </c>
      <c r="I287" s="6">
        <v>70317</v>
      </c>
      <c r="J287" s="6">
        <v>435051</v>
      </c>
      <c r="K287" s="6">
        <v>38437</v>
      </c>
      <c r="L287" s="6">
        <v>4827</v>
      </c>
      <c r="M287" s="6">
        <v>24625</v>
      </c>
      <c r="N287" s="6">
        <v>47894</v>
      </c>
      <c r="O287" s="6">
        <v>99957</v>
      </c>
      <c r="P287" s="6">
        <v>195968</v>
      </c>
      <c r="Q287" s="6">
        <v>85901</v>
      </c>
      <c r="R287" s="6">
        <v>94287</v>
      </c>
      <c r="S287" s="6">
        <v>0</v>
      </c>
      <c r="T287" s="6">
        <v>0</v>
      </c>
      <c r="U287" s="6">
        <v>7689</v>
      </c>
      <c r="V287" s="6">
        <v>-1582</v>
      </c>
      <c r="W287" s="6">
        <v>104250</v>
      </c>
      <c r="X287" s="6">
        <v>34508</v>
      </c>
      <c r="Y287" s="6"/>
      <c r="Z287" s="6"/>
      <c r="AA287" s="6"/>
      <c r="AB287" s="6">
        <v>1480</v>
      </c>
      <c r="AC287" s="6">
        <v>2143</v>
      </c>
      <c r="AD287" s="6">
        <v>36000</v>
      </c>
      <c r="AE287" s="6">
        <v>25374</v>
      </c>
      <c r="AF287" s="6">
        <v>8792</v>
      </c>
    </row>
    <row r="288" spans="1:32" x14ac:dyDescent="0.35">
      <c r="A288" s="1">
        <v>39561</v>
      </c>
      <c r="B288" s="6">
        <v>885781</v>
      </c>
      <c r="C288" s="6">
        <v>11037</v>
      </c>
      <c r="D288" s="6">
        <v>2200</v>
      </c>
      <c r="E288" s="6">
        <v>1422</v>
      </c>
      <c r="F288" s="6">
        <v>796306</v>
      </c>
      <c r="G288" s="6">
        <v>548661</v>
      </c>
      <c r="H288" s="6">
        <v>548661</v>
      </c>
      <c r="I288" s="6">
        <v>70317</v>
      </c>
      <c r="J288" s="6">
        <v>435051</v>
      </c>
      <c r="K288" s="6">
        <v>38437</v>
      </c>
      <c r="L288" s="6">
        <v>4857</v>
      </c>
      <c r="M288" s="6">
        <v>22157</v>
      </c>
      <c r="N288" s="6">
        <v>50884</v>
      </c>
      <c r="O288" s="6">
        <v>99437</v>
      </c>
      <c r="P288" s="6">
        <v>195977</v>
      </c>
      <c r="Q288" s="6">
        <v>85907</v>
      </c>
      <c r="R288" s="6">
        <v>94299</v>
      </c>
      <c r="S288" s="6">
        <v>0</v>
      </c>
      <c r="T288" s="6">
        <v>0</v>
      </c>
      <c r="U288" s="6">
        <v>7667</v>
      </c>
      <c r="V288" s="6">
        <v>-1565</v>
      </c>
      <c r="W288" s="6">
        <v>109500</v>
      </c>
      <c r="X288" s="6">
        <v>32043</v>
      </c>
      <c r="Y288" s="6"/>
      <c r="Z288" s="6"/>
      <c r="AA288" s="6"/>
      <c r="AB288" s="6">
        <v>2209</v>
      </c>
      <c r="AC288" s="6">
        <v>2146</v>
      </c>
      <c r="AD288" s="6">
        <v>36000</v>
      </c>
      <c r="AE288" s="6">
        <v>25131</v>
      </c>
      <c r="AF288" s="6">
        <v>9330</v>
      </c>
    </row>
    <row r="289" spans="1:32" x14ac:dyDescent="0.35">
      <c r="A289" s="1">
        <v>39568</v>
      </c>
      <c r="B289" s="6">
        <v>888131</v>
      </c>
      <c r="C289" s="6">
        <v>11037</v>
      </c>
      <c r="D289" s="6">
        <v>2200</v>
      </c>
      <c r="E289" s="6">
        <v>1460</v>
      </c>
      <c r="F289" s="6">
        <v>800038</v>
      </c>
      <c r="G289" s="6">
        <v>548692</v>
      </c>
      <c r="H289" s="6">
        <v>548692</v>
      </c>
      <c r="I289" s="6">
        <v>70317</v>
      </c>
      <c r="J289" s="6">
        <v>434317</v>
      </c>
      <c r="K289" s="6">
        <v>39171</v>
      </c>
      <c r="L289" s="6">
        <v>4887</v>
      </c>
      <c r="M289" s="6">
        <v>30495</v>
      </c>
      <c r="N289" s="6">
        <v>38195</v>
      </c>
      <c r="O289" s="6">
        <v>102339</v>
      </c>
      <c r="P289" s="6">
        <v>197438</v>
      </c>
      <c r="Q289" s="6">
        <v>85914</v>
      </c>
      <c r="R289" s="6">
        <v>94311</v>
      </c>
      <c r="S289" s="6">
        <v>0</v>
      </c>
      <c r="T289" s="6">
        <v>0</v>
      </c>
      <c r="U289" s="6">
        <v>7645</v>
      </c>
      <c r="V289" s="6">
        <v>-1562</v>
      </c>
      <c r="W289" s="6">
        <v>115500</v>
      </c>
      <c r="X289" s="6">
        <v>29763</v>
      </c>
      <c r="Y289" s="6"/>
      <c r="Z289" s="6"/>
      <c r="AA289" s="6"/>
      <c r="AB289" s="6">
        <v>1352</v>
      </c>
      <c r="AC289" s="6">
        <v>2158</v>
      </c>
      <c r="AD289" s="6">
        <v>36000</v>
      </c>
      <c r="AE289" s="6">
        <v>24705</v>
      </c>
      <c r="AF289" s="6">
        <v>9182</v>
      </c>
    </row>
    <row r="290" spans="1:32" x14ac:dyDescent="0.35">
      <c r="A290" s="1">
        <v>39575</v>
      </c>
      <c r="B290" s="6">
        <v>889228</v>
      </c>
      <c r="C290" s="6">
        <v>11037</v>
      </c>
      <c r="D290" s="6">
        <v>2200</v>
      </c>
      <c r="E290" s="6">
        <v>1431</v>
      </c>
      <c r="F290" s="6">
        <v>801051</v>
      </c>
      <c r="G290" s="6">
        <v>536714</v>
      </c>
      <c r="H290" s="6">
        <v>536714</v>
      </c>
      <c r="I290" s="6">
        <v>65752</v>
      </c>
      <c r="J290" s="6">
        <v>426818</v>
      </c>
      <c r="K290" s="6">
        <v>39171</v>
      </c>
      <c r="L290" s="6">
        <v>4973</v>
      </c>
      <c r="M290" s="6">
        <v>32088</v>
      </c>
      <c r="N290" s="6">
        <v>41326</v>
      </c>
      <c r="O290" s="6">
        <v>93056</v>
      </c>
      <c r="P290" s="6">
        <v>192466</v>
      </c>
      <c r="Q290" s="6">
        <v>83432</v>
      </c>
      <c r="R290" s="6">
        <v>94346</v>
      </c>
      <c r="S290" s="6">
        <v>0</v>
      </c>
      <c r="T290" s="6">
        <v>0</v>
      </c>
      <c r="U290" s="6">
        <v>7558</v>
      </c>
      <c r="V290" s="6">
        <v>-1511</v>
      </c>
      <c r="W290" s="6">
        <v>130500</v>
      </c>
      <c r="X290" s="6">
        <v>27789</v>
      </c>
      <c r="Y290" s="6"/>
      <c r="Z290" s="6"/>
      <c r="AA290" s="6"/>
      <c r="AB290" s="6">
        <v>1325</v>
      </c>
      <c r="AC290" s="6">
        <v>2145</v>
      </c>
      <c r="AD290" s="6">
        <v>36000</v>
      </c>
      <c r="AE290" s="6">
        <v>24475</v>
      </c>
      <c r="AF290" s="6">
        <v>9564</v>
      </c>
    </row>
    <row r="291" spans="1:32" x14ac:dyDescent="0.35">
      <c r="A291" s="1">
        <v>39582</v>
      </c>
      <c r="B291" s="6">
        <v>880175</v>
      </c>
      <c r="C291" s="6">
        <v>11037</v>
      </c>
      <c r="D291" s="6">
        <v>2200</v>
      </c>
      <c r="E291" s="6">
        <v>1386</v>
      </c>
      <c r="F291" s="6">
        <v>774675</v>
      </c>
      <c r="G291" s="6">
        <v>515656</v>
      </c>
      <c r="H291" s="6">
        <v>515656</v>
      </c>
      <c r="I291" s="6">
        <v>49610</v>
      </c>
      <c r="J291" s="6">
        <v>421816</v>
      </c>
      <c r="K291" s="6">
        <v>39171</v>
      </c>
      <c r="L291" s="6">
        <v>5059</v>
      </c>
      <c r="M291" s="6">
        <v>30056</v>
      </c>
      <c r="N291" s="6">
        <v>33547</v>
      </c>
      <c r="O291" s="6">
        <v>86731</v>
      </c>
      <c r="P291" s="6">
        <v>187743</v>
      </c>
      <c r="Q291" s="6">
        <v>83199</v>
      </c>
      <c r="R291" s="6">
        <v>94380</v>
      </c>
      <c r="S291" s="6">
        <v>0</v>
      </c>
      <c r="T291" s="6">
        <v>0</v>
      </c>
      <c r="U291" s="6">
        <v>7533</v>
      </c>
      <c r="V291" s="6">
        <v>-1419</v>
      </c>
      <c r="W291" s="6">
        <v>100000</v>
      </c>
      <c r="X291" s="6">
        <v>27905</v>
      </c>
      <c r="Y291" s="6"/>
      <c r="Z291" s="6"/>
      <c r="AA291" s="6"/>
      <c r="AB291" s="6">
        <v>2282</v>
      </c>
      <c r="AC291" s="6">
        <v>2147</v>
      </c>
      <c r="AD291" s="6">
        <v>52000</v>
      </c>
      <c r="AE291" s="6">
        <v>24584</v>
      </c>
      <c r="AF291" s="6">
        <v>9865</v>
      </c>
    </row>
    <row r="292" spans="1:32" x14ac:dyDescent="0.35">
      <c r="A292" s="1">
        <v>39589</v>
      </c>
      <c r="B292" s="6">
        <v>898487</v>
      </c>
      <c r="C292" s="6">
        <v>11037</v>
      </c>
      <c r="D292" s="6">
        <v>2200</v>
      </c>
      <c r="E292" s="6">
        <v>1345</v>
      </c>
      <c r="F292" s="6">
        <v>796715</v>
      </c>
      <c r="G292" s="6">
        <v>502863</v>
      </c>
      <c r="H292" s="6">
        <v>502863</v>
      </c>
      <c r="I292" s="6">
        <v>41155</v>
      </c>
      <c r="J292" s="6">
        <v>417391</v>
      </c>
      <c r="K292" s="6">
        <v>39171</v>
      </c>
      <c r="L292" s="6">
        <v>5146</v>
      </c>
      <c r="M292" s="6">
        <v>16613</v>
      </c>
      <c r="N292" s="6">
        <v>36535</v>
      </c>
      <c r="O292" s="6">
        <v>87041</v>
      </c>
      <c r="P292" s="6">
        <v>176232</v>
      </c>
      <c r="Q292" s="6">
        <v>90046</v>
      </c>
      <c r="R292" s="6">
        <v>96396</v>
      </c>
      <c r="S292" s="6">
        <v>0</v>
      </c>
      <c r="T292" s="6">
        <v>0</v>
      </c>
      <c r="U292" s="6">
        <v>7512</v>
      </c>
      <c r="V292" s="6">
        <v>-1530</v>
      </c>
      <c r="W292" s="6">
        <v>134000</v>
      </c>
      <c r="X292" s="6">
        <v>28871</v>
      </c>
      <c r="Y292" s="6"/>
      <c r="Z292" s="6"/>
      <c r="AA292" s="6"/>
      <c r="AB292" s="6">
        <v>883</v>
      </c>
      <c r="AC292" s="6">
        <v>2151</v>
      </c>
      <c r="AD292" s="6">
        <v>52000</v>
      </c>
      <c r="AE292" s="6">
        <v>25090</v>
      </c>
      <c r="AF292" s="6">
        <v>7066</v>
      </c>
    </row>
    <row r="293" spans="1:32" x14ac:dyDescent="0.35">
      <c r="A293" s="1">
        <v>39596</v>
      </c>
      <c r="B293" s="6">
        <v>904054</v>
      </c>
      <c r="C293" s="6">
        <v>11037</v>
      </c>
      <c r="D293" s="6">
        <v>2200</v>
      </c>
      <c r="E293" s="6">
        <v>1318</v>
      </c>
      <c r="F293" s="6">
        <v>791288</v>
      </c>
      <c r="G293" s="6">
        <v>491091</v>
      </c>
      <c r="H293" s="6">
        <v>491091</v>
      </c>
      <c r="I293" s="6">
        <v>34296</v>
      </c>
      <c r="J293" s="6">
        <v>412392</v>
      </c>
      <c r="K293" s="6">
        <v>39171</v>
      </c>
      <c r="L293" s="6">
        <v>5232</v>
      </c>
      <c r="M293" s="6">
        <v>13857</v>
      </c>
      <c r="N293" s="6">
        <v>35040</v>
      </c>
      <c r="O293" s="6">
        <v>84440</v>
      </c>
      <c r="P293" s="6">
        <v>171260</v>
      </c>
      <c r="Q293" s="6">
        <v>90065</v>
      </c>
      <c r="R293" s="6">
        <v>96430</v>
      </c>
      <c r="S293" s="6">
        <v>0</v>
      </c>
      <c r="T293" s="6">
        <v>0</v>
      </c>
      <c r="U293" s="6">
        <v>7473</v>
      </c>
      <c r="V293" s="6">
        <v>-1497</v>
      </c>
      <c r="W293" s="6">
        <v>115000</v>
      </c>
      <c r="X293" s="6">
        <v>29222</v>
      </c>
      <c r="Y293" s="6"/>
      <c r="Z293" s="6"/>
      <c r="AA293" s="6"/>
      <c r="AB293" s="6">
        <v>1902</v>
      </c>
      <c r="AC293" s="6">
        <v>2152</v>
      </c>
      <c r="AD293" s="6">
        <v>62000</v>
      </c>
      <c r="AE293" s="6">
        <v>24819</v>
      </c>
      <c r="AF293" s="6">
        <v>7339</v>
      </c>
    </row>
    <row r="294" spans="1:32" x14ac:dyDescent="0.35">
      <c r="A294" s="1">
        <v>39603</v>
      </c>
      <c r="B294" s="6">
        <v>895939</v>
      </c>
      <c r="C294" s="6">
        <v>11037</v>
      </c>
      <c r="D294" s="6">
        <v>2200</v>
      </c>
      <c r="E294" s="6">
        <v>1325</v>
      </c>
      <c r="F294" s="6">
        <v>783455</v>
      </c>
      <c r="G294" s="6">
        <v>486937</v>
      </c>
      <c r="H294" s="6">
        <v>486937</v>
      </c>
      <c r="I294" s="6">
        <v>30069</v>
      </c>
      <c r="J294" s="6">
        <v>412392</v>
      </c>
      <c r="K294" s="6">
        <v>39171</v>
      </c>
      <c r="L294" s="6">
        <v>5305</v>
      </c>
      <c r="M294" s="6">
        <v>6819</v>
      </c>
      <c r="N294" s="6">
        <v>40378</v>
      </c>
      <c r="O294" s="6">
        <v>81468</v>
      </c>
      <c r="P294" s="6">
        <v>171731</v>
      </c>
      <c r="Q294" s="6">
        <v>90080</v>
      </c>
      <c r="R294" s="6">
        <v>96459</v>
      </c>
      <c r="S294" s="6">
        <v>0</v>
      </c>
      <c r="T294" s="6">
        <v>0</v>
      </c>
      <c r="U294" s="6">
        <v>7452</v>
      </c>
      <c r="V294" s="6">
        <v>-1476</v>
      </c>
      <c r="W294" s="6">
        <v>119750</v>
      </c>
      <c r="X294" s="6">
        <v>20793</v>
      </c>
      <c r="Y294" s="6"/>
      <c r="Z294" s="6"/>
      <c r="AA294" s="6"/>
      <c r="AB294" s="6">
        <v>1859</v>
      </c>
      <c r="AC294" s="6">
        <v>2152</v>
      </c>
      <c r="AD294" s="6">
        <v>62000</v>
      </c>
      <c r="AE294" s="6">
        <v>24657</v>
      </c>
      <c r="AF294" s="6">
        <v>7255</v>
      </c>
    </row>
    <row r="295" spans="1:32" x14ac:dyDescent="0.35">
      <c r="A295" s="1">
        <v>39610</v>
      </c>
      <c r="B295" s="6">
        <v>890610</v>
      </c>
      <c r="C295" s="6">
        <v>11037</v>
      </c>
      <c r="D295" s="6">
        <v>2200</v>
      </c>
      <c r="E295" s="6">
        <v>1339</v>
      </c>
      <c r="F295" s="6">
        <v>778338</v>
      </c>
      <c r="G295" s="6">
        <v>482073</v>
      </c>
      <c r="H295" s="6">
        <v>482073</v>
      </c>
      <c r="I295" s="6">
        <v>25143</v>
      </c>
      <c r="J295" s="6">
        <v>412392</v>
      </c>
      <c r="K295" s="6">
        <v>39171</v>
      </c>
      <c r="L295" s="6">
        <v>5368</v>
      </c>
      <c r="M295" s="6">
        <v>3403</v>
      </c>
      <c r="N295" s="6">
        <v>41236</v>
      </c>
      <c r="O295" s="6">
        <v>79105</v>
      </c>
      <c r="P295" s="6">
        <v>171751</v>
      </c>
      <c r="Q295" s="6">
        <v>90094</v>
      </c>
      <c r="R295" s="6">
        <v>96485</v>
      </c>
      <c r="S295" s="6">
        <v>0</v>
      </c>
      <c r="T295" s="6">
        <v>0</v>
      </c>
      <c r="U295" s="6">
        <v>7431</v>
      </c>
      <c r="V295" s="6">
        <v>-1454</v>
      </c>
      <c r="W295" s="6">
        <v>118250</v>
      </c>
      <c r="X295" s="6">
        <v>22037</v>
      </c>
      <c r="Y295" s="6"/>
      <c r="Z295" s="6"/>
      <c r="AA295" s="6"/>
      <c r="AB295" s="6">
        <v>1136</v>
      </c>
      <c r="AC295" s="6">
        <v>2149</v>
      </c>
      <c r="AD295" s="6">
        <v>62000</v>
      </c>
      <c r="AE295" s="6">
        <v>24599</v>
      </c>
      <c r="AF295" s="6">
        <v>7812</v>
      </c>
    </row>
    <row r="296" spans="1:32" x14ac:dyDescent="0.35">
      <c r="A296" s="1">
        <v>39617</v>
      </c>
      <c r="B296" s="6">
        <v>902304</v>
      </c>
      <c r="C296" s="6">
        <v>11037</v>
      </c>
      <c r="D296" s="6">
        <v>2200</v>
      </c>
      <c r="E296" s="6">
        <v>1329</v>
      </c>
      <c r="F296" s="6">
        <v>790094</v>
      </c>
      <c r="G296" s="6">
        <v>478734</v>
      </c>
      <c r="H296" s="6">
        <v>478734</v>
      </c>
      <c r="I296" s="6">
        <v>21740</v>
      </c>
      <c r="J296" s="6">
        <v>412392</v>
      </c>
      <c r="K296" s="6">
        <v>39171</v>
      </c>
      <c r="L296" s="6">
        <v>5431</v>
      </c>
      <c r="M296" s="6">
        <v>5361</v>
      </c>
      <c r="N296" s="6">
        <v>39695</v>
      </c>
      <c r="O296" s="6">
        <v>75977</v>
      </c>
      <c r="P296" s="6">
        <v>171083</v>
      </c>
      <c r="Q296" s="6">
        <v>90108</v>
      </c>
      <c r="R296" s="6">
        <v>96510</v>
      </c>
      <c r="S296" s="6">
        <v>0</v>
      </c>
      <c r="T296" s="6">
        <v>0</v>
      </c>
      <c r="U296" s="6">
        <v>7410</v>
      </c>
      <c r="V296" s="6">
        <v>-1439</v>
      </c>
      <c r="W296" s="6">
        <v>133500</v>
      </c>
      <c r="X296" s="6">
        <v>21889</v>
      </c>
      <c r="Y296" s="6"/>
      <c r="Z296" s="6"/>
      <c r="AA296" s="6"/>
      <c r="AB296" s="6">
        <v>1021</v>
      </c>
      <c r="AC296" s="6">
        <v>2154</v>
      </c>
      <c r="AD296" s="6">
        <v>62000</v>
      </c>
      <c r="AE296" s="6">
        <v>24472</v>
      </c>
      <c r="AF296" s="6">
        <v>7998</v>
      </c>
    </row>
    <row r="297" spans="1:32" x14ac:dyDescent="0.35">
      <c r="A297" s="1">
        <v>39624</v>
      </c>
      <c r="B297" s="6">
        <v>892713</v>
      </c>
      <c r="C297" s="6">
        <v>11037</v>
      </c>
      <c r="D297" s="6">
        <v>2200</v>
      </c>
      <c r="E297" s="6">
        <v>1333</v>
      </c>
      <c r="F297" s="6">
        <v>779914</v>
      </c>
      <c r="G297" s="6">
        <v>478796</v>
      </c>
      <c r="H297" s="6">
        <v>478796</v>
      </c>
      <c r="I297" s="6">
        <v>21740</v>
      </c>
      <c r="J297" s="6">
        <v>412392</v>
      </c>
      <c r="K297" s="6">
        <v>39171</v>
      </c>
      <c r="L297" s="6">
        <v>5494</v>
      </c>
      <c r="M297" s="6">
        <v>5855</v>
      </c>
      <c r="N297" s="6">
        <v>39201</v>
      </c>
      <c r="O297" s="6">
        <v>75981</v>
      </c>
      <c r="P297" s="6">
        <v>171103</v>
      </c>
      <c r="Q297" s="6">
        <v>90121</v>
      </c>
      <c r="R297" s="6">
        <v>96535</v>
      </c>
      <c r="S297" s="6">
        <v>0</v>
      </c>
      <c r="T297" s="6">
        <v>0</v>
      </c>
      <c r="U297" s="6">
        <v>7389</v>
      </c>
      <c r="V297" s="6">
        <v>-1424</v>
      </c>
      <c r="W297" s="6">
        <v>129750</v>
      </c>
      <c r="X297" s="6">
        <v>15402</v>
      </c>
      <c r="Y297" s="6"/>
      <c r="Z297" s="6"/>
      <c r="AA297" s="6"/>
      <c r="AB297" s="6">
        <v>1213</v>
      </c>
      <c r="AC297" s="6">
        <v>2154</v>
      </c>
      <c r="AD297" s="6">
        <v>62000</v>
      </c>
      <c r="AE297" s="6">
        <v>24510</v>
      </c>
      <c r="AF297" s="6">
        <v>8351</v>
      </c>
    </row>
    <row r="298" spans="1:32" x14ac:dyDescent="0.35">
      <c r="A298" s="1">
        <v>39631</v>
      </c>
      <c r="B298" s="6">
        <v>902962</v>
      </c>
      <c r="C298" s="6">
        <v>11037</v>
      </c>
      <c r="D298" s="6">
        <v>2200</v>
      </c>
      <c r="E298" s="6">
        <v>1317</v>
      </c>
      <c r="F298" s="6">
        <v>760735</v>
      </c>
      <c r="G298" s="6">
        <v>478866</v>
      </c>
      <c r="H298" s="6">
        <v>478866</v>
      </c>
      <c r="I298" s="6">
        <v>21740</v>
      </c>
      <c r="J298" s="6">
        <v>412392</v>
      </c>
      <c r="K298" s="6">
        <v>39171</v>
      </c>
      <c r="L298" s="6">
        <v>5563</v>
      </c>
      <c r="M298" s="6">
        <v>3409</v>
      </c>
      <c r="N298" s="6">
        <v>41661</v>
      </c>
      <c r="O298" s="6">
        <v>73632</v>
      </c>
      <c r="P298" s="6">
        <v>173465</v>
      </c>
      <c r="Q298" s="6">
        <v>90136</v>
      </c>
      <c r="R298" s="6">
        <v>96563</v>
      </c>
      <c r="S298" s="6">
        <v>0</v>
      </c>
      <c r="T298" s="6">
        <v>0</v>
      </c>
      <c r="U298" s="6">
        <v>7368</v>
      </c>
      <c r="V298" s="6">
        <v>-1419</v>
      </c>
      <c r="W298" s="6">
        <v>113000</v>
      </c>
      <c r="X298" s="6">
        <v>12920</v>
      </c>
      <c r="Y298" s="6"/>
      <c r="Z298" s="6"/>
      <c r="AA298" s="6"/>
      <c r="AB298" s="6">
        <v>1234</v>
      </c>
      <c r="AC298" s="6">
        <v>2154</v>
      </c>
      <c r="AD298" s="6">
        <v>62000</v>
      </c>
      <c r="AE298" s="6">
        <v>25053</v>
      </c>
      <c r="AF298" s="6">
        <v>8340</v>
      </c>
    </row>
    <row r="299" spans="1:32" x14ac:dyDescent="0.35">
      <c r="A299" s="1">
        <v>39638</v>
      </c>
      <c r="B299" s="6">
        <v>898034</v>
      </c>
      <c r="C299" s="6">
        <v>11037</v>
      </c>
      <c r="D299" s="6">
        <v>2200</v>
      </c>
      <c r="E299" s="6">
        <v>1299</v>
      </c>
      <c r="F299" s="6">
        <v>755226</v>
      </c>
      <c r="G299" s="6">
        <v>478951</v>
      </c>
      <c r="H299" s="6">
        <v>478951</v>
      </c>
      <c r="I299" s="6">
        <v>21740</v>
      </c>
      <c r="J299" s="6">
        <v>412392</v>
      </c>
      <c r="K299" s="6">
        <v>39171</v>
      </c>
      <c r="L299" s="6">
        <v>5648</v>
      </c>
      <c r="M299" s="6">
        <v>4819</v>
      </c>
      <c r="N299" s="6">
        <v>40250</v>
      </c>
      <c r="O299" s="6">
        <v>73638</v>
      </c>
      <c r="P299" s="6">
        <v>173492</v>
      </c>
      <c r="Q299" s="6">
        <v>90155</v>
      </c>
      <c r="R299" s="6">
        <v>96597</v>
      </c>
      <c r="S299" s="6">
        <v>0</v>
      </c>
      <c r="T299" s="6">
        <v>0</v>
      </c>
      <c r="U299" s="6">
        <v>7347</v>
      </c>
      <c r="V299" s="6">
        <v>-1404</v>
      </c>
      <c r="W299" s="6">
        <v>107000</v>
      </c>
      <c r="X299" s="6">
        <v>13332</v>
      </c>
      <c r="Y299" s="6"/>
      <c r="Z299" s="6"/>
      <c r="AA299" s="6"/>
      <c r="AB299" s="6">
        <v>1668</v>
      </c>
      <c r="AC299" s="6">
        <v>2154</v>
      </c>
      <c r="AD299" s="6">
        <v>62000</v>
      </c>
      <c r="AE299" s="6">
        <v>24809</v>
      </c>
      <c r="AF299" s="6">
        <v>8696</v>
      </c>
    </row>
    <row r="300" spans="1:32" x14ac:dyDescent="0.35">
      <c r="A300" s="1">
        <v>39645</v>
      </c>
      <c r="B300" s="6">
        <v>910681</v>
      </c>
      <c r="C300" s="6">
        <v>11037</v>
      </c>
      <c r="D300" s="6">
        <v>2200</v>
      </c>
      <c r="E300" s="6">
        <v>1311</v>
      </c>
      <c r="F300" s="6">
        <v>767913</v>
      </c>
      <c r="G300" s="6">
        <v>479036</v>
      </c>
      <c r="H300" s="6">
        <v>479036</v>
      </c>
      <c r="I300" s="6">
        <v>21740</v>
      </c>
      <c r="J300" s="6">
        <v>412392</v>
      </c>
      <c r="K300" s="6">
        <v>39171</v>
      </c>
      <c r="L300" s="6">
        <v>5733</v>
      </c>
      <c r="M300" s="6">
        <v>13215</v>
      </c>
      <c r="N300" s="6">
        <v>31854</v>
      </c>
      <c r="O300" s="6">
        <v>74878</v>
      </c>
      <c r="P300" s="6">
        <v>172629</v>
      </c>
      <c r="Q300" s="6">
        <v>89829</v>
      </c>
      <c r="R300" s="6">
        <v>96631</v>
      </c>
      <c r="S300" s="6">
        <v>0</v>
      </c>
      <c r="T300" s="6">
        <v>0</v>
      </c>
      <c r="U300" s="6">
        <v>7326</v>
      </c>
      <c r="V300" s="6">
        <v>-1390</v>
      </c>
      <c r="W300" s="6">
        <v>116750</v>
      </c>
      <c r="X300" s="6">
        <v>16192</v>
      </c>
      <c r="Y300" s="6"/>
      <c r="Z300" s="6"/>
      <c r="AA300" s="6"/>
      <c r="AB300" s="6">
        <v>1067</v>
      </c>
      <c r="AC300" s="6">
        <v>2157</v>
      </c>
      <c r="AD300" s="6">
        <v>62000</v>
      </c>
      <c r="AE300" s="6">
        <v>25166</v>
      </c>
      <c r="AF300" s="6">
        <v>8811</v>
      </c>
    </row>
    <row r="301" spans="1:32" x14ac:dyDescent="0.35">
      <c r="A301" s="1">
        <v>39652</v>
      </c>
      <c r="B301" s="6">
        <v>899665</v>
      </c>
      <c r="C301" s="6">
        <v>11037</v>
      </c>
      <c r="D301" s="6">
        <v>2200</v>
      </c>
      <c r="E301" s="6">
        <v>1334</v>
      </c>
      <c r="F301" s="6">
        <v>756627</v>
      </c>
      <c r="G301" s="6">
        <v>479121</v>
      </c>
      <c r="H301" s="6">
        <v>479121</v>
      </c>
      <c r="I301" s="6">
        <v>21740</v>
      </c>
      <c r="J301" s="6">
        <v>412392</v>
      </c>
      <c r="K301" s="6">
        <v>39171</v>
      </c>
      <c r="L301" s="6">
        <v>5818</v>
      </c>
      <c r="M301" s="6">
        <v>12024</v>
      </c>
      <c r="N301" s="6">
        <v>36437</v>
      </c>
      <c r="O301" s="6">
        <v>71492</v>
      </c>
      <c r="P301" s="6">
        <v>172656</v>
      </c>
      <c r="Q301" s="6">
        <v>89847</v>
      </c>
      <c r="R301" s="6">
        <v>96665</v>
      </c>
      <c r="S301" s="6">
        <v>0</v>
      </c>
      <c r="T301" s="6">
        <v>0</v>
      </c>
      <c r="U301" s="6">
        <v>7306</v>
      </c>
      <c r="V301" s="6">
        <v>-1379</v>
      </c>
      <c r="W301" s="6">
        <v>103750</v>
      </c>
      <c r="X301" s="6">
        <v>17830</v>
      </c>
      <c r="Y301" s="6"/>
      <c r="Z301" s="6"/>
      <c r="AA301" s="6"/>
      <c r="AB301" s="6">
        <v>1431</v>
      </c>
      <c r="AC301" s="6">
        <v>2158</v>
      </c>
      <c r="AD301" s="6">
        <v>62000</v>
      </c>
      <c r="AE301" s="6">
        <v>24753</v>
      </c>
      <c r="AF301" s="6">
        <v>9066</v>
      </c>
    </row>
    <row r="302" spans="1:32" x14ac:dyDescent="0.35">
      <c r="A302" s="1">
        <v>39659</v>
      </c>
      <c r="B302" s="6">
        <v>918625</v>
      </c>
      <c r="C302" s="6">
        <v>11037</v>
      </c>
      <c r="D302" s="6">
        <v>2200</v>
      </c>
      <c r="E302" s="6">
        <v>1386</v>
      </c>
      <c r="F302" s="6">
        <v>775751</v>
      </c>
      <c r="G302" s="6">
        <v>479206</v>
      </c>
      <c r="H302" s="6">
        <v>479206</v>
      </c>
      <c r="I302" s="6">
        <v>21740</v>
      </c>
      <c r="J302" s="6">
        <v>412392</v>
      </c>
      <c r="K302" s="6">
        <v>39171</v>
      </c>
      <c r="L302" s="6">
        <v>5903</v>
      </c>
      <c r="M302" s="6">
        <v>14547</v>
      </c>
      <c r="N302" s="6">
        <v>35967</v>
      </c>
      <c r="O302" s="6">
        <v>69445</v>
      </c>
      <c r="P302" s="6">
        <v>172683</v>
      </c>
      <c r="Q302" s="6">
        <v>89865</v>
      </c>
      <c r="R302" s="6">
        <v>96699</v>
      </c>
      <c r="S302" s="6">
        <v>0</v>
      </c>
      <c r="T302" s="6">
        <v>0</v>
      </c>
      <c r="U302" s="6">
        <v>7285</v>
      </c>
      <c r="V302" s="6">
        <v>-1367</v>
      </c>
      <c r="W302" s="6">
        <v>123250</v>
      </c>
      <c r="X302" s="6">
        <v>17377</v>
      </c>
      <c r="Y302" s="6"/>
      <c r="Z302" s="6"/>
      <c r="AA302" s="6"/>
      <c r="AB302" s="6">
        <v>805</v>
      </c>
      <c r="AC302" s="6">
        <v>2161</v>
      </c>
      <c r="AD302" s="6">
        <v>62000</v>
      </c>
      <c r="AE302" s="6">
        <v>24603</v>
      </c>
      <c r="AF302" s="6">
        <v>9583</v>
      </c>
    </row>
    <row r="303" spans="1:32" x14ac:dyDescent="0.35">
      <c r="A303" s="1">
        <v>39666</v>
      </c>
      <c r="B303" s="6">
        <v>901710</v>
      </c>
      <c r="C303" s="6">
        <v>11037</v>
      </c>
      <c r="D303" s="6">
        <v>2200</v>
      </c>
      <c r="E303" s="6">
        <v>1379</v>
      </c>
      <c r="F303" s="6">
        <v>757430</v>
      </c>
      <c r="G303" s="6">
        <v>479330</v>
      </c>
      <c r="H303" s="6">
        <v>479330</v>
      </c>
      <c r="I303" s="6">
        <v>21740</v>
      </c>
      <c r="J303" s="6">
        <v>411731</v>
      </c>
      <c r="K303" s="6">
        <v>39832</v>
      </c>
      <c r="L303" s="6">
        <v>6027</v>
      </c>
      <c r="M303" s="6">
        <v>19040</v>
      </c>
      <c r="N303" s="6">
        <v>27921</v>
      </c>
      <c r="O303" s="6">
        <v>69497</v>
      </c>
      <c r="P303" s="6">
        <v>175563</v>
      </c>
      <c r="Q303" s="6">
        <v>89886</v>
      </c>
      <c r="R303" s="6">
        <v>97424</v>
      </c>
      <c r="S303" s="6">
        <v>0</v>
      </c>
      <c r="T303" s="6">
        <v>0</v>
      </c>
      <c r="U303" s="6">
        <v>7264</v>
      </c>
      <c r="V303" s="6">
        <v>-1418</v>
      </c>
      <c r="W303" s="6">
        <v>104750</v>
      </c>
      <c r="X303" s="6">
        <v>17504</v>
      </c>
      <c r="Y303" s="6"/>
      <c r="Z303" s="6"/>
      <c r="AA303" s="6"/>
      <c r="AB303" s="6">
        <v>2514</v>
      </c>
      <c r="AC303" s="6">
        <v>2160</v>
      </c>
      <c r="AD303" s="6">
        <v>62000</v>
      </c>
      <c r="AE303" s="6">
        <v>24339</v>
      </c>
      <c r="AF303" s="6">
        <v>9513</v>
      </c>
    </row>
    <row r="304" spans="1:32" x14ac:dyDescent="0.35">
      <c r="A304" s="1">
        <v>39673</v>
      </c>
      <c r="B304" s="6">
        <v>914632</v>
      </c>
      <c r="C304" s="6">
        <v>11037</v>
      </c>
      <c r="D304" s="6">
        <v>2200</v>
      </c>
      <c r="E304" s="6">
        <v>1378</v>
      </c>
      <c r="F304" s="6">
        <v>771171</v>
      </c>
      <c r="G304" s="6">
        <v>479434</v>
      </c>
      <c r="H304" s="6">
        <v>479434</v>
      </c>
      <c r="I304" s="6">
        <v>21740</v>
      </c>
      <c r="J304" s="6">
        <v>411731</v>
      </c>
      <c r="K304" s="6">
        <v>39832</v>
      </c>
      <c r="L304" s="6">
        <v>6131</v>
      </c>
      <c r="M304" s="6">
        <v>21201</v>
      </c>
      <c r="N304" s="6">
        <v>25759</v>
      </c>
      <c r="O304" s="6">
        <v>69504</v>
      </c>
      <c r="P304" s="6">
        <v>175596</v>
      </c>
      <c r="Q304" s="6">
        <v>89907</v>
      </c>
      <c r="R304" s="6">
        <v>97467</v>
      </c>
      <c r="S304" s="6">
        <v>0</v>
      </c>
      <c r="T304" s="6">
        <v>0</v>
      </c>
      <c r="U304" s="6">
        <v>7243</v>
      </c>
      <c r="V304" s="6">
        <v>-1406</v>
      </c>
      <c r="W304" s="6">
        <v>118250</v>
      </c>
      <c r="X304" s="6">
        <v>17651</v>
      </c>
      <c r="Y304" s="6"/>
      <c r="Z304" s="6"/>
      <c r="AA304" s="6"/>
      <c r="AB304" s="6">
        <v>1600</v>
      </c>
      <c r="AC304" s="6">
        <v>2162</v>
      </c>
      <c r="AD304" s="6">
        <v>62000</v>
      </c>
      <c r="AE304" s="6">
        <v>23916</v>
      </c>
      <c r="AF304" s="6">
        <v>9988</v>
      </c>
    </row>
    <row r="305" spans="1:32" x14ac:dyDescent="0.35">
      <c r="A305" s="1">
        <v>39680</v>
      </c>
      <c r="B305" s="6">
        <v>898611</v>
      </c>
      <c r="C305" s="6">
        <v>11037</v>
      </c>
      <c r="D305" s="6">
        <v>2200</v>
      </c>
      <c r="E305" s="6">
        <v>1402</v>
      </c>
      <c r="F305" s="6">
        <v>754575</v>
      </c>
      <c r="G305" s="6">
        <v>479538</v>
      </c>
      <c r="H305" s="6">
        <v>479538</v>
      </c>
      <c r="I305" s="6">
        <v>21740</v>
      </c>
      <c r="J305" s="6">
        <v>411731</v>
      </c>
      <c r="K305" s="6">
        <v>39832</v>
      </c>
      <c r="L305" s="6">
        <v>6235</v>
      </c>
      <c r="M305" s="6">
        <v>15488</v>
      </c>
      <c r="N305" s="6">
        <v>31182</v>
      </c>
      <c r="O305" s="6">
        <v>70313</v>
      </c>
      <c r="P305" s="6">
        <v>169506</v>
      </c>
      <c r="Q305" s="6">
        <v>91812</v>
      </c>
      <c r="R305" s="6">
        <v>101237</v>
      </c>
      <c r="S305" s="6">
        <v>0</v>
      </c>
      <c r="T305" s="6">
        <v>0</v>
      </c>
      <c r="U305" s="6">
        <v>7227</v>
      </c>
      <c r="V305" s="6">
        <v>-1502</v>
      </c>
      <c r="W305" s="6">
        <v>100750</v>
      </c>
      <c r="X305" s="6">
        <v>18563</v>
      </c>
      <c r="Y305" s="6"/>
      <c r="Z305" s="6"/>
      <c r="AA305" s="6"/>
      <c r="AB305" s="6">
        <v>938</v>
      </c>
      <c r="AC305" s="6">
        <v>2163</v>
      </c>
      <c r="AD305" s="6">
        <v>67000</v>
      </c>
      <c r="AE305" s="6">
        <v>23608</v>
      </c>
      <c r="AF305" s="6">
        <v>6481</v>
      </c>
    </row>
    <row r="306" spans="1:32" x14ac:dyDescent="0.35">
      <c r="A306" s="1">
        <v>39687</v>
      </c>
      <c r="B306" s="6">
        <v>909982</v>
      </c>
      <c r="C306" s="6">
        <v>11037</v>
      </c>
      <c r="D306" s="6">
        <v>2200</v>
      </c>
      <c r="E306" s="6">
        <v>1415</v>
      </c>
      <c r="F306" s="6">
        <v>765363</v>
      </c>
      <c r="G306" s="6">
        <v>479642</v>
      </c>
      <c r="H306" s="6">
        <v>479642</v>
      </c>
      <c r="I306" s="6">
        <v>21740</v>
      </c>
      <c r="J306" s="6">
        <v>411731</v>
      </c>
      <c r="K306" s="6">
        <v>39832</v>
      </c>
      <c r="L306" s="6">
        <v>6339</v>
      </c>
      <c r="M306" s="6">
        <v>18455</v>
      </c>
      <c r="N306" s="6">
        <v>28214</v>
      </c>
      <c r="O306" s="6">
        <v>70320</v>
      </c>
      <c r="P306" s="6">
        <v>169539</v>
      </c>
      <c r="Q306" s="6">
        <v>91834</v>
      </c>
      <c r="R306" s="6">
        <v>101280</v>
      </c>
      <c r="S306" s="6">
        <v>0</v>
      </c>
      <c r="T306" s="6">
        <v>0</v>
      </c>
      <c r="U306" s="6">
        <v>7212</v>
      </c>
      <c r="V306" s="6">
        <v>-1493</v>
      </c>
      <c r="W306" s="6">
        <v>111000</v>
      </c>
      <c r="X306" s="6">
        <v>19002</v>
      </c>
      <c r="Y306" s="6"/>
      <c r="Z306" s="6"/>
      <c r="AA306" s="6"/>
      <c r="AB306" s="6">
        <v>926</v>
      </c>
      <c r="AC306" s="6">
        <v>2166</v>
      </c>
      <c r="AD306" s="6">
        <v>67000</v>
      </c>
      <c r="AE306" s="6">
        <v>23656</v>
      </c>
      <c r="AF306" s="6">
        <v>6973</v>
      </c>
    </row>
    <row r="307" spans="1:32" x14ac:dyDescent="0.35">
      <c r="A307" s="1">
        <v>39694</v>
      </c>
      <c r="B307" s="6">
        <v>905253</v>
      </c>
      <c r="C307" s="6">
        <v>11037</v>
      </c>
      <c r="D307" s="6">
        <v>2200</v>
      </c>
      <c r="E307" s="6">
        <v>1414</v>
      </c>
      <c r="F307" s="6">
        <v>763527</v>
      </c>
      <c r="G307" s="6">
        <v>479726</v>
      </c>
      <c r="H307" s="6">
        <v>479726</v>
      </c>
      <c r="I307" s="6">
        <v>21740</v>
      </c>
      <c r="J307" s="6">
        <v>411731</v>
      </c>
      <c r="K307" s="6">
        <v>39832</v>
      </c>
      <c r="L307" s="6">
        <v>6423</v>
      </c>
      <c r="M307" s="6">
        <v>14851</v>
      </c>
      <c r="N307" s="6">
        <v>31653</v>
      </c>
      <c r="O307" s="6">
        <v>69268</v>
      </c>
      <c r="P307" s="6">
        <v>170789</v>
      </c>
      <c r="Q307" s="6">
        <v>91851</v>
      </c>
      <c r="R307" s="6">
        <v>101314</v>
      </c>
      <c r="S307" s="6">
        <v>0</v>
      </c>
      <c r="T307" s="6">
        <v>0</v>
      </c>
      <c r="U307" s="6">
        <v>7197</v>
      </c>
      <c r="V307" s="6">
        <v>-1485</v>
      </c>
      <c r="W307" s="6">
        <v>109000</v>
      </c>
      <c r="X307" s="6">
        <v>19089</v>
      </c>
      <c r="Y307" s="6"/>
      <c r="Z307" s="6"/>
      <c r="AA307" s="6"/>
      <c r="AB307" s="6">
        <v>3366</v>
      </c>
      <c r="AC307" s="6">
        <v>2162</v>
      </c>
      <c r="AD307" s="6">
        <v>62000</v>
      </c>
      <c r="AE307" s="6">
        <v>23568</v>
      </c>
      <c r="AF307" s="6">
        <v>6692</v>
      </c>
    </row>
    <row r="308" spans="1:32" x14ac:dyDescent="0.35">
      <c r="A308" s="1">
        <v>39701</v>
      </c>
      <c r="B308" s="6">
        <v>925725</v>
      </c>
      <c r="C308" s="6">
        <v>11037</v>
      </c>
      <c r="D308" s="6">
        <v>2200</v>
      </c>
      <c r="E308" s="6">
        <v>1445</v>
      </c>
      <c r="F308" s="6">
        <v>785795</v>
      </c>
      <c r="G308" s="6">
        <v>479782</v>
      </c>
      <c r="H308" s="6">
        <v>479782</v>
      </c>
      <c r="I308" s="6">
        <v>21740</v>
      </c>
      <c r="J308" s="6">
        <v>411731</v>
      </c>
      <c r="K308" s="6">
        <v>39832</v>
      </c>
      <c r="L308" s="6">
        <v>6480</v>
      </c>
      <c r="M308" s="6">
        <v>14955</v>
      </c>
      <c r="N308" s="6">
        <v>31549</v>
      </c>
      <c r="O308" s="6">
        <v>69272</v>
      </c>
      <c r="P308" s="6">
        <v>170807</v>
      </c>
      <c r="Q308" s="6">
        <v>91863</v>
      </c>
      <c r="R308" s="6">
        <v>101337</v>
      </c>
      <c r="S308" s="6">
        <v>0</v>
      </c>
      <c r="T308" s="6">
        <v>0</v>
      </c>
      <c r="U308" s="6">
        <v>7182</v>
      </c>
      <c r="V308" s="6">
        <v>-1476</v>
      </c>
      <c r="W308" s="6">
        <v>126750</v>
      </c>
      <c r="X308" s="6">
        <v>23556</v>
      </c>
      <c r="Y308" s="6"/>
      <c r="Z308" s="6"/>
      <c r="AA308" s="6"/>
      <c r="AB308" s="6">
        <v>1432</v>
      </c>
      <c r="AC308" s="6">
        <v>2165</v>
      </c>
      <c r="AD308" s="6">
        <v>62000</v>
      </c>
      <c r="AE308" s="6">
        <v>23162</v>
      </c>
      <c r="AF308" s="6">
        <v>7163</v>
      </c>
    </row>
    <row r="309" spans="1:32" x14ac:dyDescent="0.35">
      <c r="A309" s="1">
        <v>39708</v>
      </c>
      <c r="B309" s="6">
        <v>995093</v>
      </c>
      <c r="C309" s="6">
        <v>11037</v>
      </c>
      <c r="D309" s="6">
        <v>2200</v>
      </c>
      <c r="E309" s="6">
        <v>1468</v>
      </c>
      <c r="F309" s="6">
        <v>854875</v>
      </c>
      <c r="G309" s="6">
        <v>479839</v>
      </c>
      <c r="H309" s="6">
        <v>479839</v>
      </c>
      <c r="I309" s="6">
        <v>21740</v>
      </c>
      <c r="J309" s="6">
        <v>411731</v>
      </c>
      <c r="K309" s="6">
        <v>39832</v>
      </c>
      <c r="L309" s="6">
        <v>6536</v>
      </c>
      <c r="M309" s="6">
        <v>16358</v>
      </c>
      <c r="N309" s="6">
        <v>30001</v>
      </c>
      <c r="O309" s="6">
        <v>68101</v>
      </c>
      <c r="P309" s="6">
        <v>170676</v>
      </c>
      <c r="Q309" s="6">
        <v>93341</v>
      </c>
      <c r="R309" s="6">
        <v>101361</v>
      </c>
      <c r="S309" s="6">
        <v>0</v>
      </c>
      <c r="T309" s="6">
        <v>0</v>
      </c>
      <c r="U309" s="6">
        <v>7174</v>
      </c>
      <c r="V309" s="6">
        <v>-1432</v>
      </c>
      <c r="W309" s="6">
        <v>98000</v>
      </c>
      <c r="X309" s="6">
        <v>121294</v>
      </c>
      <c r="Y309" s="6"/>
      <c r="Z309" s="6"/>
      <c r="AA309" s="6"/>
      <c r="AB309" s="6">
        <v>908</v>
      </c>
      <c r="AC309" s="6">
        <v>2168</v>
      </c>
      <c r="AD309" s="6">
        <v>62000</v>
      </c>
      <c r="AE309" s="6">
        <v>23624</v>
      </c>
      <c r="AF309" s="6">
        <v>7447</v>
      </c>
    </row>
    <row r="310" spans="1:32" x14ac:dyDescent="0.35">
      <c r="A310" s="1">
        <v>39715</v>
      </c>
      <c r="B310" s="6">
        <v>1211825</v>
      </c>
      <c r="C310" s="6">
        <v>11037</v>
      </c>
      <c r="D310" s="6">
        <v>2200</v>
      </c>
      <c r="E310" s="6">
        <v>1494</v>
      </c>
      <c r="F310" s="6">
        <v>990581</v>
      </c>
      <c r="G310" s="6">
        <v>486578</v>
      </c>
      <c r="H310" s="6">
        <v>476578</v>
      </c>
      <c r="I310" s="6">
        <v>18423</v>
      </c>
      <c r="J310" s="6">
        <v>411731</v>
      </c>
      <c r="K310" s="6">
        <v>39832</v>
      </c>
      <c r="L310" s="6">
        <v>6593</v>
      </c>
      <c r="M310" s="6">
        <v>19326</v>
      </c>
      <c r="N310" s="6">
        <v>23716</v>
      </c>
      <c r="O310" s="6">
        <v>68105</v>
      </c>
      <c r="P310" s="6">
        <v>170694</v>
      </c>
      <c r="Q310" s="6">
        <v>93353</v>
      </c>
      <c r="R310" s="6">
        <v>101384</v>
      </c>
      <c r="S310" s="6">
        <v>10000</v>
      </c>
      <c r="T310" s="6">
        <v>0</v>
      </c>
      <c r="U310" s="6">
        <v>7159</v>
      </c>
      <c r="V310" s="6">
        <v>-1498</v>
      </c>
      <c r="W310" s="6">
        <v>86000</v>
      </c>
      <c r="X310" s="6">
        <v>262341</v>
      </c>
      <c r="Y310" s="6"/>
      <c r="Z310" s="6"/>
      <c r="AA310" s="6"/>
      <c r="AB310" s="6">
        <v>968</v>
      </c>
      <c r="AC310" s="6">
        <v>2169</v>
      </c>
      <c r="AD310" s="6">
        <v>141900</v>
      </c>
      <c r="AE310" s="6">
        <v>24004</v>
      </c>
      <c r="AF310" s="6">
        <v>8066</v>
      </c>
    </row>
    <row r="311" spans="1:32" x14ac:dyDescent="0.35">
      <c r="A311" s="1">
        <v>39722</v>
      </c>
      <c r="B311" s="6">
        <v>1503989</v>
      </c>
      <c r="C311" s="6">
        <v>11037</v>
      </c>
      <c r="D311" s="6">
        <v>2200</v>
      </c>
      <c r="E311" s="6">
        <v>1509</v>
      </c>
      <c r="F311" s="6">
        <v>1138260</v>
      </c>
      <c r="G311" s="6">
        <v>491121</v>
      </c>
      <c r="H311" s="6">
        <v>476621</v>
      </c>
      <c r="I311" s="6">
        <v>18423</v>
      </c>
      <c r="J311" s="6">
        <v>411731</v>
      </c>
      <c r="K311" s="6">
        <v>39832</v>
      </c>
      <c r="L311" s="6">
        <v>6635</v>
      </c>
      <c r="M311" s="6">
        <v>13459</v>
      </c>
      <c r="N311" s="6">
        <v>24209</v>
      </c>
      <c r="O311" s="6">
        <v>70092</v>
      </c>
      <c r="P311" s="6">
        <v>174098</v>
      </c>
      <c r="Q311" s="6">
        <v>93362</v>
      </c>
      <c r="R311" s="6">
        <v>101401</v>
      </c>
      <c r="S311" s="6">
        <v>14500</v>
      </c>
      <c r="T311" s="6">
        <v>0</v>
      </c>
      <c r="U311" s="6">
        <v>7144</v>
      </c>
      <c r="V311" s="6">
        <v>-1527</v>
      </c>
      <c r="W311" s="6">
        <v>83000</v>
      </c>
      <c r="X311" s="6">
        <v>409522</v>
      </c>
      <c r="Y311" s="6"/>
      <c r="Z311" s="6"/>
      <c r="AA311" s="6"/>
      <c r="AB311" s="6">
        <v>1279</v>
      </c>
      <c r="AC311" s="6">
        <v>2167</v>
      </c>
      <c r="AD311" s="6">
        <v>286432</v>
      </c>
      <c r="AE311" s="6">
        <v>23473</v>
      </c>
      <c r="AF311" s="6">
        <v>8185</v>
      </c>
    </row>
    <row r="312" spans="1:32" x14ac:dyDescent="0.35">
      <c r="A312" s="1">
        <v>39729</v>
      </c>
      <c r="B312" s="6">
        <v>1591587</v>
      </c>
      <c r="C312" s="6">
        <v>11037</v>
      </c>
      <c r="D312" s="6">
        <v>2200</v>
      </c>
      <c r="E312" s="6">
        <v>1522</v>
      </c>
      <c r="F312" s="6">
        <v>1176167</v>
      </c>
      <c r="G312" s="6">
        <v>490684</v>
      </c>
      <c r="H312" s="6">
        <v>476579</v>
      </c>
      <c r="I312" s="6">
        <v>18423</v>
      </c>
      <c r="J312" s="6">
        <v>411731</v>
      </c>
      <c r="K312" s="6">
        <v>39832</v>
      </c>
      <c r="L312" s="6">
        <v>6593</v>
      </c>
      <c r="M312" s="6">
        <v>15615</v>
      </c>
      <c r="N312" s="6">
        <v>26869</v>
      </c>
      <c r="O312" s="6">
        <v>65272</v>
      </c>
      <c r="P312" s="6">
        <v>174085</v>
      </c>
      <c r="Q312" s="6">
        <v>93353</v>
      </c>
      <c r="R312" s="6">
        <v>101384</v>
      </c>
      <c r="S312" s="6">
        <v>14105</v>
      </c>
      <c r="T312" s="6">
        <v>0</v>
      </c>
      <c r="U312" s="6">
        <v>7129</v>
      </c>
      <c r="V312" s="6">
        <v>-1512</v>
      </c>
      <c r="W312" s="6">
        <v>100000</v>
      </c>
      <c r="X312" s="6">
        <v>430866</v>
      </c>
      <c r="Y312" s="6"/>
      <c r="Z312" s="6"/>
      <c r="AA312" s="6"/>
      <c r="AB312" s="6">
        <v>1191</v>
      </c>
      <c r="AC312" s="6">
        <v>2170</v>
      </c>
      <c r="AD312" s="6">
        <v>335184</v>
      </c>
      <c r="AE312" s="6">
        <v>23758</v>
      </c>
      <c r="AF312" s="6">
        <v>8872</v>
      </c>
    </row>
    <row r="313" spans="1:32" x14ac:dyDescent="0.35">
      <c r="A313" s="1">
        <v>39736</v>
      </c>
      <c r="B313" s="6">
        <v>1770809</v>
      </c>
      <c r="C313" s="6">
        <v>11037</v>
      </c>
      <c r="D313" s="6">
        <v>2200</v>
      </c>
      <c r="E313" s="6">
        <v>1546</v>
      </c>
      <c r="F313" s="6">
        <v>1280613</v>
      </c>
      <c r="G313" s="6">
        <v>490660</v>
      </c>
      <c r="H313" s="6">
        <v>476555</v>
      </c>
      <c r="I313" s="6">
        <v>18423</v>
      </c>
      <c r="J313" s="6">
        <v>410757</v>
      </c>
      <c r="K313" s="6">
        <v>40806</v>
      </c>
      <c r="L313" s="6">
        <v>6569</v>
      </c>
      <c r="M313" s="6">
        <v>12138</v>
      </c>
      <c r="N313" s="6">
        <v>29373</v>
      </c>
      <c r="O313" s="6">
        <v>65879</v>
      </c>
      <c r="P313" s="6">
        <v>173462</v>
      </c>
      <c r="Q313" s="6">
        <v>94336</v>
      </c>
      <c r="R313" s="6">
        <v>101367</v>
      </c>
      <c r="S313" s="6">
        <v>14105</v>
      </c>
      <c r="T313" s="6">
        <v>0</v>
      </c>
      <c r="U313" s="6">
        <v>7114</v>
      </c>
      <c r="V313" s="6">
        <v>-1622</v>
      </c>
      <c r="W313" s="6">
        <v>80000</v>
      </c>
      <c r="X313" s="6">
        <v>441370</v>
      </c>
      <c r="Y313" s="6"/>
      <c r="Z313" s="6"/>
      <c r="AA313" s="6"/>
      <c r="AB313" s="6">
        <v>4058</v>
      </c>
      <c r="AC313" s="6">
        <v>2170</v>
      </c>
      <c r="AD313" s="6">
        <v>406882</v>
      </c>
      <c r="AE313" s="6">
        <v>23538</v>
      </c>
      <c r="AF313" s="6">
        <v>9238</v>
      </c>
    </row>
    <row r="314" spans="1:32" x14ac:dyDescent="0.35">
      <c r="A314" s="1">
        <v>39743</v>
      </c>
      <c r="B314" s="6">
        <v>1802602</v>
      </c>
      <c r="C314" s="6">
        <v>11037</v>
      </c>
      <c r="D314" s="6">
        <v>2200</v>
      </c>
      <c r="E314" s="6">
        <v>1584</v>
      </c>
      <c r="F314" s="6">
        <v>1247358</v>
      </c>
      <c r="G314" s="6">
        <v>490617</v>
      </c>
      <c r="H314" s="6">
        <v>476512</v>
      </c>
      <c r="I314" s="6">
        <v>18423</v>
      </c>
      <c r="J314" s="6">
        <v>410757</v>
      </c>
      <c r="K314" s="6">
        <v>40806</v>
      </c>
      <c r="L314" s="6">
        <v>6526</v>
      </c>
      <c r="M314" s="6">
        <v>18840</v>
      </c>
      <c r="N314" s="6">
        <v>27207</v>
      </c>
      <c r="O314" s="6">
        <v>61340</v>
      </c>
      <c r="P314" s="6">
        <v>173449</v>
      </c>
      <c r="Q314" s="6">
        <v>94327</v>
      </c>
      <c r="R314" s="6">
        <v>101350</v>
      </c>
      <c r="S314" s="6">
        <v>14105</v>
      </c>
      <c r="T314" s="6">
        <v>0</v>
      </c>
      <c r="U314" s="6">
        <v>7099</v>
      </c>
      <c r="V314" s="6">
        <v>-1606</v>
      </c>
      <c r="W314" s="6">
        <v>80000</v>
      </c>
      <c r="X314" s="6">
        <v>408156</v>
      </c>
      <c r="Y314" s="6"/>
      <c r="Z314" s="6"/>
      <c r="AA314" s="6"/>
      <c r="AB314" s="6">
        <v>1004</v>
      </c>
      <c r="AC314" s="6">
        <v>2172</v>
      </c>
      <c r="AD314" s="6">
        <v>477159</v>
      </c>
      <c r="AE314" s="6">
        <v>23262</v>
      </c>
      <c r="AF314" s="6">
        <v>10023</v>
      </c>
    </row>
    <row r="315" spans="1:32" x14ac:dyDescent="0.35">
      <c r="A315" s="1">
        <v>39750</v>
      </c>
      <c r="B315" s="6">
        <v>1969086</v>
      </c>
      <c r="C315" s="6">
        <v>11037</v>
      </c>
      <c r="D315" s="6">
        <v>2200</v>
      </c>
      <c r="E315" s="6">
        <v>1645</v>
      </c>
      <c r="F315" s="6">
        <v>1246705</v>
      </c>
      <c r="G315" s="6">
        <v>490089</v>
      </c>
      <c r="H315" s="6">
        <v>476469</v>
      </c>
      <c r="I315" s="6">
        <v>18423</v>
      </c>
      <c r="J315" s="6">
        <v>410757</v>
      </c>
      <c r="K315" s="6">
        <v>40806</v>
      </c>
      <c r="L315" s="6">
        <v>6484</v>
      </c>
      <c r="M315" s="6">
        <v>15320</v>
      </c>
      <c r="N315" s="6">
        <v>30724</v>
      </c>
      <c r="O315" s="6">
        <v>61340</v>
      </c>
      <c r="P315" s="6">
        <v>173435</v>
      </c>
      <c r="Q315" s="6">
        <v>94317</v>
      </c>
      <c r="R315" s="6">
        <v>101333</v>
      </c>
      <c r="S315" s="6">
        <v>13620</v>
      </c>
      <c r="T315" s="6">
        <v>0</v>
      </c>
      <c r="U315" s="6">
        <v>7084</v>
      </c>
      <c r="V315" s="6">
        <v>-1594</v>
      </c>
      <c r="W315" s="6">
        <v>80000</v>
      </c>
      <c r="X315" s="6">
        <v>369763</v>
      </c>
      <c r="Y315" s="6"/>
      <c r="Z315" s="6"/>
      <c r="AA315" s="6"/>
      <c r="AB315" s="6">
        <v>1083</v>
      </c>
      <c r="AC315" s="6">
        <v>2174</v>
      </c>
      <c r="AD315" s="6">
        <v>498860</v>
      </c>
      <c r="AE315" s="6">
        <v>23278</v>
      </c>
      <c r="AF315" s="6">
        <v>10448</v>
      </c>
    </row>
    <row r="316" spans="1:32" x14ac:dyDescent="0.35">
      <c r="A316" s="1">
        <v>39757</v>
      </c>
      <c r="B316" s="6">
        <v>2074205</v>
      </c>
      <c r="C316" s="6">
        <v>11037</v>
      </c>
      <c r="D316" s="6">
        <v>2200</v>
      </c>
      <c r="E316" s="6">
        <v>1648</v>
      </c>
      <c r="F316" s="6">
        <v>1223036</v>
      </c>
      <c r="G316" s="6">
        <v>489691</v>
      </c>
      <c r="H316" s="6">
        <v>476456</v>
      </c>
      <c r="I316" s="6">
        <v>18423</v>
      </c>
      <c r="J316" s="6">
        <v>410491</v>
      </c>
      <c r="K316" s="6">
        <v>41071</v>
      </c>
      <c r="L316" s="6">
        <v>6470</v>
      </c>
      <c r="M316" s="6">
        <v>24416</v>
      </c>
      <c r="N316" s="6">
        <v>21763</v>
      </c>
      <c r="O316" s="6">
        <v>61228</v>
      </c>
      <c r="P316" s="6">
        <v>173414</v>
      </c>
      <c r="Q316" s="6">
        <v>94312</v>
      </c>
      <c r="R316" s="6">
        <v>101323</v>
      </c>
      <c r="S316" s="6">
        <v>13235</v>
      </c>
      <c r="T316" s="6">
        <v>0</v>
      </c>
      <c r="U316" s="6">
        <v>7069</v>
      </c>
      <c r="V316" s="6">
        <v>-1616</v>
      </c>
      <c r="W316" s="6">
        <v>80000</v>
      </c>
      <c r="X316" s="6">
        <v>346531</v>
      </c>
      <c r="Y316" s="6"/>
      <c r="Z316" s="6"/>
      <c r="AA316" s="6"/>
      <c r="AB316" s="6">
        <v>1424</v>
      </c>
      <c r="AC316" s="6">
        <v>2169</v>
      </c>
      <c r="AD316" s="6">
        <v>528355</v>
      </c>
      <c r="AE316" s="6">
        <v>23488</v>
      </c>
      <c r="AF316" s="6">
        <v>10679</v>
      </c>
    </row>
    <row r="317" spans="1:32" x14ac:dyDescent="0.35">
      <c r="A317" s="1">
        <v>39764</v>
      </c>
      <c r="B317" s="6">
        <v>2212852</v>
      </c>
      <c r="C317" s="6">
        <v>11037</v>
      </c>
      <c r="D317" s="6">
        <v>2200</v>
      </c>
      <c r="E317" s="6">
        <v>1640</v>
      </c>
      <c r="F317" s="6">
        <v>1306239</v>
      </c>
      <c r="G317" s="6">
        <v>489409</v>
      </c>
      <c r="H317" s="6">
        <v>476440</v>
      </c>
      <c r="I317" s="6">
        <v>18423</v>
      </c>
      <c r="J317" s="6">
        <v>410491</v>
      </c>
      <c r="K317" s="6">
        <v>41071</v>
      </c>
      <c r="L317" s="6">
        <v>6455</v>
      </c>
      <c r="M317" s="6">
        <v>18131</v>
      </c>
      <c r="N317" s="6">
        <v>28047</v>
      </c>
      <c r="O317" s="6">
        <v>61228</v>
      </c>
      <c r="P317" s="6">
        <v>173409</v>
      </c>
      <c r="Q317" s="6">
        <v>94309</v>
      </c>
      <c r="R317" s="6">
        <v>101317</v>
      </c>
      <c r="S317" s="6">
        <v>12969</v>
      </c>
      <c r="T317" s="6">
        <v>0</v>
      </c>
      <c r="U317" s="6">
        <v>7054</v>
      </c>
      <c r="V317" s="6">
        <v>-1603</v>
      </c>
      <c r="W317" s="6">
        <v>80000</v>
      </c>
      <c r="X317" s="6">
        <v>316077</v>
      </c>
      <c r="Y317" s="6"/>
      <c r="Z317" s="6"/>
      <c r="AA317" s="6"/>
      <c r="AB317" s="6">
        <v>1126</v>
      </c>
      <c r="AC317" s="6">
        <v>2171</v>
      </c>
      <c r="AD317" s="6">
        <v>569716</v>
      </c>
      <c r="AE317" s="6">
        <v>23411</v>
      </c>
      <c r="AF317" s="6">
        <v>11077</v>
      </c>
    </row>
    <row r="318" spans="1:32" x14ac:dyDescent="0.35">
      <c r="A318" s="1">
        <v>39771</v>
      </c>
      <c r="B318" s="6">
        <v>2187137</v>
      </c>
      <c r="C318" s="6">
        <v>11037</v>
      </c>
      <c r="D318" s="6">
        <v>2200</v>
      </c>
      <c r="E318" s="6">
        <v>1648</v>
      </c>
      <c r="F318" s="6">
        <v>1278420</v>
      </c>
      <c r="G318" s="6">
        <v>488926</v>
      </c>
      <c r="H318" s="6">
        <v>476425</v>
      </c>
      <c r="I318" s="6">
        <v>18423</v>
      </c>
      <c r="J318" s="6">
        <v>410491</v>
      </c>
      <c r="K318" s="6">
        <v>41071</v>
      </c>
      <c r="L318" s="6">
        <v>6440</v>
      </c>
      <c r="M318" s="6">
        <v>20343</v>
      </c>
      <c r="N318" s="6">
        <v>19471</v>
      </c>
      <c r="O318" s="6">
        <v>66692</v>
      </c>
      <c r="P318" s="6">
        <v>170928</v>
      </c>
      <c r="Q318" s="6">
        <v>96956</v>
      </c>
      <c r="R318" s="6">
        <v>102035</v>
      </c>
      <c r="S318" s="6">
        <v>12501</v>
      </c>
      <c r="T318" s="6">
        <v>0</v>
      </c>
      <c r="U318" s="6">
        <v>7039</v>
      </c>
      <c r="V318" s="6">
        <v>-1549</v>
      </c>
      <c r="W318" s="6">
        <v>80000</v>
      </c>
      <c r="X318" s="6">
        <v>288702</v>
      </c>
      <c r="Y318" s="6"/>
      <c r="Z318" s="6"/>
      <c r="AA318" s="6"/>
      <c r="AB318" s="6">
        <v>1115</v>
      </c>
      <c r="AC318" s="6">
        <v>2178</v>
      </c>
      <c r="AD318" s="6">
        <v>562090</v>
      </c>
      <c r="AE318" s="6">
        <v>23514</v>
      </c>
      <c r="AF318" s="6">
        <v>7137</v>
      </c>
    </row>
    <row r="319" spans="1:32" x14ac:dyDescent="0.35">
      <c r="A319" s="1">
        <v>39778</v>
      </c>
      <c r="B319" s="6">
        <v>2106117</v>
      </c>
      <c r="C319" s="6">
        <v>11037</v>
      </c>
      <c r="D319" s="6">
        <v>2200</v>
      </c>
      <c r="E319" s="6">
        <v>1642</v>
      </c>
      <c r="F319" s="6">
        <v>1239673</v>
      </c>
      <c r="G319" s="6">
        <v>488628</v>
      </c>
      <c r="H319" s="6">
        <v>476407</v>
      </c>
      <c r="I319" s="6">
        <v>18423</v>
      </c>
      <c r="J319" s="6">
        <v>410491</v>
      </c>
      <c r="K319" s="6">
        <v>41071</v>
      </c>
      <c r="L319" s="6">
        <v>6422</v>
      </c>
      <c r="M319" s="6">
        <v>16823</v>
      </c>
      <c r="N319" s="6">
        <v>22989</v>
      </c>
      <c r="O319" s="6">
        <v>66692</v>
      </c>
      <c r="P319" s="6">
        <v>170923</v>
      </c>
      <c r="Q319" s="6">
        <v>96952</v>
      </c>
      <c r="R319" s="6">
        <v>102028</v>
      </c>
      <c r="S319" s="6">
        <v>12221</v>
      </c>
      <c r="T319" s="6">
        <v>0</v>
      </c>
      <c r="U319" s="6">
        <v>7022</v>
      </c>
      <c r="V319" s="6">
        <v>-1534</v>
      </c>
      <c r="W319" s="6">
        <v>80000</v>
      </c>
      <c r="X319" s="6">
        <v>259048</v>
      </c>
      <c r="Y319" s="6"/>
      <c r="Z319" s="6"/>
      <c r="AA319" s="6"/>
      <c r="AB319" s="6">
        <v>1096</v>
      </c>
      <c r="AC319" s="6">
        <v>2180</v>
      </c>
      <c r="AD319" s="6">
        <v>475435</v>
      </c>
      <c r="AE319" s="6">
        <v>23687</v>
      </c>
      <c r="AF319" s="6">
        <v>6947</v>
      </c>
    </row>
    <row r="320" spans="1:32" x14ac:dyDescent="0.35">
      <c r="A320" s="1">
        <v>39785</v>
      </c>
      <c r="B320" s="6">
        <v>2136924</v>
      </c>
      <c r="C320" s="6">
        <v>11037</v>
      </c>
      <c r="D320" s="6">
        <v>2200</v>
      </c>
      <c r="E320" s="6">
        <v>1640</v>
      </c>
      <c r="F320" s="6">
        <v>1228661</v>
      </c>
      <c r="G320" s="6">
        <v>487926</v>
      </c>
      <c r="H320" s="6">
        <v>476354</v>
      </c>
      <c r="I320" s="6">
        <v>18423</v>
      </c>
      <c r="J320" s="6">
        <v>410491</v>
      </c>
      <c r="K320" s="6">
        <v>41071</v>
      </c>
      <c r="L320" s="6">
        <v>6369</v>
      </c>
      <c r="M320" s="6">
        <v>15963</v>
      </c>
      <c r="N320" s="6">
        <v>24542</v>
      </c>
      <c r="O320" s="6">
        <v>65200</v>
      </c>
      <c r="P320" s="6">
        <v>171701</v>
      </c>
      <c r="Q320" s="6">
        <v>96940</v>
      </c>
      <c r="R320" s="6">
        <v>102007</v>
      </c>
      <c r="S320" s="6">
        <v>11572</v>
      </c>
      <c r="T320" s="6">
        <v>0</v>
      </c>
      <c r="U320" s="6">
        <v>7009</v>
      </c>
      <c r="V320" s="6">
        <v>-1534</v>
      </c>
      <c r="W320" s="6">
        <v>80000</v>
      </c>
      <c r="X320" s="6">
        <v>248751</v>
      </c>
      <c r="Y320" s="6"/>
      <c r="Z320" s="6"/>
      <c r="AA320" s="6"/>
      <c r="AB320" s="6">
        <v>1512</v>
      </c>
      <c r="AC320" s="6">
        <v>2175</v>
      </c>
      <c r="AD320" s="6">
        <v>506819</v>
      </c>
      <c r="AE320" s="6">
        <v>23881</v>
      </c>
      <c r="AF320" s="6">
        <v>6855</v>
      </c>
    </row>
    <row r="321" spans="1:32" x14ac:dyDescent="0.35">
      <c r="A321" s="1">
        <v>39792</v>
      </c>
      <c r="B321" s="6">
        <v>2250012</v>
      </c>
      <c r="C321" s="6">
        <v>11037</v>
      </c>
      <c r="D321" s="6">
        <v>2200</v>
      </c>
      <c r="E321" s="6">
        <v>1661</v>
      </c>
      <c r="F321" s="6">
        <v>1258759</v>
      </c>
      <c r="G321" s="6">
        <v>492058</v>
      </c>
      <c r="H321" s="6">
        <v>476246</v>
      </c>
      <c r="I321" s="6">
        <v>18423</v>
      </c>
      <c r="J321" s="6">
        <v>410491</v>
      </c>
      <c r="K321" s="6">
        <v>41071</v>
      </c>
      <c r="L321" s="6">
        <v>6261</v>
      </c>
      <c r="M321" s="6">
        <v>9678</v>
      </c>
      <c r="N321" s="6">
        <v>30820</v>
      </c>
      <c r="O321" s="6">
        <v>65200</v>
      </c>
      <c r="P321" s="6">
        <v>171667</v>
      </c>
      <c r="Q321" s="6">
        <v>96916</v>
      </c>
      <c r="R321" s="6">
        <v>101964</v>
      </c>
      <c r="S321" s="6">
        <v>15812</v>
      </c>
      <c r="T321" s="6">
        <v>0</v>
      </c>
      <c r="U321" s="6">
        <v>7149</v>
      </c>
      <c r="V321" s="6">
        <v>-1522</v>
      </c>
      <c r="W321" s="6">
        <v>80000</v>
      </c>
      <c r="X321" s="6">
        <v>233115</v>
      </c>
      <c r="Y321" s="6"/>
      <c r="Z321" s="6"/>
      <c r="AA321" s="6"/>
      <c r="AB321" s="6">
        <v>1010</v>
      </c>
      <c r="AC321" s="6">
        <v>2176</v>
      </c>
      <c r="AD321" s="6">
        <v>582575</v>
      </c>
      <c r="AE321" s="6">
        <v>24369</v>
      </c>
      <c r="AF321" s="6">
        <v>7322</v>
      </c>
    </row>
    <row r="322" spans="1:32" x14ac:dyDescent="0.35">
      <c r="A322" s="1">
        <v>39799</v>
      </c>
      <c r="B322" s="6">
        <v>2254983</v>
      </c>
      <c r="C322" s="6">
        <v>11037</v>
      </c>
      <c r="D322" s="6">
        <v>2200</v>
      </c>
      <c r="E322" s="6">
        <v>1677</v>
      </c>
      <c r="F322" s="6">
        <v>1234270</v>
      </c>
      <c r="G322" s="6">
        <v>493759</v>
      </c>
      <c r="H322" s="6">
        <v>476138</v>
      </c>
      <c r="I322" s="6">
        <v>18423</v>
      </c>
      <c r="J322" s="6">
        <v>410491</v>
      </c>
      <c r="K322" s="6">
        <v>41071</v>
      </c>
      <c r="L322" s="6">
        <v>6152</v>
      </c>
      <c r="M322" s="6">
        <v>14536</v>
      </c>
      <c r="N322" s="6">
        <v>25753</v>
      </c>
      <c r="O322" s="6">
        <v>64478</v>
      </c>
      <c r="P322" s="6">
        <v>172076</v>
      </c>
      <c r="Q322" s="6">
        <v>97373</v>
      </c>
      <c r="R322" s="6">
        <v>101921</v>
      </c>
      <c r="S322" s="6">
        <v>17621</v>
      </c>
      <c r="T322" s="6">
        <v>0</v>
      </c>
      <c r="U322" s="6">
        <v>7512</v>
      </c>
      <c r="V322" s="6">
        <v>-1503</v>
      </c>
      <c r="W322" s="6">
        <v>80000</v>
      </c>
      <c r="X322" s="6">
        <v>206544</v>
      </c>
      <c r="Y322" s="6"/>
      <c r="Z322" s="6"/>
      <c r="AA322" s="6"/>
      <c r="AB322" s="6">
        <v>903</v>
      </c>
      <c r="AC322" s="6">
        <v>2185</v>
      </c>
      <c r="AD322" s="6">
        <v>583135</v>
      </c>
      <c r="AE322" s="6">
        <v>26494</v>
      </c>
      <c r="AF322" s="6">
        <v>7643</v>
      </c>
    </row>
    <row r="323" spans="1:32" x14ac:dyDescent="0.35">
      <c r="A323" s="1">
        <v>39806</v>
      </c>
      <c r="B323" s="6">
        <v>2232311</v>
      </c>
      <c r="C323" s="6">
        <v>11037</v>
      </c>
      <c r="D323" s="6">
        <v>2200</v>
      </c>
      <c r="E323" s="6">
        <v>1680</v>
      </c>
      <c r="F323" s="6">
        <v>1220318</v>
      </c>
      <c r="G323" s="6">
        <v>496892</v>
      </c>
      <c r="H323" s="6">
        <v>476014</v>
      </c>
      <c r="I323" s="6">
        <v>18423</v>
      </c>
      <c r="J323" s="6">
        <v>410491</v>
      </c>
      <c r="K323" s="6">
        <v>41071</v>
      </c>
      <c r="L323" s="6">
        <v>6029</v>
      </c>
      <c r="M323" s="6">
        <v>17301</v>
      </c>
      <c r="N323" s="6">
        <v>22980</v>
      </c>
      <c r="O323" s="6">
        <v>64478</v>
      </c>
      <c r="P323" s="6">
        <v>172038</v>
      </c>
      <c r="Q323" s="6">
        <v>97345</v>
      </c>
      <c r="R323" s="6">
        <v>101871</v>
      </c>
      <c r="S323" s="6">
        <v>20878</v>
      </c>
      <c r="T323" s="6">
        <v>0</v>
      </c>
      <c r="U323" s="6">
        <v>8068</v>
      </c>
      <c r="V323" s="6">
        <v>-1491</v>
      </c>
      <c r="W323" s="6">
        <v>80000</v>
      </c>
      <c r="X323" s="6">
        <v>186630</v>
      </c>
      <c r="Y323" s="6"/>
      <c r="Z323" s="6"/>
      <c r="AA323" s="6"/>
      <c r="AB323" s="6">
        <v>1203</v>
      </c>
      <c r="AC323" s="6">
        <v>2186</v>
      </c>
      <c r="AD323" s="6">
        <v>552728</v>
      </c>
      <c r="AE323" s="6">
        <v>25783</v>
      </c>
      <c r="AF323" s="6">
        <v>8285</v>
      </c>
    </row>
    <row r="324" spans="1:32" x14ac:dyDescent="0.35">
      <c r="A324" s="1">
        <v>39813</v>
      </c>
      <c r="B324" s="6">
        <v>2239457</v>
      </c>
      <c r="C324" s="6">
        <v>11037</v>
      </c>
      <c r="D324" s="6">
        <v>2200</v>
      </c>
      <c r="E324" s="6">
        <v>1688</v>
      </c>
      <c r="F324" s="6">
        <v>1226282</v>
      </c>
      <c r="G324" s="6">
        <v>495629</v>
      </c>
      <c r="H324" s="6">
        <v>475921</v>
      </c>
      <c r="I324" s="6">
        <v>18423</v>
      </c>
      <c r="J324" s="6">
        <v>410491</v>
      </c>
      <c r="K324" s="6">
        <v>41071</v>
      </c>
      <c r="L324" s="6">
        <v>5936</v>
      </c>
      <c r="M324" s="6">
        <v>19138</v>
      </c>
      <c r="N324" s="6">
        <v>20965</v>
      </c>
      <c r="O324" s="6">
        <v>63330</v>
      </c>
      <c r="P324" s="6">
        <v>173328</v>
      </c>
      <c r="Q324" s="6">
        <v>97325</v>
      </c>
      <c r="R324" s="6">
        <v>101834</v>
      </c>
      <c r="S324" s="6">
        <v>19708</v>
      </c>
      <c r="T324" s="6">
        <v>0</v>
      </c>
      <c r="U324" s="6">
        <v>8049</v>
      </c>
      <c r="V324" s="6">
        <v>-1489</v>
      </c>
      <c r="W324" s="6">
        <v>80000</v>
      </c>
      <c r="X324" s="6">
        <v>193874</v>
      </c>
      <c r="Y324" s="6"/>
      <c r="Z324" s="6"/>
      <c r="AA324" s="6"/>
      <c r="AB324" s="6">
        <v>979</v>
      </c>
      <c r="AC324" s="6">
        <v>2194</v>
      </c>
      <c r="AD324" s="6">
        <v>553728</v>
      </c>
      <c r="AE324" s="6">
        <v>25874</v>
      </c>
      <c r="AF324" s="6">
        <v>7448</v>
      </c>
    </row>
    <row r="325" spans="1:32" x14ac:dyDescent="0.35">
      <c r="A325" s="1">
        <v>39820</v>
      </c>
      <c r="B325" s="6">
        <v>2121439</v>
      </c>
      <c r="C325" s="6">
        <v>11037</v>
      </c>
      <c r="D325" s="6">
        <v>2200</v>
      </c>
      <c r="E325" s="6">
        <v>1704</v>
      </c>
      <c r="F325" s="6">
        <v>1123831</v>
      </c>
      <c r="G325" s="6">
        <v>494976</v>
      </c>
      <c r="H325" s="6">
        <v>475718</v>
      </c>
      <c r="I325" s="6">
        <v>18423</v>
      </c>
      <c r="J325" s="6">
        <v>410491</v>
      </c>
      <c r="K325" s="6">
        <v>41071</v>
      </c>
      <c r="L325" s="6">
        <v>5732</v>
      </c>
      <c r="M325" s="6">
        <v>16621</v>
      </c>
      <c r="N325" s="6">
        <v>23469</v>
      </c>
      <c r="O325" s="6">
        <v>63330</v>
      </c>
      <c r="P325" s="6">
        <v>173264</v>
      </c>
      <c r="Q325" s="6">
        <v>97280</v>
      </c>
      <c r="R325" s="6">
        <v>101753</v>
      </c>
      <c r="S325" s="6">
        <v>19258</v>
      </c>
      <c r="T325" s="6">
        <v>0</v>
      </c>
      <c r="U325" s="6">
        <v>8027</v>
      </c>
      <c r="V325" s="6">
        <v>-1480</v>
      </c>
      <c r="W325" s="6">
        <v>60000</v>
      </c>
      <c r="X325" s="6">
        <v>178277</v>
      </c>
      <c r="Y325" s="6"/>
      <c r="Z325" s="6"/>
      <c r="AA325" s="6"/>
      <c r="AB325" s="6">
        <v>1489</v>
      </c>
      <c r="AC325" s="6">
        <v>2182</v>
      </c>
      <c r="AD325" s="6">
        <v>538162</v>
      </c>
      <c r="AE325" s="6">
        <v>25307</v>
      </c>
      <c r="AF325" s="6">
        <v>7384</v>
      </c>
    </row>
    <row r="326" spans="1:32" x14ac:dyDescent="0.35">
      <c r="A326" s="1">
        <v>39827</v>
      </c>
      <c r="B326" s="6">
        <v>2049714</v>
      </c>
      <c r="C326" s="6">
        <v>11037</v>
      </c>
      <c r="D326" s="6">
        <v>2200</v>
      </c>
      <c r="E326" s="6">
        <v>1744</v>
      </c>
      <c r="F326" s="6">
        <v>1079070</v>
      </c>
      <c r="G326" s="6">
        <v>505306</v>
      </c>
      <c r="H326" s="6">
        <v>475515</v>
      </c>
      <c r="I326" s="6">
        <v>18423</v>
      </c>
      <c r="J326" s="6">
        <v>410491</v>
      </c>
      <c r="K326" s="6">
        <v>41071</v>
      </c>
      <c r="L326" s="6">
        <v>5529</v>
      </c>
      <c r="M326" s="6">
        <v>20475</v>
      </c>
      <c r="N326" s="6">
        <v>19602</v>
      </c>
      <c r="O326" s="6">
        <v>63330</v>
      </c>
      <c r="P326" s="6">
        <v>173973</v>
      </c>
      <c r="Q326" s="6">
        <v>96462</v>
      </c>
      <c r="R326" s="6">
        <v>101672</v>
      </c>
      <c r="S326" s="6">
        <v>24158</v>
      </c>
      <c r="T326" s="6">
        <v>5634</v>
      </c>
      <c r="U326" s="6">
        <v>8693</v>
      </c>
      <c r="V326" s="6">
        <v>-1471</v>
      </c>
      <c r="W326" s="6">
        <v>40000</v>
      </c>
      <c r="X326" s="6">
        <v>155245</v>
      </c>
      <c r="Y326" s="6"/>
      <c r="Z326" s="6"/>
      <c r="AA326" s="6"/>
      <c r="AB326" s="6">
        <v>1272</v>
      </c>
      <c r="AC326" s="6">
        <v>2183</v>
      </c>
      <c r="AD326" s="6">
        <v>510514</v>
      </c>
      <c r="AE326" s="6">
        <v>25118</v>
      </c>
      <c r="AF326" s="6">
        <v>8007</v>
      </c>
    </row>
    <row r="327" spans="1:32" x14ac:dyDescent="0.35">
      <c r="A327" s="1">
        <v>39834</v>
      </c>
      <c r="B327" s="6">
        <v>2037112</v>
      </c>
      <c r="C327" s="6">
        <v>11037</v>
      </c>
      <c r="D327" s="6">
        <v>2200</v>
      </c>
      <c r="E327" s="6">
        <v>1789</v>
      </c>
      <c r="F327" s="6">
        <v>1098175</v>
      </c>
      <c r="G327" s="6">
        <v>505470</v>
      </c>
      <c r="H327" s="6">
        <v>475322</v>
      </c>
      <c r="I327" s="6">
        <v>18423</v>
      </c>
      <c r="J327" s="6">
        <v>412914</v>
      </c>
      <c r="K327" s="6">
        <v>39378</v>
      </c>
      <c r="L327" s="6">
        <v>4608</v>
      </c>
      <c r="M327" s="6">
        <v>15456</v>
      </c>
      <c r="N327" s="6">
        <v>21090</v>
      </c>
      <c r="O327" s="6">
        <v>66655</v>
      </c>
      <c r="P327" s="6">
        <v>173147</v>
      </c>
      <c r="Q327" s="6">
        <v>97383</v>
      </c>
      <c r="R327" s="6">
        <v>101591</v>
      </c>
      <c r="S327" s="6">
        <v>24158</v>
      </c>
      <c r="T327" s="6">
        <v>5991</v>
      </c>
      <c r="U327" s="6">
        <v>8825</v>
      </c>
      <c r="V327" s="6">
        <v>-1475</v>
      </c>
      <c r="W327" s="6">
        <v>20000</v>
      </c>
      <c r="X327" s="6">
        <v>149324</v>
      </c>
      <c r="Y327" s="6"/>
      <c r="Z327" s="6"/>
      <c r="AA327" s="6"/>
      <c r="AB327" s="6">
        <v>1563</v>
      </c>
      <c r="AC327" s="6">
        <v>2184</v>
      </c>
      <c r="AD327" s="6">
        <v>462796</v>
      </c>
      <c r="AE327" s="6">
        <v>24946</v>
      </c>
      <c r="AF327" s="6">
        <v>7937</v>
      </c>
    </row>
    <row r="328" spans="1:32" x14ac:dyDescent="0.35">
      <c r="A328" s="1">
        <v>39841</v>
      </c>
      <c r="B328" s="6">
        <v>1927082</v>
      </c>
      <c r="C328" s="6">
        <v>11037</v>
      </c>
      <c r="D328" s="6">
        <v>2200</v>
      </c>
      <c r="E328" s="6">
        <v>1856</v>
      </c>
      <c r="F328" s="6">
        <v>1088921</v>
      </c>
      <c r="G328" s="6">
        <v>510871</v>
      </c>
      <c r="H328" s="6">
        <v>475129</v>
      </c>
      <c r="I328" s="6">
        <v>18423</v>
      </c>
      <c r="J328" s="6">
        <v>412914</v>
      </c>
      <c r="K328" s="6">
        <v>39378</v>
      </c>
      <c r="L328" s="6">
        <v>4415</v>
      </c>
      <c r="M328" s="6">
        <v>17612</v>
      </c>
      <c r="N328" s="6">
        <v>18933</v>
      </c>
      <c r="O328" s="6">
        <v>66649</v>
      </c>
      <c r="P328" s="6">
        <v>173087</v>
      </c>
      <c r="Q328" s="6">
        <v>97338</v>
      </c>
      <c r="R328" s="6">
        <v>101510</v>
      </c>
      <c r="S328" s="6">
        <v>28365</v>
      </c>
      <c r="T328" s="6">
        <v>7377</v>
      </c>
      <c r="U328" s="6">
        <v>9096</v>
      </c>
      <c r="V328" s="6">
        <v>-1467</v>
      </c>
      <c r="W328" s="6">
        <v>0</v>
      </c>
      <c r="X328" s="6">
        <v>154790</v>
      </c>
      <c r="Y328" s="6"/>
      <c r="Z328" s="6"/>
      <c r="AA328" s="6"/>
      <c r="AB328" s="6">
        <v>1268</v>
      </c>
      <c r="AC328" s="6">
        <v>2183</v>
      </c>
      <c r="AD328" s="6">
        <v>465672</v>
      </c>
      <c r="AE328" s="6">
        <v>25163</v>
      </c>
      <c r="AF328" s="6">
        <v>8499</v>
      </c>
    </row>
    <row r="329" spans="1:32" x14ac:dyDescent="0.35">
      <c r="A329" s="1">
        <v>39848</v>
      </c>
      <c r="B329" s="6">
        <v>1851437</v>
      </c>
      <c r="C329" s="6">
        <v>11037</v>
      </c>
      <c r="D329" s="6">
        <v>2200</v>
      </c>
      <c r="E329" s="6">
        <v>1915</v>
      </c>
      <c r="F329" s="6">
        <v>1081918</v>
      </c>
      <c r="G329" s="6">
        <v>512274</v>
      </c>
      <c r="H329" s="6">
        <v>474982</v>
      </c>
      <c r="I329" s="6">
        <v>18423</v>
      </c>
      <c r="J329" s="6">
        <v>412914</v>
      </c>
      <c r="K329" s="6">
        <v>39378</v>
      </c>
      <c r="L329" s="6">
        <v>4268</v>
      </c>
      <c r="M329" s="6">
        <v>15549</v>
      </c>
      <c r="N329" s="6">
        <v>21802</v>
      </c>
      <c r="O329" s="6">
        <v>64789</v>
      </c>
      <c r="P329" s="6">
        <v>174089</v>
      </c>
      <c r="Q329" s="6">
        <v>97304</v>
      </c>
      <c r="R329" s="6">
        <v>101448</v>
      </c>
      <c r="S329" s="6">
        <v>29915</v>
      </c>
      <c r="T329" s="6">
        <v>7377</v>
      </c>
      <c r="U329" s="6">
        <v>9196</v>
      </c>
      <c r="V329" s="6">
        <v>-1465</v>
      </c>
      <c r="W329" s="6">
        <v>0</v>
      </c>
      <c r="X329" s="6">
        <v>149030</v>
      </c>
      <c r="Y329" s="6"/>
      <c r="Z329" s="6"/>
      <c r="AA329" s="6"/>
      <c r="AB329" s="6">
        <v>899</v>
      </c>
      <c r="AC329" s="6">
        <v>2180</v>
      </c>
      <c r="AD329" s="6">
        <v>387448</v>
      </c>
      <c r="AE329" s="6">
        <v>24396</v>
      </c>
      <c r="AF329" s="6">
        <v>8442</v>
      </c>
    </row>
    <row r="330" spans="1:32" x14ac:dyDescent="0.35">
      <c r="A330" s="1">
        <v>39855</v>
      </c>
      <c r="B330" s="6">
        <v>1843400</v>
      </c>
      <c r="C330" s="6">
        <v>11037</v>
      </c>
      <c r="D330" s="6">
        <v>2200</v>
      </c>
      <c r="E330" s="6">
        <v>1909</v>
      </c>
      <c r="F330" s="6">
        <v>1077991</v>
      </c>
      <c r="G330" s="6">
        <v>514396</v>
      </c>
      <c r="H330" s="6">
        <v>474869</v>
      </c>
      <c r="I330" s="6">
        <v>18423</v>
      </c>
      <c r="J330" s="6">
        <v>412914</v>
      </c>
      <c r="K330" s="6">
        <v>39378</v>
      </c>
      <c r="L330" s="6">
        <v>4155</v>
      </c>
      <c r="M330" s="6">
        <v>19416</v>
      </c>
      <c r="N330" s="6">
        <v>17935</v>
      </c>
      <c r="O330" s="6">
        <v>64785</v>
      </c>
      <c r="P330" s="6">
        <v>174054</v>
      </c>
      <c r="Q330" s="6">
        <v>97278</v>
      </c>
      <c r="R330" s="6">
        <v>101401</v>
      </c>
      <c r="S330" s="6">
        <v>32150</v>
      </c>
      <c r="T330" s="6">
        <v>7377</v>
      </c>
      <c r="U330" s="6">
        <v>9318</v>
      </c>
      <c r="V330" s="6">
        <v>-1457</v>
      </c>
      <c r="W330" s="6">
        <v>0</v>
      </c>
      <c r="X330" s="6">
        <v>142851</v>
      </c>
      <c r="Y330" s="6"/>
      <c r="Z330" s="6"/>
      <c r="AA330" s="6"/>
      <c r="AB330" s="6">
        <v>631</v>
      </c>
      <c r="AC330" s="6">
        <v>2185</v>
      </c>
      <c r="AD330" s="6">
        <v>390829</v>
      </c>
      <c r="AE330" s="6">
        <v>24377</v>
      </c>
      <c r="AF330" s="6">
        <v>8895</v>
      </c>
    </row>
    <row r="331" spans="1:32" x14ac:dyDescent="0.35">
      <c r="A331" s="1">
        <v>39862</v>
      </c>
      <c r="B331" s="6">
        <v>1915562</v>
      </c>
      <c r="C331" s="6">
        <v>11037</v>
      </c>
      <c r="D331" s="6">
        <v>2200</v>
      </c>
      <c r="E331" s="6">
        <v>1886</v>
      </c>
      <c r="F331" s="6">
        <v>1170939</v>
      </c>
      <c r="G331" s="6">
        <v>573625</v>
      </c>
      <c r="H331" s="6">
        <v>474756</v>
      </c>
      <c r="I331" s="6">
        <v>18423</v>
      </c>
      <c r="J331" s="6">
        <v>412914</v>
      </c>
      <c r="K331" s="6">
        <v>39378</v>
      </c>
      <c r="L331" s="6">
        <v>4042</v>
      </c>
      <c r="M331" s="6">
        <v>17520</v>
      </c>
      <c r="N331" s="6">
        <v>28979</v>
      </c>
      <c r="O331" s="6">
        <v>61317</v>
      </c>
      <c r="P331" s="6">
        <v>168008</v>
      </c>
      <c r="Q331" s="6">
        <v>99442</v>
      </c>
      <c r="R331" s="6">
        <v>99489</v>
      </c>
      <c r="S331" s="6">
        <v>33577</v>
      </c>
      <c r="T331" s="6">
        <v>65292</v>
      </c>
      <c r="U331" s="6">
        <v>10731</v>
      </c>
      <c r="V331" s="6">
        <v>-1474</v>
      </c>
      <c r="W331" s="6">
        <v>0</v>
      </c>
      <c r="X331" s="6">
        <v>140493</v>
      </c>
      <c r="Y331" s="6"/>
      <c r="Z331" s="6"/>
      <c r="AA331" s="6"/>
      <c r="AB331" s="6">
        <v>1478</v>
      </c>
      <c r="AC331" s="6">
        <v>2187</v>
      </c>
      <c r="AD331" s="6">
        <v>375005</v>
      </c>
      <c r="AE331" s="6">
        <v>23706</v>
      </c>
      <c r="AF331" s="6">
        <v>6224</v>
      </c>
    </row>
    <row r="332" spans="1:32" x14ac:dyDescent="0.35">
      <c r="A332" s="1">
        <v>39869</v>
      </c>
      <c r="B332" s="6">
        <v>1916115</v>
      </c>
      <c r="C332" s="6">
        <v>11037</v>
      </c>
      <c r="D332" s="6">
        <v>2200</v>
      </c>
      <c r="E332" s="6">
        <v>1855</v>
      </c>
      <c r="F332" s="6">
        <v>1177907</v>
      </c>
      <c r="G332" s="6">
        <v>581726</v>
      </c>
      <c r="H332" s="6">
        <v>474643</v>
      </c>
      <c r="I332" s="6">
        <v>18423</v>
      </c>
      <c r="J332" s="6">
        <v>412914</v>
      </c>
      <c r="K332" s="6">
        <v>39378</v>
      </c>
      <c r="L332" s="6">
        <v>3929</v>
      </c>
      <c r="M332" s="6">
        <v>19676</v>
      </c>
      <c r="N332" s="6">
        <v>26823</v>
      </c>
      <c r="O332" s="6">
        <v>61313</v>
      </c>
      <c r="P332" s="6">
        <v>167973</v>
      </c>
      <c r="Q332" s="6">
        <v>99416</v>
      </c>
      <c r="R332" s="6">
        <v>99442</v>
      </c>
      <c r="S332" s="6">
        <v>38338</v>
      </c>
      <c r="T332" s="6">
        <v>68745</v>
      </c>
      <c r="U332" s="6">
        <v>11185</v>
      </c>
      <c r="V332" s="6">
        <v>-1466</v>
      </c>
      <c r="W332" s="6">
        <v>0</v>
      </c>
      <c r="X332" s="6">
        <v>138899</v>
      </c>
      <c r="Y332" s="6"/>
      <c r="Z332" s="6"/>
      <c r="AA332" s="6"/>
      <c r="AB332" s="6">
        <v>959</v>
      </c>
      <c r="AC332" s="6">
        <v>2187</v>
      </c>
      <c r="AD332" s="6">
        <v>374947</v>
      </c>
      <c r="AE332" s="6">
        <v>23591</v>
      </c>
      <c r="AF332" s="6">
        <v>6618</v>
      </c>
    </row>
    <row r="333" spans="1:32" x14ac:dyDescent="0.35">
      <c r="A333" s="1">
        <v>39876</v>
      </c>
      <c r="B333" s="6">
        <v>1901317</v>
      </c>
      <c r="C333" s="6">
        <v>11037</v>
      </c>
      <c r="D333" s="6">
        <v>2200</v>
      </c>
      <c r="E333" s="6">
        <v>1848</v>
      </c>
      <c r="F333" s="6">
        <v>1224913</v>
      </c>
      <c r="G333" s="6">
        <v>581759</v>
      </c>
      <c r="H333" s="6">
        <v>474619</v>
      </c>
      <c r="I333" s="6">
        <v>18423</v>
      </c>
      <c r="J333" s="6">
        <v>412914</v>
      </c>
      <c r="K333" s="6">
        <v>39378</v>
      </c>
      <c r="L333" s="6">
        <v>3905</v>
      </c>
      <c r="M333" s="6">
        <v>13258</v>
      </c>
      <c r="N333" s="6">
        <v>31686</v>
      </c>
      <c r="O333" s="6">
        <v>60732</v>
      </c>
      <c r="P333" s="6">
        <v>168922</v>
      </c>
      <c r="Q333" s="6">
        <v>100588</v>
      </c>
      <c r="R333" s="6">
        <v>99432</v>
      </c>
      <c r="S333" s="6">
        <v>38238</v>
      </c>
      <c r="T333" s="6">
        <v>68902</v>
      </c>
      <c r="U333" s="6">
        <v>11146</v>
      </c>
      <c r="V333" s="6">
        <v>-1480</v>
      </c>
      <c r="W333" s="6">
        <v>0</v>
      </c>
      <c r="X333" s="6">
        <v>140343</v>
      </c>
      <c r="Y333" s="6"/>
      <c r="Z333" s="6"/>
      <c r="AA333" s="6"/>
      <c r="AB333" s="6">
        <v>705</v>
      </c>
      <c r="AC333" s="6">
        <v>2182</v>
      </c>
      <c r="AD333" s="6">
        <v>315211</v>
      </c>
      <c r="AE333" s="6">
        <v>22886</v>
      </c>
      <c r="AF333" s="6">
        <v>6481</v>
      </c>
    </row>
    <row r="334" spans="1:32" x14ac:dyDescent="0.35">
      <c r="A334" s="1">
        <v>39883</v>
      </c>
      <c r="B334" s="6">
        <v>1899514</v>
      </c>
      <c r="C334" s="6">
        <v>11037</v>
      </c>
      <c r="D334" s="6">
        <v>2200</v>
      </c>
      <c r="E334" s="6">
        <v>1835</v>
      </c>
      <c r="F334" s="6">
        <v>1225868</v>
      </c>
      <c r="G334" s="6">
        <v>588051</v>
      </c>
      <c r="H334" s="6">
        <v>474661</v>
      </c>
      <c r="I334" s="6">
        <v>18423</v>
      </c>
      <c r="J334" s="6">
        <v>412914</v>
      </c>
      <c r="K334" s="6">
        <v>39378</v>
      </c>
      <c r="L334" s="6">
        <v>3947</v>
      </c>
      <c r="M334" s="6">
        <v>17125</v>
      </c>
      <c r="N334" s="6">
        <v>27819</v>
      </c>
      <c r="O334" s="6">
        <v>60733</v>
      </c>
      <c r="P334" s="6">
        <v>168936</v>
      </c>
      <c r="Q334" s="6">
        <v>100598</v>
      </c>
      <c r="R334" s="6">
        <v>99449</v>
      </c>
      <c r="S334" s="6">
        <v>44432</v>
      </c>
      <c r="T334" s="6">
        <v>68958</v>
      </c>
      <c r="U334" s="6">
        <v>11475</v>
      </c>
      <c r="V334" s="6">
        <v>-1472</v>
      </c>
      <c r="W334" s="6">
        <v>0</v>
      </c>
      <c r="X334" s="6">
        <v>134669</v>
      </c>
      <c r="Y334" s="6"/>
      <c r="Z334" s="6"/>
      <c r="AA334" s="6"/>
      <c r="AB334" s="6">
        <v>604</v>
      </c>
      <c r="AC334" s="6">
        <v>2186</v>
      </c>
      <c r="AD334" s="6">
        <v>312461</v>
      </c>
      <c r="AE334" s="6">
        <v>23223</v>
      </c>
      <c r="AF334" s="6">
        <v>7041</v>
      </c>
    </row>
    <row r="335" spans="1:32" x14ac:dyDescent="0.35">
      <c r="A335" s="1">
        <v>39890</v>
      </c>
      <c r="B335" s="6">
        <v>2066942</v>
      </c>
      <c r="C335" s="6">
        <v>11037</v>
      </c>
      <c r="D335" s="6">
        <v>2200</v>
      </c>
      <c r="E335" s="6">
        <v>1827</v>
      </c>
      <c r="F335" s="6">
        <v>1376047</v>
      </c>
      <c r="G335" s="6">
        <v>759465</v>
      </c>
      <c r="H335" s="6">
        <v>474704</v>
      </c>
      <c r="I335" s="6">
        <v>18423</v>
      </c>
      <c r="J335" s="6">
        <v>412914</v>
      </c>
      <c r="K335" s="6">
        <v>39378</v>
      </c>
      <c r="L335" s="6">
        <v>3990</v>
      </c>
      <c r="M335" s="6">
        <v>17130</v>
      </c>
      <c r="N335" s="6">
        <v>27381</v>
      </c>
      <c r="O335" s="6">
        <v>60924</v>
      </c>
      <c r="P335" s="6">
        <v>168678</v>
      </c>
      <c r="Q335" s="6">
        <v>100928</v>
      </c>
      <c r="R335" s="6">
        <v>99663</v>
      </c>
      <c r="S335" s="6">
        <v>48272</v>
      </c>
      <c r="T335" s="6">
        <v>236489</v>
      </c>
      <c r="U335" s="6">
        <v>14329</v>
      </c>
      <c r="V335" s="6">
        <v>-1678</v>
      </c>
      <c r="W335" s="6">
        <v>0</v>
      </c>
      <c r="X335" s="6">
        <v>135342</v>
      </c>
      <c r="Y335" s="6"/>
      <c r="Z335" s="6"/>
      <c r="AA335" s="6"/>
      <c r="AB335" s="6">
        <v>388</v>
      </c>
      <c r="AC335" s="6">
        <v>2187</v>
      </c>
      <c r="AD335" s="6">
        <v>329012</v>
      </c>
      <c r="AE335" s="6">
        <v>23560</v>
      </c>
      <c r="AF335" s="6">
        <v>7693</v>
      </c>
    </row>
    <row r="336" spans="1:32" x14ac:dyDescent="0.35">
      <c r="A336" s="1">
        <v>39897</v>
      </c>
      <c r="B336" s="6">
        <v>2071556</v>
      </c>
      <c r="C336" s="6">
        <v>11037</v>
      </c>
      <c r="D336" s="6">
        <v>2200</v>
      </c>
      <c r="E336" s="6">
        <v>1832</v>
      </c>
      <c r="F336" s="6">
        <v>1378907</v>
      </c>
      <c r="G336" s="6">
        <v>761295</v>
      </c>
      <c r="H336" s="6">
        <v>474746</v>
      </c>
      <c r="I336" s="6">
        <v>18423</v>
      </c>
      <c r="J336" s="6">
        <v>412914</v>
      </c>
      <c r="K336" s="6">
        <v>39378</v>
      </c>
      <c r="L336" s="6">
        <v>4032</v>
      </c>
      <c r="M336" s="6">
        <v>19286</v>
      </c>
      <c r="N336" s="6">
        <v>25225</v>
      </c>
      <c r="O336" s="6">
        <v>60925</v>
      </c>
      <c r="P336" s="6">
        <v>168691</v>
      </c>
      <c r="Q336" s="6">
        <v>100938</v>
      </c>
      <c r="R336" s="6">
        <v>99681</v>
      </c>
      <c r="S336" s="6">
        <v>50393</v>
      </c>
      <c r="T336" s="6">
        <v>236156</v>
      </c>
      <c r="U336" s="6">
        <v>14466</v>
      </c>
      <c r="V336" s="6">
        <v>-1671</v>
      </c>
      <c r="W336" s="6">
        <v>0</v>
      </c>
      <c r="X336" s="6">
        <v>136227</v>
      </c>
      <c r="Y336" s="6"/>
      <c r="Z336" s="6"/>
      <c r="AA336" s="6"/>
      <c r="AB336" s="6">
        <v>468</v>
      </c>
      <c r="AC336" s="6">
        <v>2187</v>
      </c>
      <c r="AD336" s="6">
        <v>327778</v>
      </c>
      <c r="AE336" s="6">
        <v>24077</v>
      </c>
      <c r="AF336" s="6">
        <v>9376</v>
      </c>
    </row>
    <row r="337" spans="1:32" x14ac:dyDescent="0.35">
      <c r="A337" s="1">
        <v>39904</v>
      </c>
      <c r="B337" s="6">
        <v>2078936</v>
      </c>
      <c r="C337" s="6">
        <v>11037</v>
      </c>
      <c r="D337" s="6">
        <v>2200</v>
      </c>
      <c r="E337" s="6">
        <v>1837</v>
      </c>
      <c r="F337" s="6">
        <v>1397886</v>
      </c>
      <c r="G337" s="6">
        <v>782583</v>
      </c>
      <c r="H337" s="6">
        <v>492330</v>
      </c>
      <c r="I337" s="6">
        <v>18423</v>
      </c>
      <c r="J337" s="6">
        <v>430454</v>
      </c>
      <c r="K337" s="6">
        <v>39378</v>
      </c>
      <c r="L337" s="6">
        <v>4076</v>
      </c>
      <c r="M337" s="6">
        <v>13077</v>
      </c>
      <c r="N337" s="6">
        <v>29809</v>
      </c>
      <c r="O337" s="6">
        <v>61898</v>
      </c>
      <c r="P337" s="6">
        <v>175762</v>
      </c>
      <c r="Q337" s="6">
        <v>109586</v>
      </c>
      <c r="R337" s="6">
        <v>102198</v>
      </c>
      <c r="S337" s="6">
        <v>53616</v>
      </c>
      <c r="T337" s="6">
        <v>236637</v>
      </c>
      <c r="U337" s="6">
        <v>16420</v>
      </c>
      <c r="V337" s="6">
        <v>-1479</v>
      </c>
      <c r="W337" s="6">
        <v>0</v>
      </c>
      <c r="X337" s="6">
        <v>133084</v>
      </c>
      <c r="Y337" s="6"/>
      <c r="Z337" s="6"/>
      <c r="AA337" s="6"/>
      <c r="AB337" s="6">
        <v>485</v>
      </c>
      <c r="AC337" s="6">
        <v>2183</v>
      </c>
      <c r="AD337" s="6">
        <v>308792</v>
      </c>
      <c r="AE337" s="6">
        <v>23607</v>
      </c>
      <c r="AF337" s="6">
        <v>8664</v>
      </c>
    </row>
    <row r="338" spans="1:32" x14ac:dyDescent="0.35">
      <c r="A338" s="1">
        <v>39911</v>
      </c>
      <c r="B338" s="6">
        <v>2088573</v>
      </c>
      <c r="C338" s="6">
        <v>11037</v>
      </c>
      <c r="D338" s="6">
        <v>2200</v>
      </c>
      <c r="E338" s="6">
        <v>1835</v>
      </c>
      <c r="F338" s="6">
        <v>1400769</v>
      </c>
      <c r="G338" s="6">
        <v>801353</v>
      </c>
      <c r="H338" s="6">
        <v>508414</v>
      </c>
      <c r="I338" s="6">
        <v>18423</v>
      </c>
      <c r="J338" s="6">
        <v>446488</v>
      </c>
      <c r="K338" s="6">
        <v>39378</v>
      </c>
      <c r="L338" s="6">
        <v>4127</v>
      </c>
      <c r="M338" s="6">
        <v>16944</v>
      </c>
      <c r="N338" s="6">
        <v>25942</v>
      </c>
      <c r="O338" s="6">
        <v>61900</v>
      </c>
      <c r="P338" s="6">
        <v>188973</v>
      </c>
      <c r="Q338" s="6">
        <v>109906</v>
      </c>
      <c r="R338" s="6">
        <v>104749</v>
      </c>
      <c r="S338" s="6">
        <v>56288</v>
      </c>
      <c r="T338" s="6">
        <v>236651</v>
      </c>
      <c r="U338" s="6">
        <v>18341</v>
      </c>
      <c r="V338" s="6">
        <v>-1433</v>
      </c>
      <c r="W338" s="6">
        <v>0</v>
      </c>
      <c r="X338" s="6">
        <v>115230</v>
      </c>
      <c r="Y338" s="6"/>
      <c r="Z338" s="6"/>
      <c r="AA338" s="6"/>
      <c r="AB338" s="6">
        <v>852</v>
      </c>
      <c r="AC338" s="6">
        <v>2185</v>
      </c>
      <c r="AD338" s="6">
        <v>313396</v>
      </c>
      <c r="AE338" s="6">
        <v>23614</v>
      </c>
      <c r="AF338" s="6">
        <v>9485</v>
      </c>
    </row>
    <row r="339" spans="1:32" x14ac:dyDescent="0.35">
      <c r="A339" s="1">
        <v>39918</v>
      </c>
      <c r="B339" s="6">
        <v>2186498</v>
      </c>
      <c r="C339" s="6">
        <v>11037</v>
      </c>
      <c r="D339" s="6">
        <v>2200</v>
      </c>
      <c r="E339" s="6">
        <v>1838</v>
      </c>
      <c r="F339" s="6">
        <v>1530060</v>
      </c>
      <c r="G339" s="6">
        <v>943181</v>
      </c>
      <c r="H339" s="6">
        <v>526103</v>
      </c>
      <c r="I339" s="6">
        <v>18423</v>
      </c>
      <c r="J339" s="6">
        <v>464032</v>
      </c>
      <c r="K339" s="6">
        <v>39473</v>
      </c>
      <c r="L339" s="6">
        <v>4176</v>
      </c>
      <c r="M339" s="6">
        <v>16262</v>
      </c>
      <c r="N339" s="6">
        <v>25685</v>
      </c>
      <c r="O339" s="6">
        <v>66351</v>
      </c>
      <c r="P339" s="6">
        <v>202091</v>
      </c>
      <c r="Q339" s="6">
        <v>110944</v>
      </c>
      <c r="R339" s="6">
        <v>104771</v>
      </c>
      <c r="S339" s="6">
        <v>61441</v>
      </c>
      <c r="T339" s="6">
        <v>355637</v>
      </c>
      <c r="U339" s="6">
        <v>21338</v>
      </c>
      <c r="V339" s="6">
        <v>-1459</v>
      </c>
      <c r="W339" s="6">
        <v>0</v>
      </c>
      <c r="X339" s="6">
        <v>111202</v>
      </c>
      <c r="Y339" s="6"/>
      <c r="Z339" s="6"/>
      <c r="AA339" s="6"/>
      <c r="AB339" s="6">
        <v>839</v>
      </c>
      <c r="AC339" s="6">
        <v>2187</v>
      </c>
      <c r="AD339" s="6">
        <v>293533</v>
      </c>
      <c r="AE339" s="6">
        <v>23564</v>
      </c>
      <c r="AF339" s="6">
        <v>10714</v>
      </c>
    </row>
    <row r="340" spans="1:32" x14ac:dyDescent="0.35">
      <c r="A340" s="1">
        <v>39925</v>
      </c>
      <c r="B340" s="6">
        <v>2196812</v>
      </c>
      <c r="C340" s="6">
        <v>11037</v>
      </c>
      <c r="D340" s="6">
        <v>2200</v>
      </c>
      <c r="E340" s="6">
        <v>1870</v>
      </c>
      <c r="F340" s="6">
        <v>1547291</v>
      </c>
      <c r="G340" s="6">
        <v>967070</v>
      </c>
      <c r="H340" s="6">
        <v>534969</v>
      </c>
      <c r="I340" s="6">
        <v>18423</v>
      </c>
      <c r="J340" s="6">
        <v>471032</v>
      </c>
      <c r="K340" s="6">
        <v>40976</v>
      </c>
      <c r="L340" s="6">
        <v>4538</v>
      </c>
      <c r="M340" s="6">
        <v>18418</v>
      </c>
      <c r="N340" s="6">
        <v>24763</v>
      </c>
      <c r="O340" s="6">
        <v>65120</v>
      </c>
      <c r="P340" s="6">
        <v>202796</v>
      </c>
      <c r="Q340" s="6">
        <v>117956</v>
      </c>
      <c r="R340" s="6">
        <v>105916</v>
      </c>
      <c r="S340" s="6">
        <v>64511</v>
      </c>
      <c r="T340" s="6">
        <v>367590</v>
      </c>
      <c r="U340" s="6">
        <v>22891</v>
      </c>
      <c r="V340" s="6">
        <v>-1457</v>
      </c>
      <c r="W340" s="6">
        <v>0</v>
      </c>
      <c r="X340" s="6">
        <v>102988</v>
      </c>
      <c r="Y340" s="6"/>
      <c r="Z340" s="6"/>
      <c r="AA340" s="6"/>
      <c r="AB340" s="6">
        <v>803</v>
      </c>
      <c r="AC340" s="6">
        <v>2191</v>
      </c>
      <c r="AD340" s="6">
        <v>282863</v>
      </c>
      <c r="AE340" s="6">
        <v>23541</v>
      </c>
      <c r="AF340" s="6">
        <v>10423</v>
      </c>
    </row>
    <row r="341" spans="1:32" x14ac:dyDescent="0.35">
      <c r="A341" s="1">
        <v>39932</v>
      </c>
      <c r="B341" s="6">
        <v>2066712</v>
      </c>
      <c r="C341" s="6">
        <v>11037</v>
      </c>
      <c r="D341" s="6">
        <v>2200</v>
      </c>
      <c r="E341" s="6">
        <v>1879</v>
      </c>
      <c r="F341" s="6">
        <v>1510669</v>
      </c>
      <c r="G341" s="6">
        <v>983358</v>
      </c>
      <c r="H341" s="6">
        <v>549046</v>
      </c>
      <c r="I341" s="6">
        <v>18423</v>
      </c>
      <c r="J341" s="6">
        <v>485057</v>
      </c>
      <c r="K341" s="6">
        <v>40976</v>
      </c>
      <c r="L341" s="6">
        <v>4590</v>
      </c>
      <c r="M341" s="6">
        <v>15915</v>
      </c>
      <c r="N341" s="6">
        <v>27266</v>
      </c>
      <c r="O341" s="6">
        <v>65124</v>
      </c>
      <c r="P341" s="6">
        <v>216801</v>
      </c>
      <c r="Q341" s="6">
        <v>118003</v>
      </c>
      <c r="R341" s="6">
        <v>105939</v>
      </c>
      <c r="S341" s="6">
        <v>68158</v>
      </c>
      <c r="T341" s="6">
        <v>366153</v>
      </c>
      <c r="U341" s="6">
        <v>23645</v>
      </c>
      <c r="V341" s="6">
        <v>-1438</v>
      </c>
      <c r="W341" s="6">
        <v>0</v>
      </c>
      <c r="X341" s="6">
        <v>101531</v>
      </c>
      <c r="Y341" s="6"/>
      <c r="Z341" s="6"/>
      <c r="AA341" s="6"/>
      <c r="AB341" s="6">
        <v>704</v>
      </c>
      <c r="AC341" s="6">
        <v>2204</v>
      </c>
      <c r="AD341" s="6">
        <v>249513</v>
      </c>
      <c r="AE341" s="6">
        <v>23867</v>
      </c>
      <c r="AF341" s="6">
        <v>10564</v>
      </c>
    </row>
    <row r="342" spans="1:32" x14ac:dyDescent="0.35">
      <c r="A342" s="1">
        <v>39939</v>
      </c>
      <c r="B342" s="6">
        <v>2079758</v>
      </c>
      <c r="C342" s="6">
        <v>11037</v>
      </c>
      <c r="D342" s="6">
        <v>2200</v>
      </c>
      <c r="E342" s="6">
        <v>1901</v>
      </c>
      <c r="F342" s="6">
        <v>1546977</v>
      </c>
      <c r="G342" s="6">
        <v>997895</v>
      </c>
      <c r="H342" s="6">
        <v>560601</v>
      </c>
      <c r="I342" s="6">
        <v>18423</v>
      </c>
      <c r="J342" s="6">
        <v>496305</v>
      </c>
      <c r="K342" s="6">
        <v>41253</v>
      </c>
      <c r="L342" s="6">
        <v>4620</v>
      </c>
      <c r="M342" s="6">
        <v>28564</v>
      </c>
      <c r="N342" s="6">
        <v>13720</v>
      </c>
      <c r="O342" s="6">
        <v>64996</v>
      </c>
      <c r="P342" s="6">
        <v>216934</v>
      </c>
      <c r="Q342" s="6">
        <v>127410</v>
      </c>
      <c r="R342" s="6">
        <v>108976</v>
      </c>
      <c r="S342" s="6">
        <v>71474</v>
      </c>
      <c r="T342" s="6">
        <v>365820</v>
      </c>
      <c r="U342" s="6">
        <v>25971</v>
      </c>
      <c r="V342" s="6">
        <v>-1499</v>
      </c>
      <c r="W342" s="6">
        <v>0</v>
      </c>
      <c r="X342" s="6">
        <v>121037</v>
      </c>
      <c r="Y342" s="6"/>
      <c r="Z342" s="6"/>
      <c r="AA342" s="6"/>
      <c r="AB342" s="6">
        <v>915</v>
      </c>
      <c r="AC342" s="6">
        <v>2194</v>
      </c>
      <c r="AD342" s="6">
        <v>249302</v>
      </c>
      <c r="AE342" s="6">
        <v>23733</v>
      </c>
      <c r="AF342" s="6">
        <v>10984</v>
      </c>
    </row>
    <row r="343" spans="1:32" x14ac:dyDescent="0.35">
      <c r="A343" s="1">
        <v>39946</v>
      </c>
      <c r="B343" s="6">
        <v>2196351</v>
      </c>
      <c r="C343" s="6">
        <v>11037</v>
      </c>
      <c r="D343" s="6">
        <v>2200</v>
      </c>
      <c r="E343" s="6">
        <v>1860</v>
      </c>
      <c r="F343" s="6">
        <v>1669534</v>
      </c>
      <c r="G343" s="6">
        <v>1081591</v>
      </c>
      <c r="H343" s="6">
        <v>577091</v>
      </c>
      <c r="I343" s="6">
        <v>18423</v>
      </c>
      <c r="J343" s="6">
        <v>512770</v>
      </c>
      <c r="K343" s="6">
        <v>41253</v>
      </c>
      <c r="L343" s="6">
        <v>4645</v>
      </c>
      <c r="M343" s="6">
        <v>25044</v>
      </c>
      <c r="N343" s="6">
        <v>17240</v>
      </c>
      <c r="O343" s="6">
        <v>64998</v>
      </c>
      <c r="P343" s="6">
        <v>229896</v>
      </c>
      <c r="Q343" s="6">
        <v>127416</v>
      </c>
      <c r="R343" s="6">
        <v>112497</v>
      </c>
      <c r="S343" s="6">
        <v>72955</v>
      </c>
      <c r="T343" s="6">
        <v>431545</v>
      </c>
      <c r="U343" s="6">
        <v>28543</v>
      </c>
      <c r="V343" s="6">
        <v>-1484</v>
      </c>
      <c r="W343" s="6">
        <v>0</v>
      </c>
      <c r="X343" s="6">
        <v>132049</v>
      </c>
      <c r="Y343" s="6"/>
      <c r="Z343" s="6"/>
      <c r="AA343" s="6"/>
      <c r="AB343" s="6">
        <v>360</v>
      </c>
      <c r="AC343" s="6">
        <v>2194</v>
      </c>
      <c r="AD343" s="6">
        <v>246838</v>
      </c>
      <c r="AE343" s="6">
        <v>24331</v>
      </c>
      <c r="AF343" s="6">
        <v>12640</v>
      </c>
    </row>
    <row r="344" spans="1:32" x14ac:dyDescent="0.35">
      <c r="A344" s="1">
        <v>39953</v>
      </c>
      <c r="B344" s="6">
        <v>2181632</v>
      </c>
      <c r="C344" s="6">
        <v>11037</v>
      </c>
      <c r="D344" s="6">
        <v>2200</v>
      </c>
      <c r="E344" s="6">
        <v>1818</v>
      </c>
      <c r="F344" s="6">
        <v>1674986</v>
      </c>
      <c r="G344" s="6">
        <v>1091426</v>
      </c>
      <c r="H344" s="6">
        <v>583271</v>
      </c>
      <c r="I344" s="6">
        <v>18423</v>
      </c>
      <c r="J344" s="6">
        <v>518925</v>
      </c>
      <c r="K344" s="6">
        <v>41253</v>
      </c>
      <c r="L344" s="6">
        <v>4671</v>
      </c>
      <c r="M344" s="6">
        <v>18121</v>
      </c>
      <c r="N344" s="6">
        <v>23187</v>
      </c>
      <c r="O344" s="6">
        <v>60214</v>
      </c>
      <c r="P344" s="6">
        <v>235265</v>
      </c>
      <c r="Q344" s="6">
        <v>128320</v>
      </c>
      <c r="R344" s="6">
        <v>118164</v>
      </c>
      <c r="S344" s="6">
        <v>76674</v>
      </c>
      <c r="T344" s="6">
        <v>431480</v>
      </c>
      <c r="U344" s="6">
        <v>29905</v>
      </c>
      <c r="V344" s="6">
        <v>-1528</v>
      </c>
      <c r="W344" s="6">
        <v>0</v>
      </c>
      <c r="X344" s="6">
        <v>126349</v>
      </c>
      <c r="Y344" s="6"/>
      <c r="Z344" s="6"/>
      <c r="AA344" s="6"/>
      <c r="AB344" s="6">
        <v>407</v>
      </c>
      <c r="AC344" s="6">
        <v>2196</v>
      </c>
      <c r="AD344" s="6">
        <v>235112</v>
      </c>
      <c r="AE344" s="6">
        <v>24574</v>
      </c>
      <c r="AF344" s="6">
        <v>10008</v>
      </c>
    </row>
    <row r="345" spans="1:32" x14ac:dyDescent="0.35">
      <c r="A345" s="1">
        <v>39960</v>
      </c>
      <c r="B345" s="6">
        <v>2080115</v>
      </c>
      <c r="C345" s="6">
        <v>11037</v>
      </c>
      <c r="D345" s="6">
        <v>2200</v>
      </c>
      <c r="E345" s="6">
        <v>1790</v>
      </c>
      <c r="F345" s="6">
        <v>1633549</v>
      </c>
      <c r="G345" s="6">
        <v>1107447</v>
      </c>
      <c r="H345" s="6">
        <v>600142</v>
      </c>
      <c r="I345" s="6">
        <v>18423</v>
      </c>
      <c r="J345" s="6">
        <v>534022</v>
      </c>
      <c r="K345" s="6">
        <v>42803</v>
      </c>
      <c r="L345" s="6">
        <v>4894</v>
      </c>
      <c r="M345" s="6">
        <v>15618</v>
      </c>
      <c r="N345" s="6">
        <v>25691</v>
      </c>
      <c r="O345" s="6">
        <v>61765</v>
      </c>
      <c r="P345" s="6">
        <v>241533</v>
      </c>
      <c r="Q345" s="6">
        <v>137233</v>
      </c>
      <c r="R345" s="6">
        <v>118302</v>
      </c>
      <c r="S345" s="6">
        <v>79753</v>
      </c>
      <c r="T345" s="6">
        <v>427552</v>
      </c>
      <c r="U345" s="6">
        <v>31534</v>
      </c>
      <c r="V345" s="6">
        <v>-1544</v>
      </c>
      <c r="W345" s="6">
        <v>0</v>
      </c>
      <c r="X345" s="6">
        <v>123572</v>
      </c>
      <c r="Y345" s="6"/>
      <c r="Z345" s="6"/>
      <c r="AA345" s="6"/>
      <c r="AB345" s="6">
        <v>1259</v>
      </c>
      <c r="AC345" s="6">
        <v>2198</v>
      </c>
      <c r="AD345" s="6">
        <v>181647</v>
      </c>
      <c r="AE345" s="6">
        <v>24625</v>
      </c>
      <c r="AF345" s="6">
        <v>10075</v>
      </c>
    </row>
    <row r="346" spans="1:32" x14ac:dyDescent="0.35">
      <c r="A346" s="1">
        <v>39967</v>
      </c>
      <c r="B346" s="6">
        <v>2077695</v>
      </c>
      <c r="C346" s="6">
        <v>11037</v>
      </c>
      <c r="D346" s="6">
        <v>2200</v>
      </c>
      <c r="E346" s="6">
        <v>1785</v>
      </c>
      <c r="F346" s="6">
        <v>1643103</v>
      </c>
      <c r="G346" s="6">
        <v>1115772</v>
      </c>
      <c r="H346" s="6">
        <v>606168</v>
      </c>
      <c r="I346" s="6">
        <v>18423</v>
      </c>
      <c r="J346" s="6">
        <v>540022</v>
      </c>
      <c r="K346" s="6">
        <v>42803</v>
      </c>
      <c r="L346" s="6">
        <v>4921</v>
      </c>
      <c r="M346" s="6">
        <v>16692</v>
      </c>
      <c r="N346" s="6">
        <v>24417</v>
      </c>
      <c r="O346" s="6">
        <v>60942</v>
      </c>
      <c r="P346" s="6">
        <v>247670</v>
      </c>
      <c r="Q346" s="6">
        <v>138134</v>
      </c>
      <c r="R346" s="6">
        <v>118313</v>
      </c>
      <c r="S346" s="6">
        <v>81971</v>
      </c>
      <c r="T346" s="6">
        <v>427633</v>
      </c>
      <c r="U346" s="6">
        <v>32097</v>
      </c>
      <c r="V346" s="6">
        <v>-1546</v>
      </c>
      <c r="W346" s="6">
        <v>0</v>
      </c>
      <c r="X346" s="6">
        <v>124239</v>
      </c>
      <c r="Y346" s="6"/>
      <c r="Z346" s="6"/>
      <c r="AA346" s="6"/>
      <c r="AB346" s="6">
        <v>1145</v>
      </c>
      <c r="AC346" s="6">
        <v>2194</v>
      </c>
      <c r="AD346" s="6">
        <v>175742</v>
      </c>
      <c r="AE346" s="6">
        <v>24843</v>
      </c>
      <c r="AF346" s="6">
        <v>10470</v>
      </c>
    </row>
    <row r="347" spans="1:32" x14ac:dyDescent="0.35">
      <c r="A347" s="1">
        <v>39974</v>
      </c>
      <c r="B347" s="6">
        <v>2052297</v>
      </c>
      <c r="C347" s="6">
        <v>11037</v>
      </c>
      <c r="D347" s="6">
        <v>2200</v>
      </c>
      <c r="E347" s="6">
        <v>1781</v>
      </c>
      <c r="F347" s="6">
        <v>1634904</v>
      </c>
      <c r="G347" s="6">
        <v>1142475</v>
      </c>
      <c r="H347" s="6">
        <v>628690</v>
      </c>
      <c r="I347" s="6">
        <v>18423</v>
      </c>
      <c r="J347" s="6">
        <v>562516</v>
      </c>
      <c r="K347" s="6">
        <v>42803</v>
      </c>
      <c r="L347" s="6">
        <v>4948</v>
      </c>
      <c r="M347" s="6">
        <v>13172</v>
      </c>
      <c r="N347" s="6">
        <v>27937</v>
      </c>
      <c r="O347" s="6">
        <v>60945</v>
      </c>
      <c r="P347" s="6">
        <v>255193</v>
      </c>
      <c r="Q347" s="6">
        <v>153118</v>
      </c>
      <c r="R347" s="6">
        <v>118325</v>
      </c>
      <c r="S347" s="6">
        <v>86369</v>
      </c>
      <c r="T347" s="6">
        <v>427416</v>
      </c>
      <c r="U347" s="6">
        <v>33395</v>
      </c>
      <c r="V347" s="6">
        <v>-1524</v>
      </c>
      <c r="W347" s="6">
        <v>0</v>
      </c>
      <c r="X347" s="6">
        <v>123992</v>
      </c>
      <c r="Y347" s="6"/>
      <c r="Z347" s="6"/>
      <c r="AA347" s="6"/>
      <c r="AB347" s="6">
        <v>592</v>
      </c>
      <c r="AC347" s="6">
        <v>2196</v>
      </c>
      <c r="AD347" s="6">
        <v>164234</v>
      </c>
      <c r="AE347" s="6">
        <v>24381</v>
      </c>
      <c r="AF347" s="6">
        <v>10699</v>
      </c>
    </row>
    <row r="348" spans="1:32" x14ac:dyDescent="0.35">
      <c r="A348" s="1">
        <v>39981</v>
      </c>
      <c r="B348" s="6">
        <v>2072527</v>
      </c>
      <c r="C348" s="6">
        <v>11037</v>
      </c>
      <c r="D348" s="6">
        <v>2200</v>
      </c>
      <c r="E348" s="6">
        <v>1781</v>
      </c>
      <c r="F348" s="6">
        <v>1675427</v>
      </c>
      <c r="G348" s="6">
        <v>1184397</v>
      </c>
      <c r="H348" s="6">
        <v>638668</v>
      </c>
      <c r="I348" s="6">
        <v>18423</v>
      </c>
      <c r="J348" s="6">
        <v>572466</v>
      </c>
      <c r="K348" s="6">
        <v>42803</v>
      </c>
      <c r="L348" s="6">
        <v>4976</v>
      </c>
      <c r="M348" s="6">
        <v>17661</v>
      </c>
      <c r="N348" s="6">
        <v>22908</v>
      </c>
      <c r="O348" s="6">
        <v>61204</v>
      </c>
      <c r="P348" s="6">
        <v>261617</v>
      </c>
      <c r="Q348" s="6">
        <v>153325</v>
      </c>
      <c r="R348" s="6">
        <v>121952</v>
      </c>
      <c r="S348" s="6">
        <v>89765</v>
      </c>
      <c r="T348" s="6">
        <v>455964</v>
      </c>
      <c r="U348" s="6">
        <v>33205</v>
      </c>
      <c r="V348" s="6">
        <v>-1712</v>
      </c>
      <c r="W348" s="6">
        <v>0</v>
      </c>
      <c r="X348" s="6">
        <v>122972</v>
      </c>
      <c r="Y348" s="6"/>
      <c r="Z348" s="6"/>
      <c r="AA348" s="6"/>
      <c r="AB348" s="6">
        <v>719</v>
      </c>
      <c r="AC348" s="6">
        <v>2200</v>
      </c>
      <c r="AD348" s="6">
        <v>148563</v>
      </c>
      <c r="AE348" s="6">
        <v>24512</v>
      </c>
      <c r="AF348" s="6">
        <v>12036</v>
      </c>
    </row>
    <row r="349" spans="1:32" x14ac:dyDescent="0.35">
      <c r="A349" s="1">
        <v>39988</v>
      </c>
      <c r="B349" s="6">
        <v>2025571</v>
      </c>
      <c r="C349" s="6">
        <v>11037</v>
      </c>
      <c r="D349" s="6">
        <v>2200</v>
      </c>
      <c r="E349" s="6">
        <v>1779</v>
      </c>
      <c r="F349" s="6">
        <v>1665705</v>
      </c>
      <c r="G349" s="6">
        <v>1217044</v>
      </c>
      <c r="H349" s="6">
        <v>653193</v>
      </c>
      <c r="I349" s="6">
        <v>18423</v>
      </c>
      <c r="J349" s="6">
        <v>586963</v>
      </c>
      <c r="K349" s="6">
        <v>42803</v>
      </c>
      <c r="L349" s="6">
        <v>5004</v>
      </c>
      <c r="M349" s="6">
        <v>15158</v>
      </c>
      <c r="N349" s="6">
        <v>25412</v>
      </c>
      <c r="O349" s="6">
        <v>61206</v>
      </c>
      <c r="P349" s="6">
        <v>262703</v>
      </c>
      <c r="Q349" s="6">
        <v>166750</v>
      </c>
      <c r="R349" s="6">
        <v>121964</v>
      </c>
      <c r="S349" s="6">
        <v>96626</v>
      </c>
      <c r="T349" s="6">
        <v>467226</v>
      </c>
      <c r="U349" s="6">
        <v>34950</v>
      </c>
      <c r="V349" s="6">
        <v>-1756</v>
      </c>
      <c r="W349" s="6">
        <v>0</v>
      </c>
      <c r="X349" s="6">
        <v>132659</v>
      </c>
      <c r="Y349" s="6"/>
      <c r="Z349" s="6"/>
      <c r="AA349" s="6"/>
      <c r="AB349" s="6">
        <v>479</v>
      </c>
      <c r="AC349" s="6">
        <v>2202</v>
      </c>
      <c r="AD349" s="6">
        <v>119430</v>
      </c>
      <c r="AE349" s="6">
        <v>24683</v>
      </c>
      <c r="AF349" s="6">
        <v>12020</v>
      </c>
    </row>
    <row r="350" spans="1:32" x14ac:dyDescent="0.35">
      <c r="A350" s="1">
        <v>39995</v>
      </c>
      <c r="B350" s="6">
        <v>2005627</v>
      </c>
      <c r="C350" s="6">
        <v>11037</v>
      </c>
      <c r="D350" s="6">
        <v>2200</v>
      </c>
      <c r="E350" s="6">
        <v>1778</v>
      </c>
      <c r="F350" s="6">
        <v>1660153</v>
      </c>
      <c r="G350" s="6">
        <v>1223742</v>
      </c>
      <c r="H350" s="6">
        <v>663470</v>
      </c>
      <c r="I350" s="6">
        <v>18423</v>
      </c>
      <c r="J350" s="6">
        <v>597212</v>
      </c>
      <c r="K350" s="6">
        <v>42803</v>
      </c>
      <c r="L350" s="6">
        <v>5032</v>
      </c>
      <c r="M350" s="6">
        <v>17239</v>
      </c>
      <c r="N350" s="6">
        <v>20311</v>
      </c>
      <c r="O350" s="6">
        <v>64426</v>
      </c>
      <c r="P350" s="6">
        <v>261730</v>
      </c>
      <c r="Q350" s="6">
        <v>174540</v>
      </c>
      <c r="R350" s="6">
        <v>125225</v>
      </c>
      <c r="S350" s="6">
        <v>97828</v>
      </c>
      <c r="T350" s="6">
        <v>462444</v>
      </c>
      <c r="U350" s="6">
        <v>36309</v>
      </c>
      <c r="V350" s="6">
        <v>-1776</v>
      </c>
      <c r="W350" s="6">
        <v>0</v>
      </c>
      <c r="X350" s="6">
        <v>119070</v>
      </c>
      <c r="Y350" s="6"/>
      <c r="Z350" s="6"/>
      <c r="AA350" s="6"/>
      <c r="AB350" s="6">
        <v>776</v>
      </c>
      <c r="AC350" s="6">
        <v>2196</v>
      </c>
      <c r="AD350" s="6">
        <v>114585</v>
      </c>
      <c r="AE350" s="6">
        <v>24761</v>
      </c>
      <c r="AF350" s="6">
        <v>11292</v>
      </c>
    </row>
    <row r="351" spans="1:32" x14ac:dyDescent="0.35">
      <c r="A351" s="1">
        <v>40002</v>
      </c>
      <c r="B351" s="6">
        <v>1992740</v>
      </c>
      <c r="C351" s="6">
        <v>11037</v>
      </c>
      <c r="D351" s="6">
        <v>2200</v>
      </c>
      <c r="E351" s="6">
        <v>1777</v>
      </c>
      <c r="F351" s="6">
        <v>1655621</v>
      </c>
      <c r="G351" s="6">
        <v>1233781</v>
      </c>
      <c r="H351" s="6">
        <v>673500</v>
      </c>
      <c r="I351" s="6">
        <v>18423</v>
      </c>
      <c r="J351" s="6">
        <v>607211</v>
      </c>
      <c r="K351" s="6">
        <v>42803</v>
      </c>
      <c r="L351" s="6">
        <v>5063</v>
      </c>
      <c r="M351" s="6">
        <v>13719</v>
      </c>
      <c r="N351" s="6">
        <v>25815</v>
      </c>
      <c r="O351" s="6">
        <v>62445</v>
      </c>
      <c r="P351" s="6">
        <v>266166</v>
      </c>
      <c r="Q351" s="6">
        <v>177120</v>
      </c>
      <c r="R351" s="6">
        <v>128236</v>
      </c>
      <c r="S351" s="6">
        <v>97828</v>
      </c>
      <c r="T351" s="6">
        <v>462453</v>
      </c>
      <c r="U351" s="6">
        <v>37498</v>
      </c>
      <c r="V351" s="6">
        <v>-1847</v>
      </c>
      <c r="W351" s="6">
        <v>0</v>
      </c>
      <c r="X351" s="6">
        <v>112482</v>
      </c>
      <c r="Y351" s="6"/>
      <c r="Z351" s="6"/>
      <c r="AA351" s="6"/>
      <c r="AB351" s="6">
        <v>371</v>
      </c>
      <c r="AC351" s="6">
        <v>2199</v>
      </c>
      <c r="AD351" s="6">
        <v>109144</v>
      </c>
      <c r="AE351" s="6">
        <v>24799</v>
      </c>
      <c r="AF351" s="6">
        <v>12222</v>
      </c>
    </row>
    <row r="352" spans="1:32" x14ac:dyDescent="0.35">
      <c r="A352" s="1">
        <v>40009</v>
      </c>
      <c r="B352" s="6">
        <v>2072451</v>
      </c>
      <c r="C352" s="6">
        <v>11037</v>
      </c>
      <c r="D352" s="6">
        <v>2200</v>
      </c>
      <c r="E352" s="6">
        <v>1792</v>
      </c>
      <c r="F352" s="6">
        <v>1734301</v>
      </c>
      <c r="G352" s="6">
        <v>1312150</v>
      </c>
      <c r="H352" s="6">
        <v>684030</v>
      </c>
      <c r="I352" s="6">
        <v>18423</v>
      </c>
      <c r="J352" s="6">
        <v>617575</v>
      </c>
      <c r="K352" s="6">
        <v>42939</v>
      </c>
      <c r="L352" s="6">
        <v>5095</v>
      </c>
      <c r="M352" s="6">
        <v>14641</v>
      </c>
      <c r="N352" s="6">
        <v>23658</v>
      </c>
      <c r="O352" s="6">
        <v>63666</v>
      </c>
      <c r="P352" s="6">
        <v>277242</v>
      </c>
      <c r="Q352" s="6">
        <v>176253</v>
      </c>
      <c r="R352" s="6">
        <v>128570</v>
      </c>
      <c r="S352" s="6">
        <v>101701</v>
      </c>
      <c r="T352" s="6">
        <v>526418</v>
      </c>
      <c r="U352" s="6">
        <v>37545</v>
      </c>
      <c r="V352" s="6">
        <v>-2371</v>
      </c>
      <c r="W352" s="6">
        <v>0</v>
      </c>
      <c r="X352" s="6">
        <v>113286</v>
      </c>
      <c r="Y352" s="6"/>
      <c r="Z352" s="6"/>
      <c r="AA352" s="6"/>
      <c r="AB352" s="6">
        <v>456</v>
      </c>
      <c r="AC352" s="6">
        <v>2201</v>
      </c>
      <c r="AD352" s="6">
        <v>111641</v>
      </c>
      <c r="AE352" s="6">
        <v>24954</v>
      </c>
      <c r="AF352" s="6">
        <v>12270</v>
      </c>
    </row>
    <row r="353" spans="1:32" x14ac:dyDescent="0.35">
      <c r="A353" s="1">
        <v>40016</v>
      </c>
      <c r="B353" s="6">
        <v>2039001</v>
      </c>
      <c r="C353" s="6">
        <v>11037</v>
      </c>
      <c r="D353" s="6">
        <v>2200</v>
      </c>
      <c r="E353" s="6">
        <v>1838</v>
      </c>
      <c r="F353" s="6">
        <v>1723107</v>
      </c>
      <c r="G353" s="6">
        <v>1340871</v>
      </c>
      <c r="H353" s="6">
        <v>692726</v>
      </c>
      <c r="I353" s="6">
        <v>18423</v>
      </c>
      <c r="J353" s="6">
        <v>624575</v>
      </c>
      <c r="K353" s="6">
        <v>44438</v>
      </c>
      <c r="L353" s="6">
        <v>5291</v>
      </c>
      <c r="M353" s="6">
        <v>15018</v>
      </c>
      <c r="N353" s="6">
        <v>23891</v>
      </c>
      <c r="O353" s="6">
        <v>63994</v>
      </c>
      <c r="P353" s="6">
        <v>277376</v>
      </c>
      <c r="Q353" s="6">
        <v>183943</v>
      </c>
      <c r="R353" s="6">
        <v>128504</v>
      </c>
      <c r="S353" s="6">
        <v>102680</v>
      </c>
      <c r="T353" s="6">
        <v>545466</v>
      </c>
      <c r="U353" s="6">
        <v>37944</v>
      </c>
      <c r="V353" s="6">
        <v>-2480</v>
      </c>
      <c r="W353" s="6">
        <v>0</v>
      </c>
      <c r="X353" s="6">
        <v>109137</v>
      </c>
      <c r="Y353" s="6"/>
      <c r="Z353" s="6"/>
      <c r="AA353" s="6"/>
      <c r="AB353" s="6">
        <v>438</v>
      </c>
      <c r="AC353" s="6">
        <v>2211</v>
      </c>
      <c r="AD353" s="6">
        <v>89582</v>
      </c>
      <c r="AE353" s="6">
        <v>25034</v>
      </c>
      <c r="AF353" s="6">
        <v>13055</v>
      </c>
    </row>
    <row r="354" spans="1:32" x14ac:dyDescent="0.35">
      <c r="A354" s="1">
        <v>40023</v>
      </c>
      <c r="B354" s="6">
        <v>2000547</v>
      </c>
      <c r="C354" s="6">
        <v>11037</v>
      </c>
      <c r="D354" s="6">
        <v>2200</v>
      </c>
      <c r="E354" s="6">
        <v>1895</v>
      </c>
      <c r="F354" s="6">
        <v>1727883</v>
      </c>
      <c r="G354" s="6">
        <v>1344561</v>
      </c>
      <c r="H354" s="6">
        <v>695758</v>
      </c>
      <c r="I354" s="6">
        <v>18423</v>
      </c>
      <c r="J354" s="6">
        <v>627575</v>
      </c>
      <c r="K354" s="6">
        <v>44438</v>
      </c>
      <c r="L354" s="6">
        <v>5323</v>
      </c>
      <c r="M354" s="6">
        <v>18885</v>
      </c>
      <c r="N354" s="6">
        <v>20024</v>
      </c>
      <c r="O354" s="6">
        <v>63997</v>
      </c>
      <c r="P354" s="6">
        <v>277385</v>
      </c>
      <c r="Q354" s="6">
        <v>183950</v>
      </c>
      <c r="R354" s="6">
        <v>131517</v>
      </c>
      <c r="S354" s="6">
        <v>105915</v>
      </c>
      <c r="T354" s="6">
        <v>542888</v>
      </c>
      <c r="U354" s="6">
        <v>38319</v>
      </c>
      <c r="V354" s="6">
        <v>-2506</v>
      </c>
      <c r="W354" s="6">
        <v>0</v>
      </c>
      <c r="X354" s="6">
        <v>109888</v>
      </c>
      <c r="Y354" s="6"/>
      <c r="Z354" s="6"/>
      <c r="AA354" s="6"/>
      <c r="AB354" s="6">
        <v>230</v>
      </c>
      <c r="AC354" s="6">
        <v>2215</v>
      </c>
      <c r="AD354" s="6">
        <v>87738</v>
      </c>
      <c r="AE354" s="6">
        <v>24705</v>
      </c>
      <c r="AF354" s="6">
        <v>13195</v>
      </c>
    </row>
    <row r="355" spans="1:32" x14ac:dyDescent="0.35">
      <c r="A355" s="1">
        <v>40030</v>
      </c>
      <c r="B355" s="6">
        <v>1989203</v>
      </c>
      <c r="C355" s="6">
        <v>11037</v>
      </c>
      <c r="D355" s="6">
        <v>2200</v>
      </c>
      <c r="E355" s="6">
        <v>1936</v>
      </c>
      <c r="F355" s="6">
        <v>1732430</v>
      </c>
      <c r="G355" s="6">
        <v>1356282</v>
      </c>
      <c r="H355" s="6">
        <v>705331</v>
      </c>
      <c r="I355" s="6">
        <v>18423</v>
      </c>
      <c r="J355" s="6">
        <v>636919</v>
      </c>
      <c r="K355" s="6">
        <v>44588</v>
      </c>
      <c r="L355" s="6">
        <v>5401</v>
      </c>
      <c r="M355" s="6">
        <v>24068</v>
      </c>
      <c r="N355" s="6">
        <v>14820</v>
      </c>
      <c r="O355" s="6">
        <v>64561</v>
      </c>
      <c r="P355" s="6">
        <v>282516</v>
      </c>
      <c r="Q355" s="6">
        <v>184669</v>
      </c>
      <c r="R355" s="6">
        <v>134697</v>
      </c>
      <c r="S355" s="6">
        <v>108066</v>
      </c>
      <c r="T355" s="6">
        <v>542885</v>
      </c>
      <c r="U355" s="6">
        <v>39344</v>
      </c>
      <c r="V355" s="6">
        <v>-2531</v>
      </c>
      <c r="W355" s="6">
        <v>0</v>
      </c>
      <c r="X355" s="6">
        <v>105737</v>
      </c>
      <c r="Y355" s="6"/>
      <c r="Z355" s="6"/>
      <c r="AA355" s="6"/>
      <c r="AB355" s="6">
        <v>586</v>
      </c>
      <c r="AC355" s="6">
        <v>2208</v>
      </c>
      <c r="AD355" s="6">
        <v>76271</v>
      </c>
      <c r="AE355" s="6">
        <v>25083</v>
      </c>
      <c r="AF355" s="6">
        <v>13890</v>
      </c>
    </row>
    <row r="356" spans="1:32" x14ac:dyDescent="0.35">
      <c r="A356" s="1">
        <v>40037</v>
      </c>
      <c r="B356" s="6">
        <v>2014899</v>
      </c>
      <c r="C356" s="6">
        <v>11037</v>
      </c>
      <c r="D356" s="6">
        <v>2200</v>
      </c>
      <c r="E356" s="6">
        <v>1913</v>
      </c>
      <c r="F356" s="6">
        <v>1762173</v>
      </c>
      <c r="G356" s="6">
        <v>1381862</v>
      </c>
      <c r="H356" s="6">
        <v>728974</v>
      </c>
      <c r="I356" s="6">
        <v>18423</v>
      </c>
      <c r="J356" s="6">
        <v>660465</v>
      </c>
      <c r="K356" s="6">
        <v>44588</v>
      </c>
      <c r="L356" s="6">
        <v>5498</v>
      </c>
      <c r="M356" s="6">
        <v>26225</v>
      </c>
      <c r="N356" s="6">
        <v>12664</v>
      </c>
      <c r="O356" s="6">
        <v>64572</v>
      </c>
      <c r="P356" s="6">
        <v>295420</v>
      </c>
      <c r="Q356" s="6">
        <v>192654</v>
      </c>
      <c r="R356" s="6">
        <v>137439</v>
      </c>
      <c r="S356" s="6">
        <v>110003</v>
      </c>
      <c r="T356" s="6">
        <v>542885</v>
      </c>
      <c r="U356" s="6">
        <v>40261</v>
      </c>
      <c r="V356" s="6">
        <v>-2732</v>
      </c>
      <c r="W356" s="6">
        <v>0</v>
      </c>
      <c r="X356" s="6">
        <v>109184</v>
      </c>
      <c r="Y356" s="6"/>
      <c r="Z356" s="6"/>
      <c r="AA356" s="6"/>
      <c r="AB356" s="6">
        <v>462</v>
      </c>
      <c r="AC356" s="6">
        <v>2214</v>
      </c>
      <c r="AD356" s="6">
        <v>75211</v>
      </c>
      <c r="AE356" s="6">
        <v>24786</v>
      </c>
      <c r="AF356" s="6">
        <v>15185</v>
      </c>
    </row>
    <row r="357" spans="1:32" x14ac:dyDescent="0.35">
      <c r="A357" s="1">
        <v>40044</v>
      </c>
      <c r="B357" s="6">
        <v>2060641</v>
      </c>
      <c r="C357" s="6">
        <v>11037</v>
      </c>
      <c r="D357" s="6">
        <v>2200</v>
      </c>
      <c r="E357" s="6">
        <v>1907</v>
      </c>
      <c r="F357" s="6">
        <v>1821835</v>
      </c>
      <c r="G357" s="6">
        <v>1457405</v>
      </c>
      <c r="H357" s="6">
        <v>736086</v>
      </c>
      <c r="I357" s="6">
        <v>18423</v>
      </c>
      <c r="J357" s="6">
        <v>667481</v>
      </c>
      <c r="K357" s="6">
        <v>44588</v>
      </c>
      <c r="L357" s="6">
        <v>5595</v>
      </c>
      <c r="M357" s="6">
        <v>15418</v>
      </c>
      <c r="N357" s="6">
        <v>21958</v>
      </c>
      <c r="O357" s="6">
        <v>58903</v>
      </c>
      <c r="P357" s="6">
        <v>306425</v>
      </c>
      <c r="Q357" s="6">
        <v>200217</v>
      </c>
      <c r="R357" s="6">
        <v>133166</v>
      </c>
      <c r="S357" s="6">
        <v>111787</v>
      </c>
      <c r="T357" s="6">
        <v>609531</v>
      </c>
      <c r="U357" s="6">
        <v>40205</v>
      </c>
      <c r="V357" s="6">
        <v>-3148</v>
      </c>
      <c r="W357" s="6">
        <v>0</v>
      </c>
      <c r="X357" s="6">
        <v>106292</v>
      </c>
      <c r="Y357" s="6"/>
      <c r="Z357" s="6"/>
      <c r="AA357" s="6"/>
      <c r="AB357" s="6">
        <v>371</v>
      </c>
      <c r="AC357" s="6">
        <v>2217</v>
      </c>
      <c r="AD357" s="6">
        <v>69141</v>
      </c>
      <c r="AE357" s="6">
        <v>25053</v>
      </c>
      <c r="AF357" s="6">
        <v>11440</v>
      </c>
    </row>
    <row r="358" spans="1:32" x14ac:dyDescent="0.35">
      <c r="A358" s="1">
        <v>40051</v>
      </c>
      <c r="B358" s="6">
        <v>2074902</v>
      </c>
      <c r="C358" s="6">
        <v>11037</v>
      </c>
      <c r="D358" s="6">
        <v>2200</v>
      </c>
      <c r="E358" s="6">
        <v>1915</v>
      </c>
      <c r="F358" s="6">
        <v>1850304</v>
      </c>
      <c r="G358" s="6">
        <v>1485134</v>
      </c>
      <c r="H358" s="6">
        <v>744878</v>
      </c>
      <c r="I358" s="6">
        <v>18423</v>
      </c>
      <c r="J358" s="6">
        <v>676176</v>
      </c>
      <c r="K358" s="6">
        <v>44588</v>
      </c>
      <c r="L358" s="6">
        <v>5691</v>
      </c>
      <c r="M358" s="6">
        <v>19285</v>
      </c>
      <c r="N358" s="6">
        <v>18091</v>
      </c>
      <c r="O358" s="6">
        <v>58914</v>
      </c>
      <c r="P358" s="6">
        <v>312547</v>
      </c>
      <c r="Q358" s="6">
        <v>200238</v>
      </c>
      <c r="R358" s="6">
        <v>135804</v>
      </c>
      <c r="S358" s="6">
        <v>117392</v>
      </c>
      <c r="T358" s="6">
        <v>622864</v>
      </c>
      <c r="U358" s="6">
        <v>41498</v>
      </c>
      <c r="V358" s="6">
        <v>-3252</v>
      </c>
      <c r="W358" s="6">
        <v>0</v>
      </c>
      <c r="X358" s="6">
        <v>105842</v>
      </c>
      <c r="Y358" s="6"/>
      <c r="Z358" s="6"/>
      <c r="AA358" s="6"/>
      <c r="AB358" s="6">
        <v>449</v>
      </c>
      <c r="AC358" s="6">
        <v>2219</v>
      </c>
      <c r="AD358" s="6">
        <v>60210</v>
      </c>
      <c r="AE358" s="6">
        <v>24980</v>
      </c>
      <c r="AF358" s="6">
        <v>10746</v>
      </c>
    </row>
    <row r="359" spans="1:32" x14ac:dyDescent="0.35">
      <c r="A359" s="1">
        <v>40058</v>
      </c>
      <c r="B359" s="6">
        <v>2083720</v>
      </c>
      <c r="C359" s="6">
        <v>11037</v>
      </c>
      <c r="D359" s="6">
        <v>2200</v>
      </c>
      <c r="E359" s="6">
        <v>1916</v>
      </c>
      <c r="F359" s="6">
        <v>1856784</v>
      </c>
      <c r="G359" s="6">
        <v>1497431</v>
      </c>
      <c r="H359" s="6">
        <v>752841</v>
      </c>
      <c r="I359" s="6">
        <v>18423</v>
      </c>
      <c r="J359" s="6">
        <v>684075</v>
      </c>
      <c r="K359" s="6">
        <v>44588</v>
      </c>
      <c r="L359" s="6">
        <v>5755</v>
      </c>
      <c r="M359" s="6">
        <v>12633</v>
      </c>
      <c r="N359" s="6">
        <v>25006</v>
      </c>
      <c r="O359" s="6">
        <v>58046</v>
      </c>
      <c r="P359" s="6">
        <v>317933</v>
      </c>
      <c r="Q359" s="6">
        <v>201095</v>
      </c>
      <c r="R359" s="6">
        <v>138128</v>
      </c>
      <c r="S359" s="6">
        <v>119337</v>
      </c>
      <c r="T359" s="6">
        <v>625253</v>
      </c>
      <c r="U359" s="6">
        <v>41738</v>
      </c>
      <c r="V359" s="6">
        <v>-3057</v>
      </c>
      <c r="W359" s="6">
        <v>0</v>
      </c>
      <c r="X359" s="6">
        <v>108562</v>
      </c>
      <c r="Y359" s="6"/>
      <c r="Z359" s="6"/>
      <c r="AA359" s="6"/>
      <c r="AB359" s="6">
        <v>620</v>
      </c>
      <c r="AC359" s="6">
        <v>2214</v>
      </c>
      <c r="AD359" s="6">
        <v>63287</v>
      </c>
      <c r="AE359" s="6">
        <v>25206</v>
      </c>
      <c r="AF359" s="6">
        <v>10833</v>
      </c>
    </row>
    <row r="360" spans="1:32" x14ac:dyDescent="0.35">
      <c r="A360" s="1">
        <v>40065</v>
      </c>
      <c r="B360" s="6">
        <v>2087946</v>
      </c>
      <c r="C360" s="6">
        <v>11037</v>
      </c>
      <c r="D360" s="6">
        <v>2200</v>
      </c>
      <c r="E360" s="6">
        <v>1920</v>
      </c>
      <c r="F360" s="6">
        <v>1863876</v>
      </c>
      <c r="G360" s="6">
        <v>1506166</v>
      </c>
      <c r="H360" s="6">
        <v>757772</v>
      </c>
      <c r="I360" s="6">
        <v>18423</v>
      </c>
      <c r="J360" s="6">
        <v>689025</v>
      </c>
      <c r="K360" s="6">
        <v>44588</v>
      </c>
      <c r="L360" s="6">
        <v>5737</v>
      </c>
      <c r="M360" s="6">
        <v>14789</v>
      </c>
      <c r="N360" s="6">
        <v>22849</v>
      </c>
      <c r="O360" s="6">
        <v>58044</v>
      </c>
      <c r="P360" s="6">
        <v>317928</v>
      </c>
      <c r="Q360" s="6">
        <v>206041</v>
      </c>
      <c r="R360" s="6">
        <v>138121</v>
      </c>
      <c r="S360" s="6">
        <v>123116</v>
      </c>
      <c r="T360" s="6">
        <v>625278</v>
      </c>
      <c r="U360" s="6">
        <v>42213</v>
      </c>
      <c r="V360" s="6">
        <v>-3042</v>
      </c>
      <c r="W360" s="6">
        <v>0</v>
      </c>
      <c r="X360" s="6">
        <v>106429</v>
      </c>
      <c r="Y360" s="6"/>
      <c r="Z360" s="6"/>
      <c r="AA360" s="6"/>
      <c r="AB360" s="6">
        <v>599</v>
      </c>
      <c r="AC360" s="6">
        <v>2216</v>
      </c>
      <c r="AD360" s="6">
        <v>61607</v>
      </c>
      <c r="AE360" s="6">
        <v>25614</v>
      </c>
      <c r="AF360" s="6">
        <v>11953</v>
      </c>
    </row>
    <row r="361" spans="1:32" x14ac:dyDescent="0.35">
      <c r="A361" s="1">
        <v>40072</v>
      </c>
      <c r="B361" s="6">
        <v>2139783</v>
      </c>
      <c r="C361" s="6">
        <v>11037</v>
      </c>
      <c r="D361" s="6">
        <v>2200</v>
      </c>
      <c r="E361" s="6">
        <v>1937</v>
      </c>
      <c r="F361" s="6">
        <v>1918881</v>
      </c>
      <c r="G361" s="6">
        <v>1570018</v>
      </c>
      <c r="H361" s="6">
        <v>759803</v>
      </c>
      <c r="I361" s="6">
        <v>18423</v>
      </c>
      <c r="J361" s="6">
        <v>691074</v>
      </c>
      <c r="K361" s="6">
        <v>44588</v>
      </c>
      <c r="L361" s="6">
        <v>5718</v>
      </c>
      <c r="M361" s="6">
        <v>14121</v>
      </c>
      <c r="N361" s="6">
        <v>23767</v>
      </c>
      <c r="O361" s="6">
        <v>58477</v>
      </c>
      <c r="P361" s="6">
        <v>317171</v>
      </c>
      <c r="Q361" s="6">
        <v>206079</v>
      </c>
      <c r="R361" s="6">
        <v>140188</v>
      </c>
      <c r="S361" s="6">
        <v>125159</v>
      </c>
      <c r="T361" s="6">
        <v>685056</v>
      </c>
      <c r="U361" s="6">
        <v>44083</v>
      </c>
      <c r="V361" s="6">
        <v>-3120</v>
      </c>
      <c r="W361" s="6">
        <v>0</v>
      </c>
      <c r="X361" s="6">
        <v>111879</v>
      </c>
      <c r="Y361" s="6"/>
      <c r="Z361" s="6"/>
      <c r="AA361" s="6"/>
      <c r="AB361" s="6">
        <v>213</v>
      </c>
      <c r="AC361" s="6">
        <v>2218</v>
      </c>
      <c r="AD361" s="6">
        <v>61101</v>
      </c>
      <c r="AE361" s="6">
        <v>25848</v>
      </c>
      <c r="AF361" s="6">
        <v>12034</v>
      </c>
    </row>
    <row r="362" spans="1:32" x14ac:dyDescent="0.35">
      <c r="A362" s="1">
        <v>40079</v>
      </c>
      <c r="B362" s="6">
        <v>2158631</v>
      </c>
      <c r="C362" s="6">
        <v>11037</v>
      </c>
      <c r="D362" s="6">
        <v>5200</v>
      </c>
      <c r="E362" s="6">
        <v>1961</v>
      </c>
      <c r="F362" s="6">
        <v>1935521</v>
      </c>
      <c r="G362" s="6">
        <v>1588434</v>
      </c>
      <c r="H362" s="6">
        <v>765633</v>
      </c>
      <c r="I362" s="6">
        <v>18423</v>
      </c>
      <c r="J362" s="6">
        <v>696923</v>
      </c>
      <c r="K362" s="6">
        <v>44588</v>
      </c>
      <c r="L362" s="6">
        <v>5699</v>
      </c>
      <c r="M362" s="6">
        <v>17988</v>
      </c>
      <c r="N362" s="6">
        <v>19900</v>
      </c>
      <c r="O362" s="6">
        <v>58515</v>
      </c>
      <c r="P362" s="6">
        <v>322425</v>
      </c>
      <c r="Q362" s="6">
        <v>206625</v>
      </c>
      <c r="R362" s="6">
        <v>140180</v>
      </c>
      <c r="S362" s="6">
        <v>129206</v>
      </c>
      <c r="T362" s="6">
        <v>693595</v>
      </c>
      <c r="U362" s="6">
        <v>44217</v>
      </c>
      <c r="V362" s="6">
        <v>-3131</v>
      </c>
      <c r="W362" s="6">
        <v>0</v>
      </c>
      <c r="X362" s="6">
        <v>109981</v>
      </c>
      <c r="Y362" s="6"/>
      <c r="Z362" s="6"/>
      <c r="AA362" s="6"/>
      <c r="AB362" s="6">
        <v>620</v>
      </c>
      <c r="AC362" s="6">
        <v>2223</v>
      </c>
      <c r="AD362" s="6">
        <v>59121</v>
      </c>
      <c r="AE362" s="6">
        <v>25859</v>
      </c>
      <c r="AF362" s="6">
        <v>13246</v>
      </c>
    </row>
    <row r="363" spans="1:32" x14ac:dyDescent="0.35">
      <c r="A363" s="1">
        <v>40086</v>
      </c>
      <c r="B363" s="6">
        <v>2141020</v>
      </c>
      <c r="C363" s="6">
        <v>11037</v>
      </c>
      <c r="D363" s="6">
        <v>5200</v>
      </c>
      <c r="E363" s="6">
        <v>1981</v>
      </c>
      <c r="F363" s="6">
        <v>1922561</v>
      </c>
      <c r="G363" s="6">
        <v>1592701</v>
      </c>
      <c r="H363" s="6">
        <v>769160</v>
      </c>
      <c r="I363" s="6">
        <v>18423</v>
      </c>
      <c r="J363" s="6">
        <v>700468</v>
      </c>
      <c r="K363" s="6">
        <v>44588</v>
      </c>
      <c r="L363" s="6">
        <v>5681</v>
      </c>
      <c r="M363" s="6">
        <v>13095</v>
      </c>
      <c r="N363" s="6">
        <v>22810</v>
      </c>
      <c r="O363" s="6">
        <v>61663</v>
      </c>
      <c r="P363" s="6">
        <v>324284</v>
      </c>
      <c r="Q363" s="6">
        <v>207135</v>
      </c>
      <c r="R363" s="6">
        <v>140173</v>
      </c>
      <c r="S363" s="6">
        <v>131176</v>
      </c>
      <c r="T363" s="6">
        <v>692365</v>
      </c>
      <c r="U363" s="6">
        <v>44288</v>
      </c>
      <c r="V363" s="6">
        <v>-3137</v>
      </c>
      <c r="W363" s="6">
        <v>0</v>
      </c>
      <c r="X363" s="6">
        <v>110330</v>
      </c>
      <c r="Y363" s="6"/>
      <c r="Z363" s="6"/>
      <c r="AA363" s="6"/>
      <c r="AB363" s="6">
        <v>239</v>
      </c>
      <c r="AC363" s="6">
        <v>2234</v>
      </c>
      <c r="AD363" s="6">
        <v>56756</v>
      </c>
      <c r="AE363" s="6">
        <v>25966</v>
      </c>
      <c r="AF363" s="6">
        <v>12438</v>
      </c>
    </row>
    <row r="364" spans="1:32" x14ac:dyDescent="0.35">
      <c r="A364" s="1">
        <v>40093</v>
      </c>
      <c r="B364" s="6">
        <v>2138086</v>
      </c>
      <c r="C364" s="6">
        <v>11037</v>
      </c>
      <c r="D364" s="6">
        <v>5200</v>
      </c>
      <c r="E364" s="6">
        <v>1990</v>
      </c>
      <c r="F364" s="6">
        <v>1926029</v>
      </c>
      <c r="G364" s="6">
        <v>1595287</v>
      </c>
      <c r="H364" s="6">
        <v>769185</v>
      </c>
      <c r="I364" s="6">
        <v>18423</v>
      </c>
      <c r="J364" s="6">
        <v>700468</v>
      </c>
      <c r="K364" s="6">
        <v>44588</v>
      </c>
      <c r="L364" s="6">
        <v>5706</v>
      </c>
      <c r="M364" s="6">
        <v>15251</v>
      </c>
      <c r="N364" s="6">
        <v>24151</v>
      </c>
      <c r="O364" s="6">
        <v>58169</v>
      </c>
      <c r="P364" s="6">
        <v>324291</v>
      </c>
      <c r="Q364" s="6">
        <v>207140</v>
      </c>
      <c r="R364" s="6">
        <v>140183</v>
      </c>
      <c r="S364" s="6">
        <v>133811</v>
      </c>
      <c r="T364" s="6">
        <v>692291</v>
      </c>
      <c r="U364" s="6">
        <v>44289</v>
      </c>
      <c r="V364" s="6">
        <v>-3130</v>
      </c>
      <c r="W364" s="6">
        <v>0</v>
      </c>
      <c r="X364" s="6">
        <v>111204</v>
      </c>
      <c r="Y364" s="6"/>
      <c r="Z364" s="6"/>
      <c r="AA364" s="6"/>
      <c r="AB364" s="6">
        <v>153</v>
      </c>
      <c r="AC364" s="6">
        <v>2221</v>
      </c>
      <c r="AD364" s="6">
        <v>49831</v>
      </c>
      <c r="AE364" s="6">
        <v>26106</v>
      </c>
      <c r="AF364" s="6">
        <v>13530</v>
      </c>
    </row>
    <row r="365" spans="1:32" x14ac:dyDescent="0.35">
      <c r="A365" s="1">
        <v>40100</v>
      </c>
      <c r="B365" s="6">
        <v>2192787</v>
      </c>
      <c r="C365" s="6">
        <v>11037</v>
      </c>
      <c r="D365" s="6">
        <v>5200</v>
      </c>
      <c r="E365" s="6">
        <v>1991</v>
      </c>
      <c r="F365" s="6">
        <v>1983310</v>
      </c>
      <c r="G365" s="6">
        <v>1672833</v>
      </c>
      <c r="H365" s="6">
        <v>773460</v>
      </c>
      <c r="I365" s="6">
        <v>18423</v>
      </c>
      <c r="J365" s="6">
        <v>704717</v>
      </c>
      <c r="K365" s="6">
        <v>44588</v>
      </c>
      <c r="L365" s="6">
        <v>5732</v>
      </c>
      <c r="M365" s="6">
        <v>12748</v>
      </c>
      <c r="N365" s="6">
        <v>26654</v>
      </c>
      <c r="O365" s="6">
        <v>58172</v>
      </c>
      <c r="P365" s="6">
        <v>324298</v>
      </c>
      <c r="Q365" s="6">
        <v>210095</v>
      </c>
      <c r="R365" s="6">
        <v>141493</v>
      </c>
      <c r="S365" s="6">
        <v>136384</v>
      </c>
      <c r="T365" s="6">
        <v>762990</v>
      </c>
      <c r="U365" s="6">
        <v>46451</v>
      </c>
      <c r="V365" s="6">
        <v>-3174</v>
      </c>
      <c r="W365" s="6">
        <v>0</v>
      </c>
      <c r="X365" s="6">
        <v>111758</v>
      </c>
      <c r="Y365" s="6"/>
      <c r="Z365" s="6"/>
      <c r="AA365" s="6"/>
      <c r="AB365" s="6">
        <v>2744</v>
      </c>
      <c r="AC365" s="6">
        <v>2223</v>
      </c>
      <c r="AD365" s="6">
        <v>43627</v>
      </c>
      <c r="AE365" s="6">
        <v>26251</v>
      </c>
      <c r="AF365" s="6">
        <v>15252</v>
      </c>
    </row>
    <row r="366" spans="1:32" x14ac:dyDescent="0.35">
      <c r="A366" s="1">
        <v>40107</v>
      </c>
      <c r="B366" s="6">
        <v>2201119</v>
      </c>
      <c r="C366" s="6">
        <v>11037</v>
      </c>
      <c r="D366" s="6">
        <v>5200</v>
      </c>
      <c r="E366" s="6">
        <v>2025</v>
      </c>
      <c r="F366" s="6">
        <v>1996671</v>
      </c>
      <c r="G366" s="6">
        <v>1690195</v>
      </c>
      <c r="H366" s="6">
        <v>773486</v>
      </c>
      <c r="I366" s="6">
        <v>18423</v>
      </c>
      <c r="J366" s="6">
        <v>704663</v>
      </c>
      <c r="K366" s="6">
        <v>44643</v>
      </c>
      <c r="L366" s="6">
        <v>5758</v>
      </c>
      <c r="M366" s="6">
        <v>18864</v>
      </c>
      <c r="N366" s="6">
        <v>23185</v>
      </c>
      <c r="O366" s="6">
        <v>55497</v>
      </c>
      <c r="P366" s="6">
        <v>324030</v>
      </c>
      <c r="Q366" s="6">
        <v>210312</v>
      </c>
      <c r="R366" s="6">
        <v>141597</v>
      </c>
      <c r="S366" s="6">
        <v>139841</v>
      </c>
      <c r="T366" s="6">
        <v>776868</v>
      </c>
      <c r="U366" s="6">
        <v>46730</v>
      </c>
      <c r="V366" s="6">
        <v>-3149</v>
      </c>
      <c r="W366" s="6">
        <v>0</v>
      </c>
      <c r="X366" s="6">
        <v>107455</v>
      </c>
      <c r="Y366" s="6"/>
      <c r="Z366" s="6"/>
      <c r="AA366" s="6"/>
      <c r="AB366" s="6">
        <v>536</v>
      </c>
      <c r="AC366" s="6">
        <v>2225</v>
      </c>
      <c r="AD366" s="6">
        <v>41637</v>
      </c>
      <c r="AE366" s="6">
        <v>26176</v>
      </c>
      <c r="AF366" s="6">
        <v>15072</v>
      </c>
    </row>
    <row r="367" spans="1:32" x14ac:dyDescent="0.35">
      <c r="A367" s="1">
        <v>40114</v>
      </c>
      <c r="B367" s="6">
        <v>2161537</v>
      </c>
      <c r="C367" s="6">
        <v>11037</v>
      </c>
      <c r="D367" s="6">
        <v>5200</v>
      </c>
      <c r="E367" s="6">
        <v>2063</v>
      </c>
      <c r="F367" s="6">
        <v>1982411</v>
      </c>
      <c r="G367" s="6">
        <v>1690228</v>
      </c>
      <c r="H367" s="6">
        <v>774561</v>
      </c>
      <c r="I367" s="6">
        <v>18423</v>
      </c>
      <c r="J367" s="6">
        <v>705713</v>
      </c>
      <c r="K367" s="6">
        <v>44643</v>
      </c>
      <c r="L367" s="6">
        <v>5783</v>
      </c>
      <c r="M367" s="6">
        <v>15344</v>
      </c>
      <c r="N367" s="6">
        <v>26706</v>
      </c>
      <c r="O367" s="6">
        <v>55499</v>
      </c>
      <c r="P367" s="6">
        <v>324037</v>
      </c>
      <c r="Q367" s="6">
        <v>210318</v>
      </c>
      <c r="R367" s="6">
        <v>142657</v>
      </c>
      <c r="S367" s="6">
        <v>141601</v>
      </c>
      <c r="T367" s="6">
        <v>774066</v>
      </c>
      <c r="U367" s="6">
        <v>46894</v>
      </c>
      <c r="V367" s="6">
        <v>-3136</v>
      </c>
      <c r="W367" s="6">
        <v>0</v>
      </c>
      <c r="X367" s="6">
        <v>109179</v>
      </c>
      <c r="Y367" s="6"/>
      <c r="Z367" s="6"/>
      <c r="AA367" s="6"/>
      <c r="AB367" s="6">
        <v>415</v>
      </c>
      <c r="AC367" s="6">
        <v>2229</v>
      </c>
      <c r="AD367" s="6">
        <v>32930</v>
      </c>
      <c r="AE367" s="6">
        <v>25917</v>
      </c>
      <c r="AF367" s="6">
        <v>14856</v>
      </c>
    </row>
    <row r="368" spans="1:32" x14ac:dyDescent="0.35">
      <c r="A368" s="1">
        <v>40121</v>
      </c>
      <c r="B368" s="6">
        <v>2165067</v>
      </c>
      <c r="C368" s="6">
        <v>11037</v>
      </c>
      <c r="D368" s="6">
        <v>5200</v>
      </c>
      <c r="E368" s="6">
        <v>2088</v>
      </c>
      <c r="F368" s="6">
        <v>1990859</v>
      </c>
      <c r="G368" s="6">
        <v>1697865</v>
      </c>
      <c r="H368" s="6">
        <v>776512</v>
      </c>
      <c r="I368" s="6">
        <v>18423</v>
      </c>
      <c r="J368" s="6">
        <v>707649</v>
      </c>
      <c r="K368" s="6">
        <v>44643</v>
      </c>
      <c r="L368" s="6">
        <v>5798</v>
      </c>
      <c r="M368" s="6">
        <v>24712</v>
      </c>
      <c r="N368" s="6">
        <v>16402</v>
      </c>
      <c r="O368" s="6">
        <v>55607</v>
      </c>
      <c r="P368" s="6">
        <v>326043</v>
      </c>
      <c r="Q368" s="6">
        <v>211085</v>
      </c>
      <c r="R368" s="6">
        <v>142663</v>
      </c>
      <c r="S368" s="6">
        <v>146959</v>
      </c>
      <c r="T368" s="6">
        <v>774394</v>
      </c>
      <c r="U368" s="6">
        <v>46927</v>
      </c>
      <c r="V368" s="6">
        <v>-3143</v>
      </c>
      <c r="W368" s="6">
        <v>0</v>
      </c>
      <c r="X368" s="6">
        <v>109966</v>
      </c>
      <c r="Y368" s="6"/>
      <c r="Z368" s="6"/>
      <c r="AA368" s="6"/>
      <c r="AB368" s="6">
        <v>448</v>
      </c>
      <c r="AC368" s="6">
        <v>2224</v>
      </c>
      <c r="AD368" s="6">
        <v>31884</v>
      </c>
      <c r="AE368" s="6">
        <v>26012</v>
      </c>
      <c r="AF368" s="6">
        <v>15272</v>
      </c>
    </row>
    <row r="369" spans="1:32" x14ac:dyDescent="0.35">
      <c r="A369" s="1">
        <v>40128</v>
      </c>
      <c r="B369" s="6">
        <v>2135035</v>
      </c>
      <c r="C369" s="6">
        <v>11037</v>
      </c>
      <c r="D369" s="6">
        <v>5200</v>
      </c>
      <c r="E369" s="6">
        <v>2060</v>
      </c>
      <c r="F369" s="6">
        <v>1962803</v>
      </c>
      <c r="G369" s="6">
        <v>1701766</v>
      </c>
      <c r="H369" s="6">
        <v>776520</v>
      </c>
      <c r="I369" s="6">
        <v>18423</v>
      </c>
      <c r="J369" s="6">
        <v>707649</v>
      </c>
      <c r="K369" s="6">
        <v>44643</v>
      </c>
      <c r="L369" s="6">
        <v>5806</v>
      </c>
      <c r="M369" s="6">
        <v>18427</v>
      </c>
      <c r="N369" s="6">
        <v>22687</v>
      </c>
      <c r="O369" s="6">
        <v>55608</v>
      </c>
      <c r="P369" s="6">
        <v>326045</v>
      </c>
      <c r="Q369" s="6">
        <v>211087</v>
      </c>
      <c r="R369" s="6">
        <v>142666</v>
      </c>
      <c r="S369" s="6">
        <v>149673</v>
      </c>
      <c r="T369" s="6">
        <v>775573</v>
      </c>
      <c r="U369" s="6">
        <v>46950</v>
      </c>
      <c r="V369" s="6">
        <v>-3138</v>
      </c>
      <c r="W369" s="6">
        <v>0</v>
      </c>
      <c r="X369" s="6">
        <v>107769</v>
      </c>
      <c r="Y369" s="6"/>
      <c r="Z369" s="6"/>
      <c r="AA369" s="6"/>
      <c r="AB369" s="6">
        <v>411</v>
      </c>
      <c r="AC369" s="6">
        <v>2226</v>
      </c>
      <c r="AD369" s="6">
        <v>29088</v>
      </c>
      <c r="AE369" s="6">
        <v>26277</v>
      </c>
      <c r="AF369" s="6">
        <v>16629</v>
      </c>
    </row>
    <row r="370" spans="1:32" x14ac:dyDescent="0.35">
      <c r="A370" s="1">
        <v>40135</v>
      </c>
      <c r="B370" s="6">
        <v>2208721</v>
      </c>
      <c r="C370" s="6">
        <v>11037</v>
      </c>
      <c r="D370" s="6">
        <v>5200</v>
      </c>
      <c r="E370" s="6">
        <v>2037</v>
      </c>
      <c r="F370" s="6">
        <v>2040555</v>
      </c>
      <c r="G370" s="6">
        <v>1776618</v>
      </c>
      <c r="H370" s="6">
        <v>776527</v>
      </c>
      <c r="I370" s="6">
        <v>18423</v>
      </c>
      <c r="J370" s="6">
        <v>707649</v>
      </c>
      <c r="K370" s="6">
        <v>44643</v>
      </c>
      <c r="L370" s="6">
        <v>5813</v>
      </c>
      <c r="M370" s="6">
        <v>19548</v>
      </c>
      <c r="N370" s="6">
        <v>20591</v>
      </c>
      <c r="O370" s="6">
        <v>48711</v>
      </c>
      <c r="P370" s="6">
        <v>331334</v>
      </c>
      <c r="Q370" s="6">
        <v>211684</v>
      </c>
      <c r="R370" s="6">
        <v>144658</v>
      </c>
      <c r="S370" s="6">
        <v>153049</v>
      </c>
      <c r="T370" s="6">
        <v>847042</v>
      </c>
      <c r="U370" s="6">
        <v>49167</v>
      </c>
      <c r="V370" s="6">
        <v>-3218</v>
      </c>
      <c r="W370" s="6">
        <v>0</v>
      </c>
      <c r="X370" s="6">
        <v>108532</v>
      </c>
      <c r="Y370" s="6"/>
      <c r="Z370" s="6"/>
      <c r="AA370" s="6"/>
      <c r="AB370" s="6">
        <v>450</v>
      </c>
      <c r="AC370" s="6">
        <v>2228</v>
      </c>
      <c r="AD370" s="6">
        <v>28278</v>
      </c>
      <c r="AE370" s="6">
        <v>26368</v>
      </c>
      <c r="AF370" s="6">
        <v>12228</v>
      </c>
    </row>
    <row r="371" spans="1:32" x14ac:dyDescent="0.35">
      <c r="A371" s="1">
        <v>40142</v>
      </c>
      <c r="B371" s="6">
        <v>2206359</v>
      </c>
      <c r="C371" s="6">
        <v>11037</v>
      </c>
      <c r="D371" s="6">
        <v>5200</v>
      </c>
      <c r="E371" s="6">
        <v>2016</v>
      </c>
      <c r="F371" s="6">
        <v>2040400</v>
      </c>
      <c r="G371" s="6">
        <v>1783726</v>
      </c>
      <c r="H371" s="6">
        <v>776535</v>
      </c>
      <c r="I371" s="6">
        <v>18423</v>
      </c>
      <c r="J371" s="6">
        <v>707649</v>
      </c>
      <c r="K371" s="6">
        <v>44643</v>
      </c>
      <c r="L371" s="6">
        <v>5821</v>
      </c>
      <c r="M371" s="6">
        <v>16028</v>
      </c>
      <c r="N371" s="6">
        <v>24111</v>
      </c>
      <c r="O371" s="6">
        <v>48711</v>
      </c>
      <c r="P371" s="6">
        <v>331336</v>
      </c>
      <c r="Q371" s="6">
        <v>211686</v>
      </c>
      <c r="R371" s="6">
        <v>144662</v>
      </c>
      <c r="S371" s="6">
        <v>155066</v>
      </c>
      <c r="T371" s="6">
        <v>852124</v>
      </c>
      <c r="U371" s="6">
        <v>49295</v>
      </c>
      <c r="V371" s="6">
        <v>-3208</v>
      </c>
      <c r="W371" s="6">
        <v>0</v>
      </c>
      <c r="X371" s="6">
        <v>109578</v>
      </c>
      <c r="Y371" s="6"/>
      <c r="Z371" s="6"/>
      <c r="AA371" s="6"/>
      <c r="AB371" s="6">
        <v>639</v>
      </c>
      <c r="AC371" s="6">
        <v>2226</v>
      </c>
      <c r="AD371" s="6">
        <v>25811</v>
      </c>
      <c r="AE371" s="6">
        <v>26684</v>
      </c>
      <c r="AF371" s="6">
        <v>11867</v>
      </c>
    </row>
    <row r="372" spans="1:32" x14ac:dyDescent="0.35">
      <c r="A372" s="1">
        <v>40149</v>
      </c>
      <c r="B372" s="6">
        <v>2204074</v>
      </c>
      <c r="C372" s="6">
        <v>11037</v>
      </c>
      <c r="D372" s="6">
        <v>5200</v>
      </c>
      <c r="E372" s="6">
        <v>2019</v>
      </c>
      <c r="F372" s="6">
        <v>2015577</v>
      </c>
      <c r="G372" s="6">
        <v>1783780</v>
      </c>
      <c r="H372" s="6">
        <v>776543</v>
      </c>
      <c r="I372" s="6">
        <v>18423</v>
      </c>
      <c r="J372" s="6">
        <v>707649</v>
      </c>
      <c r="K372" s="6">
        <v>44643</v>
      </c>
      <c r="L372" s="6">
        <v>5829</v>
      </c>
      <c r="M372" s="6">
        <v>15039</v>
      </c>
      <c r="N372" s="6">
        <v>24457</v>
      </c>
      <c r="O372" s="6">
        <v>49713</v>
      </c>
      <c r="P372" s="6">
        <v>330020</v>
      </c>
      <c r="Q372" s="6">
        <v>212649</v>
      </c>
      <c r="R372" s="6">
        <v>144665</v>
      </c>
      <c r="S372" s="6">
        <v>155066</v>
      </c>
      <c r="T372" s="6">
        <v>852172</v>
      </c>
      <c r="U372" s="6">
        <v>49182</v>
      </c>
      <c r="V372" s="6">
        <v>-3212</v>
      </c>
      <c r="W372" s="6">
        <v>0</v>
      </c>
      <c r="X372" s="6">
        <v>84817</v>
      </c>
      <c r="Y372" s="6"/>
      <c r="Z372" s="6"/>
      <c r="AA372" s="6"/>
      <c r="AB372" s="6">
        <v>435</v>
      </c>
      <c r="AC372" s="6">
        <v>2231</v>
      </c>
      <c r="AD372" s="6">
        <v>23038</v>
      </c>
      <c r="AE372" s="6">
        <v>26725</v>
      </c>
      <c r="AF372" s="6">
        <v>12214</v>
      </c>
    </row>
    <row r="373" spans="1:32" x14ac:dyDescent="0.35">
      <c r="A373" s="1">
        <v>40156</v>
      </c>
      <c r="B373" s="6">
        <v>2186383</v>
      </c>
      <c r="C373" s="6">
        <v>11037</v>
      </c>
      <c r="D373" s="6">
        <v>5200</v>
      </c>
      <c r="E373" s="6">
        <v>2037</v>
      </c>
      <c r="F373" s="6">
        <v>2003112</v>
      </c>
      <c r="G373" s="6">
        <v>1787012</v>
      </c>
      <c r="H373" s="6">
        <v>776554</v>
      </c>
      <c r="I373" s="6">
        <v>18423</v>
      </c>
      <c r="J373" s="6">
        <v>707649</v>
      </c>
      <c r="K373" s="6">
        <v>44643</v>
      </c>
      <c r="L373" s="6">
        <v>5840</v>
      </c>
      <c r="M373" s="6">
        <v>12536</v>
      </c>
      <c r="N373" s="6">
        <v>26961</v>
      </c>
      <c r="O373" s="6">
        <v>49714</v>
      </c>
      <c r="P373" s="6">
        <v>330023</v>
      </c>
      <c r="Q373" s="6">
        <v>212651</v>
      </c>
      <c r="R373" s="6">
        <v>144669</v>
      </c>
      <c r="S373" s="6">
        <v>156145</v>
      </c>
      <c r="T373" s="6">
        <v>854313</v>
      </c>
      <c r="U373" s="6">
        <v>49174</v>
      </c>
      <c r="V373" s="6">
        <v>-3203</v>
      </c>
      <c r="W373" s="6">
        <v>0</v>
      </c>
      <c r="X373" s="6">
        <v>84298</v>
      </c>
      <c r="Y373" s="6"/>
      <c r="Z373" s="6"/>
      <c r="AA373" s="6"/>
      <c r="AB373" s="6">
        <v>396</v>
      </c>
      <c r="AC373" s="6">
        <v>2234</v>
      </c>
      <c r="AD373" s="6">
        <v>16505</v>
      </c>
      <c r="AE373" s="6">
        <v>26294</v>
      </c>
      <c r="AF373" s="6">
        <v>15593</v>
      </c>
    </row>
    <row r="374" spans="1:32" x14ac:dyDescent="0.35">
      <c r="A374" s="1">
        <v>40163</v>
      </c>
      <c r="B374" s="6">
        <v>2235763</v>
      </c>
      <c r="C374" s="6">
        <v>11037</v>
      </c>
      <c r="D374" s="6">
        <v>5200</v>
      </c>
      <c r="E374" s="6">
        <v>2045</v>
      </c>
      <c r="F374" s="6">
        <v>2054831</v>
      </c>
      <c r="G374" s="6">
        <v>1835480</v>
      </c>
      <c r="H374" s="6">
        <v>776565</v>
      </c>
      <c r="I374" s="6">
        <v>18423</v>
      </c>
      <c r="J374" s="6">
        <v>707649</v>
      </c>
      <c r="K374" s="6">
        <v>44643</v>
      </c>
      <c r="L374" s="6">
        <v>5851</v>
      </c>
      <c r="M374" s="6">
        <v>19502</v>
      </c>
      <c r="N374" s="6">
        <v>20473</v>
      </c>
      <c r="O374" s="6">
        <v>49799</v>
      </c>
      <c r="P374" s="6">
        <v>329281</v>
      </c>
      <c r="Q374" s="6">
        <v>212766</v>
      </c>
      <c r="R374" s="6">
        <v>144743</v>
      </c>
      <c r="S374" s="6">
        <v>157685</v>
      </c>
      <c r="T374" s="6">
        <v>901231</v>
      </c>
      <c r="U374" s="6">
        <v>50530</v>
      </c>
      <c r="V374" s="6">
        <v>-3205</v>
      </c>
      <c r="W374" s="6">
        <v>0</v>
      </c>
      <c r="X374" s="6">
        <v>86195</v>
      </c>
      <c r="Y374" s="6"/>
      <c r="Z374" s="6"/>
      <c r="AA374" s="6"/>
      <c r="AB374" s="6">
        <v>325</v>
      </c>
      <c r="AC374" s="6">
        <v>2239</v>
      </c>
      <c r="AD374" s="6">
        <v>14492</v>
      </c>
      <c r="AE374" s="6">
        <v>25928</v>
      </c>
      <c r="AF374" s="6">
        <v>15563</v>
      </c>
    </row>
    <row r="375" spans="1:32" x14ac:dyDescent="0.35">
      <c r="A375" s="1">
        <v>40170</v>
      </c>
      <c r="B375" s="6">
        <v>2235803</v>
      </c>
      <c r="C375" s="6">
        <v>11037</v>
      </c>
      <c r="D375" s="6">
        <v>5200</v>
      </c>
      <c r="E375" s="6">
        <v>2051</v>
      </c>
      <c r="F375" s="6">
        <v>2058373</v>
      </c>
      <c r="G375" s="6">
        <v>1846887</v>
      </c>
      <c r="H375" s="6">
        <v>776576</v>
      </c>
      <c r="I375" s="6">
        <v>18423</v>
      </c>
      <c r="J375" s="6">
        <v>707649</v>
      </c>
      <c r="K375" s="6">
        <v>44643</v>
      </c>
      <c r="L375" s="6">
        <v>5862</v>
      </c>
      <c r="M375" s="6">
        <v>15982</v>
      </c>
      <c r="N375" s="6">
        <v>23993</v>
      </c>
      <c r="O375" s="6">
        <v>49800</v>
      </c>
      <c r="P375" s="6">
        <v>329284</v>
      </c>
      <c r="Q375" s="6">
        <v>212769</v>
      </c>
      <c r="R375" s="6">
        <v>144748</v>
      </c>
      <c r="S375" s="6">
        <v>159879</v>
      </c>
      <c r="T375" s="6">
        <v>910433</v>
      </c>
      <c r="U375" s="6">
        <v>50790</v>
      </c>
      <c r="V375" s="6">
        <v>-3200</v>
      </c>
      <c r="W375" s="6">
        <v>0</v>
      </c>
      <c r="X375" s="6">
        <v>87978</v>
      </c>
      <c r="Y375" s="6"/>
      <c r="Z375" s="6"/>
      <c r="AA375" s="6"/>
      <c r="AB375" s="6">
        <v>373</v>
      </c>
      <c r="AC375" s="6">
        <v>2245</v>
      </c>
      <c r="AD375" s="6">
        <v>10272</v>
      </c>
      <c r="AE375" s="6">
        <v>25453</v>
      </c>
      <c r="AF375" s="6">
        <v>16630</v>
      </c>
    </row>
    <row r="376" spans="1:32" x14ac:dyDescent="0.35">
      <c r="A376" s="1">
        <v>40177</v>
      </c>
      <c r="B376" s="6">
        <v>2234067</v>
      </c>
      <c r="C376" s="6">
        <v>11037</v>
      </c>
      <c r="D376" s="6">
        <v>5200</v>
      </c>
      <c r="E376" s="6">
        <v>2047</v>
      </c>
      <c r="F376" s="6">
        <v>2057786</v>
      </c>
      <c r="G376" s="6">
        <v>1844722</v>
      </c>
      <c r="H376" s="6">
        <v>776587</v>
      </c>
      <c r="I376" s="6">
        <v>18423</v>
      </c>
      <c r="J376" s="6">
        <v>707649</v>
      </c>
      <c r="K376" s="6">
        <v>44643</v>
      </c>
      <c r="L376" s="6">
        <v>5873</v>
      </c>
      <c r="M376" s="6">
        <v>18138</v>
      </c>
      <c r="N376" s="6">
        <v>21837</v>
      </c>
      <c r="O376" s="6">
        <v>49801</v>
      </c>
      <c r="P376" s="6">
        <v>329287</v>
      </c>
      <c r="Q376" s="6">
        <v>212771</v>
      </c>
      <c r="R376" s="6">
        <v>144752</v>
      </c>
      <c r="S376" s="6">
        <v>159879</v>
      </c>
      <c r="T376" s="6">
        <v>908257</v>
      </c>
      <c r="U376" s="6">
        <v>50638</v>
      </c>
      <c r="V376" s="6">
        <v>-3191</v>
      </c>
      <c r="W376" s="6">
        <v>0</v>
      </c>
      <c r="X376" s="6">
        <v>89699</v>
      </c>
      <c r="Y376" s="6"/>
      <c r="Z376" s="6"/>
      <c r="AA376" s="6"/>
      <c r="AB376" s="6">
        <v>277</v>
      </c>
      <c r="AC376" s="6">
        <v>2249</v>
      </c>
      <c r="AD376" s="6">
        <v>10272</v>
      </c>
      <c r="AE376" s="6">
        <v>25302</v>
      </c>
      <c r="AF376" s="6">
        <v>15503</v>
      </c>
    </row>
    <row r="377" spans="1:32" x14ac:dyDescent="0.35">
      <c r="A377" s="1">
        <v>40184</v>
      </c>
      <c r="B377" s="6">
        <v>2235304</v>
      </c>
      <c r="C377" s="6">
        <v>11037</v>
      </c>
      <c r="D377" s="6">
        <v>5200</v>
      </c>
      <c r="E377" s="6">
        <v>2064</v>
      </c>
      <c r="F377" s="6">
        <v>2058275</v>
      </c>
      <c r="G377" s="6">
        <v>1845211</v>
      </c>
      <c r="H377" s="6">
        <v>776595</v>
      </c>
      <c r="I377" s="6">
        <v>18423</v>
      </c>
      <c r="J377" s="6">
        <v>707649</v>
      </c>
      <c r="K377" s="6">
        <v>44643</v>
      </c>
      <c r="L377" s="6">
        <v>5881</v>
      </c>
      <c r="M377" s="6">
        <v>15399</v>
      </c>
      <c r="N377" s="6">
        <v>25071</v>
      </c>
      <c r="O377" s="6">
        <v>50772</v>
      </c>
      <c r="P377" s="6">
        <v>326876</v>
      </c>
      <c r="Q377" s="6">
        <v>213721</v>
      </c>
      <c r="R377" s="6">
        <v>144756</v>
      </c>
      <c r="S377" s="6">
        <v>159879</v>
      </c>
      <c r="T377" s="6">
        <v>908737</v>
      </c>
      <c r="U377" s="6">
        <v>50521</v>
      </c>
      <c r="V377" s="6">
        <v>-3195</v>
      </c>
      <c r="W377" s="6">
        <v>0</v>
      </c>
      <c r="X377" s="6">
        <v>89821</v>
      </c>
      <c r="Y377" s="6"/>
      <c r="Z377" s="6"/>
      <c r="AA377" s="6"/>
      <c r="AB377" s="6">
        <v>722</v>
      </c>
      <c r="AC377" s="6">
        <v>2240</v>
      </c>
      <c r="AD377" s="6">
        <v>10272</v>
      </c>
      <c r="AE377" s="6">
        <v>25413</v>
      </c>
      <c r="AF377" s="6">
        <v>15446</v>
      </c>
    </row>
    <row r="378" spans="1:32" x14ac:dyDescent="0.35">
      <c r="A378" s="1">
        <v>40191</v>
      </c>
      <c r="B378" s="6">
        <v>2291700</v>
      </c>
      <c r="C378" s="6">
        <v>11037</v>
      </c>
      <c r="D378" s="6">
        <v>5200</v>
      </c>
      <c r="E378" s="6">
        <v>2098</v>
      </c>
      <c r="F378" s="6">
        <v>2116607</v>
      </c>
      <c r="G378" s="6">
        <v>1906022</v>
      </c>
      <c r="H378" s="6">
        <v>776603</v>
      </c>
      <c r="I378" s="6">
        <v>18423</v>
      </c>
      <c r="J378" s="6">
        <v>707649</v>
      </c>
      <c r="K378" s="6">
        <v>44643</v>
      </c>
      <c r="L378" s="6">
        <v>5889</v>
      </c>
      <c r="M378" s="6">
        <v>19266</v>
      </c>
      <c r="N378" s="6">
        <v>21204</v>
      </c>
      <c r="O378" s="6">
        <v>50773</v>
      </c>
      <c r="P378" s="6">
        <v>326878</v>
      </c>
      <c r="Q378" s="6">
        <v>213723</v>
      </c>
      <c r="R378" s="6">
        <v>144759</v>
      </c>
      <c r="S378" s="6">
        <v>160829</v>
      </c>
      <c r="T378" s="6">
        <v>968590</v>
      </c>
      <c r="U378" s="6">
        <v>52149</v>
      </c>
      <c r="V378" s="6">
        <v>-3241</v>
      </c>
      <c r="W378" s="6">
        <v>0</v>
      </c>
      <c r="X378" s="6">
        <v>85760</v>
      </c>
      <c r="Y378" s="6"/>
      <c r="Z378" s="6"/>
      <c r="AA378" s="6"/>
      <c r="AB378" s="6">
        <v>328</v>
      </c>
      <c r="AC378" s="6">
        <v>2242</v>
      </c>
      <c r="AD378" s="6">
        <v>5895</v>
      </c>
      <c r="AE378" s="6">
        <v>25640</v>
      </c>
      <c r="AF378" s="6">
        <v>18611</v>
      </c>
    </row>
    <row r="379" spans="1:32" x14ac:dyDescent="0.35">
      <c r="A379" s="1">
        <v>40198</v>
      </c>
      <c r="B379" s="6">
        <v>2251806</v>
      </c>
      <c r="C379" s="6">
        <v>11037</v>
      </c>
      <c r="D379" s="6">
        <v>5200</v>
      </c>
      <c r="E379" s="6">
        <v>2150</v>
      </c>
      <c r="F379" s="6">
        <v>2084088</v>
      </c>
      <c r="G379" s="6">
        <v>1909715</v>
      </c>
      <c r="H379" s="6">
        <v>776611</v>
      </c>
      <c r="I379" s="6">
        <v>18423</v>
      </c>
      <c r="J379" s="6">
        <v>708872</v>
      </c>
      <c r="K379" s="6">
        <v>43777</v>
      </c>
      <c r="L379" s="6">
        <v>5539</v>
      </c>
      <c r="M379" s="6">
        <v>14407</v>
      </c>
      <c r="N379" s="6">
        <v>28796</v>
      </c>
      <c r="O379" s="6">
        <v>46209</v>
      </c>
      <c r="P379" s="6">
        <v>327155</v>
      </c>
      <c r="Q379" s="6">
        <v>214776</v>
      </c>
      <c r="R379" s="6">
        <v>145267</v>
      </c>
      <c r="S379" s="6">
        <v>162203</v>
      </c>
      <c r="T379" s="6">
        <v>970901</v>
      </c>
      <c r="U379" s="6">
        <v>52185</v>
      </c>
      <c r="V379" s="6">
        <v>-3287</v>
      </c>
      <c r="W379" s="6">
        <v>0</v>
      </c>
      <c r="X379" s="6">
        <v>86944</v>
      </c>
      <c r="Y379" s="6"/>
      <c r="Z379" s="6"/>
      <c r="AA379" s="6"/>
      <c r="AB379" s="6">
        <v>667</v>
      </c>
      <c r="AC379" s="6">
        <v>2243</v>
      </c>
      <c r="AD379" s="6">
        <v>1250</v>
      </c>
      <c r="AE379" s="6">
        <v>25248</v>
      </c>
      <c r="AF379" s="6">
        <v>16765</v>
      </c>
    </row>
    <row r="380" spans="1:32" x14ac:dyDescent="0.35">
      <c r="A380" s="1">
        <v>40205</v>
      </c>
      <c r="B380" s="6">
        <v>2246886</v>
      </c>
      <c r="C380" s="6">
        <v>11037</v>
      </c>
      <c r="D380" s="6">
        <v>5200</v>
      </c>
      <c r="E380" s="6">
        <v>2230</v>
      </c>
      <c r="F380" s="6">
        <v>2085264</v>
      </c>
      <c r="G380" s="6">
        <v>1910020</v>
      </c>
      <c r="H380" s="6">
        <v>776619</v>
      </c>
      <c r="I380" s="6">
        <v>18423</v>
      </c>
      <c r="J380" s="6">
        <v>708872</v>
      </c>
      <c r="K380" s="6">
        <v>43777</v>
      </c>
      <c r="L380" s="6">
        <v>5547</v>
      </c>
      <c r="M380" s="6">
        <v>16564</v>
      </c>
      <c r="N380" s="6">
        <v>26640</v>
      </c>
      <c r="O380" s="6">
        <v>46210</v>
      </c>
      <c r="P380" s="6">
        <v>327157</v>
      </c>
      <c r="Q380" s="6">
        <v>214778</v>
      </c>
      <c r="R380" s="6">
        <v>145270</v>
      </c>
      <c r="S380" s="6">
        <v>163673</v>
      </c>
      <c r="T380" s="6">
        <v>969728</v>
      </c>
      <c r="U380" s="6">
        <v>52085</v>
      </c>
      <c r="V380" s="6">
        <v>-3278</v>
      </c>
      <c r="W380" s="6">
        <v>0</v>
      </c>
      <c r="X380" s="6">
        <v>87906</v>
      </c>
      <c r="Y380" s="6"/>
      <c r="Z380" s="6"/>
      <c r="AA380" s="6"/>
      <c r="AB380" s="6">
        <v>309</v>
      </c>
      <c r="AC380" s="6">
        <v>2245</v>
      </c>
      <c r="AD380" s="6">
        <v>175</v>
      </c>
      <c r="AE380" s="6">
        <v>25424</v>
      </c>
      <c r="AF380" s="6">
        <v>16154</v>
      </c>
    </row>
    <row r="381" spans="1:32" x14ac:dyDescent="0.35">
      <c r="A381" s="1">
        <v>40212</v>
      </c>
      <c r="B381" s="6">
        <v>2249319</v>
      </c>
      <c r="C381" s="6">
        <v>11037</v>
      </c>
      <c r="D381" s="6">
        <v>5200</v>
      </c>
      <c r="E381" s="6">
        <v>2232</v>
      </c>
      <c r="F381" s="6">
        <v>2087234</v>
      </c>
      <c r="G381" s="6">
        <v>1911604</v>
      </c>
      <c r="H381" s="6">
        <v>776614</v>
      </c>
      <c r="I381" s="6">
        <v>18423</v>
      </c>
      <c r="J381" s="6">
        <v>708872</v>
      </c>
      <c r="K381" s="6">
        <v>43777</v>
      </c>
      <c r="L381" s="6">
        <v>5542</v>
      </c>
      <c r="M381" s="6">
        <v>21234</v>
      </c>
      <c r="N381" s="6">
        <v>22799</v>
      </c>
      <c r="O381" s="6">
        <v>45689</v>
      </c>
      <c r="P381" s="6">
        <v>326326</v>
      </c>
      <c r="Q381" s="6">
        <v>215298</v>
      </c>
      <c r="R381" s="6">
        <v>145268</v>
      </c>
      <c r="S381" s="6">
        <v>164662</v>
      </c>
      <c r="T381" s="6">
        <v>970327</v>
      </c>
      <c r="U381" s="6">
        <v>52075</v>
      </c>
      <c r="V381" s="6">
        <v>-3276</v>
      </c>
      <c r="W381" s="6">
        <v>0</v>
      </c>
      <c r="X381" s="6">
        <v>88301</v>
      </c>
      <c r="Y381" s="6"/>
      <c r="Z381" s="6"/>
      <c r="AA381" s="6"/>
      <c r="AB381" s="6">
        <v>474</v>
      </c>
      <c r="AC381" s="6">
        <v>2238</v>
      </c>
      <c r="AD381" s="6">
        <v>100</v>
      </c>
      <c r="AE381" s="6">
        <v>25076</v>
      </c>
      <c r="AF381" s="6">
        <v>16746</v>
      </c>
    </row>
    <row r="382" spans="1:32" x14ac:dyDescent="0.35">
      <c r="A382" s="1">
        <v>40219</v>
      </c>
      <c r="B382" s="6">
        <v>2256679</v>
      </c>
      <c r="C382" s="6">
        <v>11037</v>
      </c>
      <c r="D382" s="6">
        <v>5200</v>
      </c>
      <c r="E382" s="6">
        <v>2223</v>
      </c>
      <c r="F382" s="6">
        <v>2093615</v>
      </c>
      <c r="G382" s="6">
        <v>1918405</v>
      </c>
      <c r="H382" s="6">
        <v>776592</v>
      </c>
      <c r="I382" s="6">
        <v>18423</v>
      </c>
      <c r="J382" s="6">
        <v>708872</v>
      </c>
      <c r="K382" s="6">
        <v>43777</v>
      </c>
      <c r="L382" s="6">
        <v>5521</v>
      </c>
      <c r="M382" s="6">
        <v>25101</v>
      </c>
      <c r="N382" s="6">
        <v>18930</v>
      </c>
      <c r="O382" s="6">
        <v>45689</v>
      </c>
      <c r="P382" s="6">
        <v>326320</v>
      </c>
      <c r="Q382" s="6">
        <v>215293</v>
      </c>
      <c r="R382" s="6">
        <v>145259</v>
      </c>
      <c r="S382" s="6">
        <v>164948</v>
      </c>
      <c r="T382" s="6">
        <v>976865</v>
      </c>
      <c r="U382" s="6">
        <v>52245</v>
      </c>
      <c r="V382" s="6">
        <v>-3271</v>
      </c>
      <c r="W382" s="6">
        <v>0</v>
      </c>
      <c r="X382" s="6">
        <v>87704</v>
      </c>
      <c r="Y382" s="6"/>
      <c r="Z382" s="6"/>
      <c r="AA382" s="6"/>
      <c r="AB382" s="6">
        <v>475</v>
      </c>
      <c r="AC382" s="6">
        <v>2239</v>
      </c>
      <c r="AD382" s="6">
        <v>100</v>
      </c>
      <c r="AE382" s="6">
        <v>25032</v>
      </c>
      <c r="AF382" s="6">
        <v>18570</v>
      </c>
    </row>
    <row r="383" spans="1:32" x14ac:dyDescent="0.35">
      <c r="A383" s="1">
        <v>40226</v>
      </c>
      <c r="B383" s="6">
        <v>2277574</v>
      </c>
      <c r="C383" s="6">
        <v>11037</v>
      </c>
      <c r="D383" s="6">
        <v>5200</v>
      </c>
      <c r="E383" s="6">
        <v>2192</v>
      </c>
      <c r="F383" s="6">
        <v>2120792</v>
      </c>
      <c r="G383" s="6">
        <v>1967699</v>
      </c>
      <c r="H383" s="6">
        <v>776571</v>
      </c>
      <c r="I383" s="6">
        <v>18423</v>
      </c>
      <c r="J383" s="6">
        <v>708872</v>
      </c>
      <c r="K383" s="6">
        <v>43777</v>
      </c>
      <c r="L383" s="6">
        <v>5499</v>
      </c>
      <c r="M383" s="6">
        <v>15385</v>
      </c>
      <c r="N383" s="6">
        <v>26346</v>
      </c>
      <c r="O383" s="6">
        <v>40542</v>
      </c>
      <c r="P383" s="6">
        <v>337298</v>
      </c>
      <c r="Q383" s="6">
        <v>213266</v>
      </c>
      <c r="R383" s="6">
        <v>143733</v>
      </c>
      <c r="S383" s="6">
        <v>165587</v>
      </c>
      <c r="T383" s="6">
        <v>1025541</v>
      </c>
      <c r="U383" s="6">
        <v>53271</v>
      </c>
      <c r="V383" s="6">
        <v>-3378</v>
      </c>
      <c r="W383" s="6">
        <v>0</v>
      </c>
      <c r="X383" s="6">
        <v>87774</v>
      </c>
      <c r="Y383" s="6"/>
      <c r="Z383" s="6"/>
      <c r="AA383" s="6"/>
      <c r="AB383" s="6">
        <v>62</v>
      </c>
      <c r="AC383" s="6">
        <v>2241</v>
      </c>
      <c r="AD383" s="6">
        <v>0</v>
      </c>
      <c r="AE383" s="6">
        <v>24826</v>
      </c>
      <c r="AF383" s="6">
        <v>12974</v>
      </c>
    </row>
    <row r="384" spans="1:32" x14ac:dyDescent="0.35">
      <c r="A384" s="1">
        <v>40233</v>
      </c>
      <c r="B384" s="6">
        <v>2286127</v>
      </c>
      <c r="C384" s="6">
        <v>11037</v>
      </c>
      <c r="D384" s="6">
        <v>5200</v>
      </c>
      <c r="E384" s="6">
        <v>2166</v>
      </c>
      <c r="F384" s="6">
        <v>2127174</v>
      </c>
      <c r="G384" s="6">
        <v>1975641</v>
      </c>
      <c r="H384" s="6">
        <v>776549</v>
      </c>
      <c r="I384" s="6">
        <v>18423</v>
      </c>
      <c r="J384" s="6">
        <v>708872</v>
      </c>
      <c r="K384" s="6">
        <v>43777</v>
      </c>
      <c r="L384" s="6">
        <v>5477</v>
      </c>
      <c r="M384" s="6">
        <v>17541</v>
      </c>
      <c r="N384" s="6">
        <v>24188</v>
      </c>
      <c r="O384" s="6">
        <v>40542</v>
      </c>
      <c r="P384" s="6">
        <v>337293</v>
      </c>
      <c r="Q384" s="6">
        <v>213261</v>
      </c>
      <c r="R384" s="6">
        <v>143724</v>
      </c>
      <c r="S384" s="6">
        <v>166533</v>
      </c>
      <c r="T384" s="6">
        <v>1032560</v>
      </c>
      <c r="U384" s="6">
        <v>53459</v>
      </c>
      <c r="V384" s="6">
        <v>-3377</v>
      </c>
      <c r="W384" s="6">
        <v>0</v>
      </c>
      <c r="X384" s="6">
        <v>86026</v>
      </c>
      <c r="Y384" s="6"/>
      <c r="Z384" s="6"/>
      <c r="AA384" s="6"/>
      <c r="AB384" s="6">
        <v>410</v>
      </c>
      <c r="AC384" s="6">
        <v>2242</v>
      </c>
      <c r="AD384" s="6">
        <v>0</v>
      </c>
      <c r="AE384" s="6">
        <v>24867</v>
      </c>
      <c r="AF384" s="6">
        <v>14713</v>
      </c>
    </row>
    <row r="385" spans="1:32" x14ac:dyDescent="0.35">
      <c r="A385" s="1">
        <v>40240</v>
      </c>
      <c r="B385" s="6">
        <v>2280147</v>
      </c>
      <c r="C385" s="6">
        <v>11037</v>
      </c>
      <c r="D385" s="6">
        <v>5200</v>
      </c>
      <c r="E385" s="6">
        <v>2150</v>
      </c>
      <c r="F385" s="6">
        <v>2122136</v>
      </c>
      <c r="G385" s="6">
        <v>1970892</v>
      </c>
      <c r="H385" s="6">
        <v>776553</v>
      </c>
      <c r="I385" s="6">
        <v>18423</v>
      </c>
      <c r="J385" s="6">
        <v>708872</v>
      </c>
      <c r="K385" s="6">
        <v>43777</v>
      </c>
      <c r="L385" s="6">
        <v>5481</v>
      </c>
      <c r="M385" s="6">
        <v>13013</v>
      </c>
      <c r="N385" s="6">
        <v>28272</v>
      </c>
      <c r="O385" s="6">
        <v>44019</v>
      </c>
      <c r="P385" s="6">
        <v>333475</v>
      </c>
      <c r="Q385" s="6">
        <v>214048</v>
      </c>
      <c r="R385" s="6">
        <v>143726</v>
      </c>
      <c r="S385" s="6">
        <v>167511</v>
      </c>
      <c r="T385" s="6">
        <v>1026828</v>
      </c>
      <c r="U385" s="6">
        <v>53195</v>
      </c>
      <c r="V385" s="6">
        <v>-3374</v>
      </c>
      <c r="W385" s="6">
        <v>0</v>
      </c>
      <c r="X385" s="6">
        <v>85998</v>
      </c>
      <c r="Y385" s="6"/>
      <c r="Z385" s="6"/>
      <c r="AA385" s="6"/>
      <c r="AB385" s="6">
        <v>334</v>
      </c>
      <c r="AC385" s="6">
        <v>2236</v>
      </c>
      <c r="AD385" s="6">
        <v>0</v>
      </c>
      <c r="AE385" s="6">
        <v>25231</v>
      </c>
      <c r="AF385" s="6">
        <v>13343</v>
      </c>
    </row>
    <row r="386" spans="1:32" x14ac:dyDescent="0.35">
      <c r="A386" s="1">
        <v>40247</v>
      </c>
      <c r="B386" s="6">
        <v>2282474</v>
      </c>
      <c r="C386" s="6">
        <v>11037</v>
      </c>
      <c r="D386" s="6">
        <v>5200</v>
      </c>
      <c r="E386" s="6">
        <v>2133</v>
      </c>
      <c r="F386" s="6">
        <v>2123833</v>
      </c>
      <c r="G386" s="6">
        <v>1974773</v>
      </c>
      <c r="H386" s="6">
        <v>776591</v>
      </c>
      <c r="I386" s="6">
        <v>18423</v>
      </c>
      <c r="J386" s="6">
        <v>708872</v>
      </c>
      <c r="K386" s="6">
        <v>43777</v>
      </c>
      <c r="L386" s="6">
        <v>5519</v>
      </c>
      <c r="M386" s="6">
        <v>16880</v>
      </c>
      <c r="N386" s="6">
        <v>24408</v>
      </c>
      <c r="O386" s="6">
        <v>44020</v>
      </c>
      <c r="P386" s="6">
        <v>333484</v>
      </c>
      <c r="Q386" s="6">
        <v>214057</v>
      </c>
      <c r="R386" s="6">
        <v>143741</v>
      </c>
      <c r="S386" s="6">
        <v>169011</v>
      </c>
      <c r="T386" s="6">
        <v>1029172</v>
      </c>
      <c r="U386" s="6">
        <v>53212</v>
      </c>
      <c r="V386" s="6">
        <v>-3368</v>
      </c>
      <c r="W386" s="6">
        <v>0</v>
      </c>
      <c r="X386" s="6">
        <v>83791</v>
      </c>
      <c r="Y386" s="6"/>
      <c r="Z386" s="6"/>
      <c r="AA386" s="6"/>
      <c r="AB386" s="6">
        <v>299</v>
      </c>
      <c r="AC386" s="6">
        <v>2238</v>
      </c>
      <c r="AD386" s="6">
        <v>0</v>
      </c>
      <c r="AE386" s="6">
        <v>24896</v>
      </c>
      <c r="AF386" s="6">
        <v>14888</v>
      </c>
    </row>
    <row r="387" spans="1:32" x14ac:dyDescent="0.35">
      <c r="A387" s="1">
        <v>40254</v>
      </c>
      <c r="B387" s="6">
        <v>2307997</v>
      </c>
      <c r="C387" s="6">
        <v>11037</v>
      </c>
      <c r="D387" s="6">
        <v>5200</v>
      </c>
      <c r="E387" s="6">
        <v>2114</v>
      </c>
      <c r="F387" s="6">
        <v>2149359</v>
      </c>
      <c r="G387" s="6">
        <v>2010556</v>
      </c>
      <c r="H387" s="6">
        <v>776629</v>
      </c>
      <c r="I387" s="6">
        <v>18423</v>
      </c>
      <c r="J387" s="6">
        <v>708872</v>
      </c>
      <c r="K387" s="6">
        <v>43777</v>
      </c>
      <c r="L387" s="6">
        <v>5557</v>
      </c>
      <c r="M387" s="6">
        <v>16476</v>
      </c>
      <c r="N387" s="6">
        <v>24343</v>
      </c>
      <c r="O387" s="6">
        <v>43617</v>
      </c>
      <c r="P387" s="6">
        <v>333967</v>
      </c>
      <c r="Q387" s="6">
        <v>214314</v>
      </c>
      <c r="R387" s="6">
        <v>143911</v>
      </c>
      <c r="S387" s="6">
        <v>167488</v>
      </c>
      <c r="T387" s="6">
        <v>1066440</v>
      </c>
      <c r="U387" s="6">
        <v>53671</v>
      </c>
      <c r="V387" s="6">
        <v>-3382</v>
      </c>
      <c r="W387" s="6">
        <v>0</v>
      </c>
      <c r="X387" s="6">
        <v>85105</v>
      </c>
      <c r="Y387" s="6"/>
      <c r="Z387" s="6"/>
      <c r="AA387" s="6"/>
      <c r="AB387" s="6">
        <v>343</v>
      </c>
      <c r="AC387" s="6">
        <v>2239</v>
      </c>
      <c r="AD387" s="6">
        <v>0</v>
      </c>
      <c r="AE387" s="6">
        <v>25008</v>
      </c>
      <c r="AF387" s="6">
        <v>14695</v>
      </c>
    </row>
    <row r="388" spans="1:32" x14ac:dyDescent="0.35">
      <c r="A388" s="1">
        <v>40261</v>
      </c>
      <c r="B388" s="6">
        <v>2313149</v>
      </c>
      <c r="C388" s="6">
        <v>11037</v>
      </c>
      <c r="D388" s="6">
        <v>5200</v>
      </c>
      <c r="E388" s="6">
        <v>2098</v>
      </c>
      <c r="F388" s="6">
        <v>2154034</v>
      </c>
      <c r="G388" s="6">
        <v>2017955</v>
      </c>
      <c r="H388" s="6">
        <v>776667</v>
      </c>
      <c r="I388" s="6">
        <v>18423</v>
      </c>
      <c r="J388" s="6">
        <v>708872</v>
      </c>
      <c r="K388" s="6">
        <v>43777</v>
      </c>
      <c r="L388" s="6">
        <v>5595</v>
      </c>
      <c r="M388" s="6">
        <v>18633</v>
      </c>
      <c r="N388" s="6">
        <v>22190</v>
      </c>
      <c r="O388" s="6">
        <v>43618</v>
      </c>
      <c r="P388" s="6">
        <v>333977</v>
      </c>
      <c r="Q388" s="6">
        <v>214323</v>
      </c>
      <c r="R388" s="6">
        <v>143926</v>
      </c>
      <c r="S388" s="6">
        <v>167488</v>
      </c>
      <c r="T388" s="6">
        <v>1073800</v>
      </c>
      <c r="U388" s="6">
        <v>53796</v>
      </c>
      <c r="V388" s="6">
        <v>-3376</v>
      </c>
      <c r="W388" s="6">
        <v>0</v>
      </c>
      <c r="X388" s="6">
        <v>82249</v>
      </c>
      <c r="Y388" s="6"/>
      <c r="Z388" s="6"/>
      <c r="AA388" s="6"/>
      <c r="AB388" s="6">
        <v>185</v>
      </c>
      <c r="AC388" s="6">
        <v>2239</v>
      </c>
      <c r="AD388" s="6">
        <v>0</v>
      </c>
      <c r="AE388" s="6">
        <v>24433</v>
      </c>
      <c r="AF388" s="6">
        <v>15834</v>
      </c>
    </row>
    <row r="389" spans="1:32" x14ac:dyDescent="0.35">
      <c r="A389" s="1">
        <v>40268</v>
      </c>
      <c r="B389" s="6">
        <v>2307150</v>
      </c>
      <c r="C389" s="6">
        <v>11037</v>
      </c>
      <c r="D389" s="6">
        <v>5200</v>
      </c>
      <c r="E389" s="6">
        <v>2083</v>
      </c>
      <c r="F389" s="6">
        <v>2148713</v>
      </c>
      <c r="G389" s="6">
        <v>2014390</v>
      </c>
      <c r="H389" s="6">
        <v>776705</v>
      </c>
      <c r="I389" s="6">
        <v>18423</v>
      </c>
      <c r="J389" s="6">
        <v>708872</v>
      </c>
      <c r="K389" s="6">
        <v>43777</v>
      </c>
      <c r="L389" s="6">
        <v>5633</v>
      </c>
      <c r="M389" s="6">
        <v>18140</v>
      </c>
      <c r="N389" s="6">
        <v>18694</v>
      </c>
      <c r="O389" s="6">
        <v>48552</v>
      </c>
      <c r="P389" s="6">
        <v>331962</v>
      </c>
      <c r="Q389" s="6">
        <v>215414</v>
      </c>
      <c r="R389" s="6">
        <v>143942</v>
      </c>
      <c r="S389" s="6">
        <v>168988</v>
      </c>
      <c r="T389" s="6">
        <v>1068697</v>
      </c>
      <c r="U389" s="6">
        <v>53585</v>
      </c>
      <c r="V389" s="6">
        <v>-3383</v>
      </c>
      <c r="W389" s="6">
        <v>0</v>
      </c>
      <c r="X389" s="6">
        <v>80711</v>
      </c>
      <c r="Y389" s="6"/>
      <c r="Z389" s="6"/>
      <c r="AA389" s="6"/>
      <c r="AB389" s="6">
        <v>496</v>
      </c>
      <c r="AC389" s="6">
        <v>2241</v>
      </c>
      <c r="AD389" s="6">
        <v>0</v>
      </c>
      <c r="AE389" s="6">
        <v>24454</v>
      </c>
      <c r="AF389" s="6">
        <v>14400</v>
      </c>
    </row>
    <row r="390" spans="1:32" x14ac:dyDescent="0.35">
      <c r="A390" s="1">
        <v>40275</v>
      </c>
      <c r="B390" s="6">
        <v>2307575</v>
      </c>
      <c r="C390" s="6">
        <v>11037</v>
      </c>
      <c r="D390" s="6">
        <v>5200</v>
      </c>
      <c r="E390" s="6">
        <v>2067</v>
      </c>
      <c r="F390" s="6">
        <v>2148230</v>
      </c>
      <c r="G390" s="6">
        <v>2014432</v>
      </c>
      <c r="H390" s="6">
        <v>776708</v>
      </c>
      <c r="I390" s="6">
        <v>18423</v>
      </c>
      <c r="J390" s="6">
        <v>708872</v>
      </c>
      <c r="K390" s="6">
        <v>43777</v>
      </c>
      <c r="L390" s="6">
        <v>5636</v>
      </c>
      <c r="M390" s="6">
        <v>22007</v>
      </c>
      <c r="N390" s="6">
        <v>18044</v>
      </c>
      <c r="O390" s="6">
        <v>45336</v>
      </c>
      <c r="P390" s="6">
        <v>331963</v>
      </c>
      <c r="Q390" s="6">
        <v>215415</v>
      </c>
      <c r="R390" s="6">
        <v>143943</v>
      </c>
      <c r="S390" s="6">
        <v>168988</v>
      </c>
      <c r="T390" s="6">
        <v>1068736</v>
      </c>
      <c r="U390" s="6">
        <v>53449</v>
      </c>
      <c r="V390" s="6">
        <v>-3377</v>
      </c>
      <c r="W390" s="6">
        <v>0</v>
      </c>
      <c r="X390" s="6">
        <v>80316</v>
      </c>
      <c r="Y390" s="6"/>
      <c r="Z390" s="6"/>
      <c r="AA390" s="6"/>
      <c r="AB390" s="6">
        <v>220</v>
      </c>
      <c r="AC390" s="6">
        <v>2237</v>
      </c>
      <c r="AD390" s="6">
        <v>0</v>
      </c>
      <c r="AE390" s="6">
        <v>24268</v>
      </c>
      <c r="AF390" s="6">
        <v>16178</v>
      </c>
    </row>
    <row r="391" spans="1:32" x14ac:dyDescent="0.35">
      <c r="A391" s="1">
        <v>40282</v>
      </c>
      <c r="B391" s="6">
        <v>2339345</v>
      </c>
      <c r="C391" s="6">
        <v>11037</v>
      </c>
      <c r="D391" s="6">
        <v>5200</v>
      </c>
      <c r="E391" s="6">
        <v>2067</v>
      </c>
      <c r="F391" s="6">
        <v>2177175</v>
      </c>
      <c r="G391" s="6">
        <v>2047487</v>
      </c>
      <c r="H391" s="6">
        <v>776711</v>
      </c>
      <c r="I391" s="6">
        <v>18423</v>
      </c>
      <c r="J391" s="6">
        <v>708872</v>
      </c>
      <c r="K391" s="6">
        <v>43777</v>
      </c>
      <c r="L391" s="6">
        <v>5639</v>
      </c>
      <c r="M391" s="6">
        <v>18487</v>
      </c>
      <c r="N391" s="6">
        <v>21564</v>
      </c>
      <c r="O391" s="6">
        <v>45336</v>
      </c>
      <c r="P391" s="6">
        <v>331964</v>
      </c>
      <c r="Q391" s="6">
        <v>215415</v>
      </c>
      <c r="R391" s="6">
        <v>143944</v>
      </c>
      <c r="S391" s="6">
        <v>168903</v>
      </c>
      <c r="T391" s="6">
        <v>1101874</v>
      </c>
      <c r="U391" s="6">
        <v>53754</v>
      </c>
      <c r="V391" s="6">
        <v>-3391</v>
      </c>
      <c r="W391" s="6">
        <v>0</v>
      </c>
      <c r="X391" s="6">
        <v>79325</v>
      </c>
      <c r="Y391" s="6"/>
      <c r="Z391" s="6"/>
      <c r="AA391" s="6"/>
      <c r="AB391" s="6">
        <v>184</v>
      </c>
      <c r="AC391" s="6">
        <v>2239</v>
      </c>
      <c r="AD391" s="6">
        <v>0</v>
      </c>
      <c r="AE391" s="6">
        <v>24653</v>
      </c>
      <c r="AF391" s="6">
        <v>18413</v>
      </c>
    </row>
    <row r="392" spans="1:32" x14ac:dyDescent="0.35">
      <c r="A392" s="1">
        <v>40289</v>
      </c>
      <c r="B392" s="6">
        <v>2337556</v>
      </c>
      <c r="C392" s="6">
        <v>11037</v>
      </c>
      <c r="D392" s="6">
        <v>5200</v>
      </c>
      <c r="E392" s="6">
        <v>2095</v>
      </c>
      <c r="F392" s="6">
        <v>2176175</v>
      </c>
      <c r="G392" s="6">
        <v>2047547</v>
      </c>
      <c r="H392" s="6">
        <v>776714</v>
      </c>
      <c r="I392" s="6">
        <v>18423</v>
      </c>
      <c r="J392" s="6">
        <v>712258</v>
      </c>
      <c r="K392" s="6">
        <v>40891</v>
      </c>
      <c r="L392" s="6">
        <v>5143</v>
      </c>
      <c r="M392" s="6">
        <v>17393</v>
      </c>
      <c r="N392" s="6">
        <v>16678</v>
      </c>
      <c r="O392" s="6">
        <v>48503</v>
      </c>
      <c r="P392" s="6">
        <v>331703</v>
      </c>
      <c r="Q392" s="6">
        <v>217540</v>
      </c>
      <c r="R392" s="6">
        <v>144897</v>
      </c>
      <c r="S392" s="6">
        <v>168903</v>
      </c>
      <c r="T392" s="6">
        <v>1101929</v>
      </c>
      <c r="U392" s="6">
        <v>53662</v>
      </c>
      <c r="V392" s="6">
        <v>-3458</v>
      </c>
      <c r="W392" s="6">
        <v>0</v>
      </c>
      <c r="X392" s="6">
        <v>78424</v>
      </c>
      <c r="Y392" s="6"/>
      <c r="Z392" s="6"/>
      <c r="AA392" s="6"/>
      <c r="AB392" s="6">
        <v>200</v>
      </c>
      <c r="AC392" s="6">
        <v>2239</v>
      </c>
      <c r="AD392" s="6">
        <v>0</v>
      </c>
      <c r="AE392" s="6">
        <v>24336</v>
      </c>
      <c r="AF392" s="6">
        <v>17780</v>
      </c>
    </row>
    <row r="393" spans="1:32" x14ac:dyDescent="0.35">
      <c r="A393" s="1">
        <v>40296</v>
      </c>
      <c r="B393" s="6">
        <v>2330472</v>
      </c>
      <c r="C393" s="6">
        <v>11037</v>
      </c>
      <c r="D393" s="6">
        <v>5200</v>
      </c>
      <c r="E393" s="6">
        <v>2114</v>
      </c>
      <c r="F393" s="6">
        <v>2170288</v>
      </c>
      <c r="G393" s="6">
        <v>2042037</v>
      </c>
      <c r="H393" s="6">
        <v>776717</v>
      </c>
      <c r="I393" s="6">
        <v>18423</v>
      </c>
      <c r="J393" s="6">
        <v>712258</v>
      </c>
      <c r="K393" s="6">
        <v>40891</v>
      </c>
      <c r="L393" s="6">
        <v>5146</v>
      </c>
      <c r="M393" s="6">
        <v>14889</v>
      </c>
      <c r="N393" s="6">
        <v>19182</v>
      </c>
      <c r="O393" s="6">
        <v>48503</v>
      </c>
      <c r="P393" s="6">
        <v>331703</v>
      </c>
      <c r="Q393" s="6">
        <v>217541</v>
      </c>
      <c r="R393" s="6">
        <v>144898</v>
      </c>
      <c r="S393" s="6">
        <v>168903</v>
      </c>
      <c r="T393" s="6">
        <v>1096416</v>
      </c>
      <c r="U393" s="6">
        <v>53331</v>
      </c>
      <c r="V393" s="6">
        <v>-3449</v>
      </c>
      <c r="W393" s="6">
        <v>0</v>
      </c>
      <c r="X393" s="6">
        <v>78370</v>
      </c>
      <c r="Y393" s="6"/>
      <c r="Z393" s="6"/>
      <c r="AA393" s="6"/>
      <c r="AB393" s="6">
        <v>197</v>
      </c>
      <c r="AC393" s="6">
        <v>2238</v>
      </c>
      <c r="AD393" s="6">
        <v>0</v>
      </c>
      <c r="AE393" s="6">
        <v>23984</v>
      </c>
      <c r="AF393" s="6">
        <v>16791</v>
      </c>
    </row>
    <row r="394" spans="1:32" x14ac:dyDescent="0.35">
      <c r="A394" s="1">
        <v>40303</v>
      </c>
      <c r="B394" s="6">
        <v>2326164</v>
      </c>
      <c r="C394" s="6">
        <v>11037</v>
      </c>
      <c r="D394" s="6">
        <v>5200</v>
      </c>
      <c r="E394" s="6">
        <v>2081</v>
      </c>
      <c r="F394" s="6">
        <v>2169801</v>
      </c>
      <c r="G394" s="6">
        <v>2042276</v>
      </c>
      <c r="H394" s="6">
        <v>776749</v>
      </c>
      <c r="I394" s="6">
        <v>18423</v>
      </c>
      <c r="J394" s="6">
        <v>712023</v>
      </c>
      <c r="K394" s="6">
        <v>41125</v>
      </c>
      <c r="L394" s="6">
        <v>5177</v>
      </c>
      <c r="M394" s="6">
        <v>22803</v>
      </c>
      <c r="N394" s="6">
        <v>11932</v>
      </c>
      <c r="O394" s="6">
        <v>51337</v>
      </c>
      <c r="P394" s="6">
        <v>327533</v>
      </c>
      <c r="Q394" s="6">
        <v>218232</v>
      </c>
      <c r="R394" s="6">
        <v>144912</v>
      </c>
      <c r="S394" s="6">
        <v>168112</v>
      </c>
      <c r="T394" s="6">
        <v>1097415</v>
      </c>
      <c r="U394" s="6">
        <v>53226</v>
      </c>
      <c r="V394" s="6">
        <v>-3450</v>
      </c>
      <c r="W394" s="6">
        <v>0</v>
      </c>
      <c r="X394" s="6">
        <v>77749</v>
      </c>
      <c r="Y394" s="6"/>
      <c r="Z394" s="6"/>
      <c r="AA394" s="6"/>
      <c r="AB394" s="6">
        <v>225</v>
      </c>
      <c r="AC394" s="6">
        <v>2234</v>
      </c>
      <c r="AD394" s="6">
        <v>0</v>
      </c>
      <c r="AE394" s="6">
        <v>23712</v>
      </c>
      <c r="AF394" s="6">
        <v>18027</v>
      </c>
    </row>
    <row r="395" spans="1:32" x14ac:dyDescent="0.35">
      <c r="A395" s="1">
        <v>40310</v>
      </c>
      <c r="B395" s="6">
        <v>2336103</v>
      </c>
      <c r="C395" s="6">
        <v>11037</v>
      </c>
      <c r="D395" s="6">
        <v>5200</v>
      </c>
      <c r="E395" s="6">
        <v>2065</v>
      </c>
      <c r="F395" s="6">
        <v>2169578</v>
      </c>
      <c r="G395" s="6">
        <v>2043258</v>
      </c>
      <c r="H395" s="6">
        <v>776792</v>
      </c>
      <c r="I395" s="6">
        <v>18423</v>
      </c>
      <c r="J395" s="6">
        <v>712023</v>
      </c>
      <c r="K395" s="6">
        <v>41125</v>
      </c>
      <c r="L395" s="6">
        <v>5220</v>
      </c>
      <c r="M395" s="6">
        <v>19283</v>
      </c>
      <c r="N395" s="6">
        <v>15452</v>
      </c>
      <c r="O395" s="6">
        <v>51342</v>
      </c>
      <c r="P395" s="6">
        <v>327542</v>
      </c>
      <c r="Q395" s="6">
        <v>218243</v>
      </c>
      <c r="R395" s="6">
        <v>144931</v>
      </c>
      <c r="S395" s="6">
        <v>168112</v>
      </c>
      <c r="T395" s="6">
        <v>1098355</v>
      </c>
      <c r="U395" s="6">
        <v>53128</v>
      </c>
      <c r="V395" s="6">
        <v>-3444</v>
      </c>
      <c r="W395" s="6">
        <v>0</v>
      </c>
      <c r="X395" s="6">
        <v>76636</v>
      </c>
      <c r="Y395" s="6"/>
      <c r="Z395" s="6"/>
      <c r="AA395" s="6"/>
      <c r="AB395" s="6">
        <v>160</v>
      </c>
      <c r="AC395" s="6">
        <v>2237</v>
      </c>
      <c r="AD395" s="6">
        <v>9205</v>
      </c>
      <c r="AE395" s="6">
        <v>23608</v>
      </c>
      <c r="AF395" s="6">
        <v>19692</v>
      </c>
    </row>
    <row r="396" spans="1:32" x14ac:dyDescent="0.35">
      <c r="A396" s="1">
        <v>40317</v>
      </c>
      <c r="B396" s="6">
        <v>2350890</v>
      </c>
      <c r="C396" s="6">
        <v>11037</v>
      </c>
      <c r="D396" s="6">
        <v>5200</v>
      </c>
      <c r="E396" s="6">
        <v>2042</v>
      </c>
      <c r="F396" s="6">
        <v>2189437</v>
      </c>
      <c r="G396" s="6">
        <v>2063896</v>
      </c>
      <c r="H396" s="6">
        <v>776834</v>
      </c>
      <c r="I396" s="6">
        <v>18423</v>
      </c>
      <c r="J396" s="6">
        <v>712023</v>
      </c>
      <c r="K396" s="6">
        <v>41125</v>
      </c>
      <c r="L396" s="6">
        <v>5263</v>
      </c>
      <c r="M396" s="6">
        <v>17097</v>
      </c>
      <c r="N396" s="6">
        <v>15271</v>
      </c>
      <c r="O396" s="6">
        <v>46915</v>
      </c>
      <c r="P396" s="6">
        <v>340378</v>
      </c>
      <c r="Q396" s="6">
        <v>213483</v>
      </c>
      <c r="R396" s="6">
        <v>143691</v>
      </c>
      <c r="S396" s="6">
        <v>167577</v>
      </c>
      <c r="T396" s="6">
        <v>1119485</v>
      </c>
      <c r="U396" s="6">
        <v>53153</v>
      </c>
      <c r="V396" s="6">
        <v>-3475</v>
      </c>
      <c r="W396" s="6">
        <v>0</v>
      </c>
      <c r="X396" s="6">
        <v>75861</v>
      </c>
      <c r="Y396" s="6"/>
      <c r="Z396" s="6"/>
      <c r="AA396" s="6"/>
      <c r="AB396" s="6">
        <v>229</v>
      </c>
      <c r="AC396" s="6">
        <v>2238</v>
      </c>
      <c r="AD396" s="6">
        <v>9205</v>
      </c>
      <c r="AE396" s="6">
        <v>23473</v>
      </c>
      <c r="AF396" s="6">
        <v>14644</v>
      </c>
    </row>
    <row r="397" spans="1:32" x14ac:dyDescent="0.35">
      <c r="A397" s="1">
        <v>40324</v>
      </c>
      <c r="B397" s="6">
        <v>2334041</v>
      </c>
      <c r="C397" s="6">
        <v>11037</v>
      </c>
      <c r="D397" s="6">
        <v>5200</v>
      </c>
      <c r="E397" s="6">
        <v>2014</v>
      </c>
      <c r="F397" s="6">
        <v>2181406</v>
      </c>
      <c r="G397" s="6">
        <v>2057164</v>
      </c>
      <c r="H397" s="6">
        <v>776877</v>
      </c>
      <c r="I397" s="6">
        <v>18423</v>
      </c>
      <c r="J397" s="6">
        <v>712023</v>
      </c>
      <c r="K397" s="6">
        <v>41125</v>
      </c>
      <c r="L397" s="6">
        <v>5306</v>
      </c>
      <c r="M397" s="6">
        <v>14593</v>
      </c>
      <c r="N397" s="6">
        <v>17775</v>
      </c>
      <c r="O397" s="6">
        <v>46919</v>
      </c>
      <c r="P397" s="6">
        <v>340387</v>
      </c>
      <c r="Q397" s="6">
        <v>213494</v>
      </c>
      <c r="R397" s="6">
        <v>143710</v>
      </c>
      <c r="S397" s="6">
        <v>167377</v>
      </c>
      <c r="T397" s="6">
        <v>1112910</v>
      </c>
      <c r="U397" s="6">
        <v>52770</v>
      </c>
      <c r="V397" s="6">
        <v>-3465</v>
      </c>
      <c r="W397" s="6">
        <v>0</v>
      </c>
      <c r="X397" s="6">
        <v>74937</v>
      </c>
      <c r="Y397" s="6"/>
      <c r="Z397" s="6"/>
      <c r="AA397" s="6"/>
      <c r="AB397" s="6">
        <v>274</v>
      </c>
      <c r="AC397" s="6">
        <v>2236</v>
      </c>
      <c r="AD397" s="6">
        <v>1242</v>
      </c>
      <c r="AE397" s="6">
        <v>23483</v>
      </c>
      <c r="AF397" s="6">
        <v>13636</v>
      </c>
    </row>
    <row r="398" spans="1:32" x14ac:dyDescent="0.35">
      <c r="A398" s="1">
        <v>40331</v>
      </c>
      <c r="B398" s="6">
        <v>2336216</v>
      </c>
      <c r="C398" s="6">
        <v>11037</v>
      </c>
      <c r="D398" s="6">
        <v>5200</v>
      </c>
      <c r="E398" s="6">
        <v>1996</v>
      </c>
      <c r="F398" s="6">
        <v>2177463</v>
      </c>
      <c r="G398" s="6">
        <v>2057242</v>
      </c>
      <c r="H398" s="6">
        <v>776913</v>
      </c>
      <c r="I398" s="6">
        <v>18423</v>
      </c>
      <c r="J398" s="6">
        <v>712023</v>
      </c>
      <c r="K398" s="6">
        <v>41125</v>
      </c>
      <c r="L398" s="6">
        <v>5342</v>
      </c>
      <c r="M398" s="6">
        <v>16409</v>
      </c>
      <c r="N398" s="6">
        <v>16173</v>
      </c>
      <c r="O398" s="6">
        <v>53512</v>
      </c>
      <c r="P398" s="6">
        <v>332917</v>
      </c>
      <c r="Q398" s="6">
        <v>214177</v>
      </c>
      <c r="R398" s="6">
        <v>143726</v>
      </c>
      <c r="S398" s="6">
        <v>166715</v>
      </c>
      <c r="T398" s="6">
        <v>1113614</v>
      </c>
      <c r="U398" s="6">
        <v>52647</v>
      </c>
      <c r="V398" s="6">
        <v>-3462</v>
      </c>
      <c r="W398" s="6">
        <v>0</v>
      </c>
      <c r="X398" s="6">
        <v>71035</v>
      </c>
      <c r="Y398" s="6"/>
      <c r="Z398" s="6"/>
      <c r="AA398" s="6"/>
      <c r="AB398" s="6">
        <v>403</v>
      </c>
      <c r="AC398" s="6">
        <v>2232</v>
      </c>
      <c r="AD398" s="6">
        <v>6642</v>
      </c>
      <c r="AE398" s="6">
        <v>23244</v>
      </c>
      <c r="AF398" s="6">
        <v>14425</v>
      </c>
    </row>
    <row r="399" spans="1:32" x14ac:dyDescent="0.35">
      <c r="A399" s="1">
        <v>40338</v>
      </c>
      <c r="B399" s="6">
        <v>2331529</v>
      </c>
      <c r="C399" s="6">
        <v>11037</v>
      </c>
      <c r="D399" s="6">
        <v>5200</v>
      </c>
      <c r="E399" s="6">
        <v>2024</v>
      </c>
      <c r="F399" s="6">
        <v>2177171</v>
      </c>
      <c r="G399" s="6">
        <v>2057322</v>
      </c>
      <c r="H399" s="6">
        <v>776932</v>
      </c>
      <c r="I399" s="6">
        <v>18423</v>
      </c>
      <c r="J399" s="6">
        <v>712023</v>
      </c>
      <c r="K399" s="6">
        <v>41125</v>
      </c>
      <c r="L399" s="6">
        <v>5361</v>
      </c>
      <c r="M399" s="6">
        <v>12889</v>
      </c>
      <c r="N399" s="6">
        <v>19693</v>
      </c>
      <c r="O399" s="6">
        <v>53514</v>
      </c>
      <c r="P399" s="6">
        <v>332921</v>
      </c>
      <c r="Q399" s="6">
        <v>214182</v>
      </c>
      <c r="R399" s="6">
        <v>143734</v>
      </c>
      <c r="S399" s="6">
        <v>166715</v>
      </c>
      <c r="T399" s="6">
        <v>1113675</v>
      </c>
      <c r="U399" s="6">
        <v>52514</v>
      </c>
      <c r="V399" s="6">
        <v>-3457</v>
      </c>
      <c r="W399" s="6">
        <v>0</v>
      </c>
      <c r="X399" s="6">
        <v>70791</v>
      </c>
      <c r="Y399" s="6"/>
      <c r="Z399" s="6"/>
      <c r="AA399" s="6"/>
      <c r="AB399" s="6">
        <v>226</v>
      </c>
      <c r="AC399" s="6">
        <v>2233</v>
      </c>
      <c r="AD399" s="6">
        <v>1242</v>
      </c>
      <c r="AE399" s="6">
        <v>23156</v>
      </c>
      <c r="AF399" s="6">
        <v>16091</v>
      </c>
    </row>
    <row r="400" spans="1:32" x14ac:dyDescent="0.35">
      <c r="A400" s="1">
        <v>40345</v>
      </c>
      <c r="B400" s="6">
        <v>2344316</v>
      </c>
      <c r="C400" s="6">
        <v>11037</v>
      </c>
      <c r="D400" s="6">
        <v>5200</v>
      </c>
      <c r="E400" s="6">
        <v>2024</v>
      </c>
      <c r="F400" s="6">
        <v>2189747</v>
      </c>
      <c r="G400" s="6">
        <v>2070754</v>
      </c>
      <c r="H400" s="6">
        <v>776951</v>
      </c>
      <c r="I400" s="6">
        <v>18423</v>
      </c>
      <c r="J400" s="6">
        <v>712023</v>
      </c>
      <c r="K400" s="6">
        <v>41125</v>
      </c>
      <c r="L400" s="6">
        <v>5380</v>
      </c>
      <c r="M400" s="6">
        <v>17858</v>
      </c>
      <c r="N400" s="6">
        <v>14320</v>
      </c>
      <c r="O400" s="6">
        <v>53516</v>
      </c>
      <c r="P400" s="6">
        <v>333133</v>
      </c>
      <c r="Q400" s="6">
        <v>214308</v>
      </c>
      <c r="R400" s="6">
        <v>143817</v>
      </c>
      <c r="S400" s="6">
        <v>166206</v>
      </c>
      <c r="T400" s="6">
        <v>1127597</v>
      </c>
      <c r="U400" s="6">
        <v>52572</v>
      </c>
      <c r="V400" s="6">
        <v>-3447</v>
      </c>
      <c r="W400" s="6">
        <v>0</v>
      </c>
      <c r="X400" s="6">
        <v>69867</v>
      </c>
      <c r="Y400" s="6"/>
      <c r="Z400" s="6"/>
      <c r="AA400" s="6"/>
      <c r="AB400" s="6">
        <v>307</v>
      </c>
      <c r="AC400" s="6">
        <v>2235</v>
      </c>
      <c r="AD400" s="6">
        <v>1242</v>
      </c>
      <c r="AE400" s="6">
        <v>23469</v>
      </c>
      <c r="AF400" s="6">
        <v>15855</v>
      </c>
    </row>
    <row r="401" spans="1:32" x14ac:dyDescent="0.35">
      <c r="A401" s="1">
        <v>40352</v>
      </c>
      <c r="B401" s="6">
        <v>2344497</v>
      </c>
      <c r="C401" s="6">
        <v>11037</v>
      </c>
      <c r="D401" s="6">
        <v>5200</v>
      </c>
      <c r="E401" s="6">
        <v>1992</v>
      </c>
      <c r="F401" s="6">
        <v>2188636</v>
      </c>
      <c r="G401" s="6">
        <v>2071244</v>
      </c>
      <c r="H401" s="6">
        <v>776970</v>
      </c>
      <c r="I401" s="6">
        <v>18423</v>
      </c>
      <c r="J401" s="6">
        <v>712023</v>
      </c>
      <c r="K401" s="6">
        <v>41125</v>
      </c>
      <c r="L401" s="6">
        <v>5399</v>
      </c>
      <c r="M401" s="6">
        <v>15354</v>
      </c>
      <c r="N401" s="6">
        <v>17656</v>
      </c>
      <c r="O401" s="6">
        <v>52685</v>
      </c>
      <c r="P401" s="6">
        <v>333137</v>
      </c>
      <c r="Q401" s="6">
        <v>214313</v>
      </c>
      <c r="R401" s="6">
        <v>143826</v>
      </c>
      <c r="S401" s="6">
        <v>165614</v>
      </c>
      <c r="T401" s="6">
        <v>1128661</v>
      </c>
      <c r="U401" s="6">
        <v>52456</v>
      </c>
      <c r="V401" s="6">
        <v>-3441</v>
      </c>
      <c r="W401" s="6">
        <v>0</v>
      </c>
      <c r="X401" s="6">
        <v>68376</v>
      </c>
      <c r="Y401" s="6"/>
      <c r="Z401" s="6"/>
      <c r="AA401" s="6"/>
      <c r="AB401" s="6">
        <v>244</v>
      </c>
      <c r="AC401" s="6">
        <v>2236</v>
      </c>
      <c r="AD401" s="6">
        <v>1245</v>
      </c>
      <c r="AE401" s="6">
        <v>23520</v>
      </c>
      <c r="AF401" s="6">
        <v>17143</v>
      </c>
    </row>
    <row r="402" spans="1:32" x14ac:dyDescent="0.35">
      <c r="A402" s="1">
        <v>40359</v>
      </c>
      <c r="B402" s="6">
        <v>2330851</v>
      </c>
      <c r="C402" s="6">
        <v>11037</v>
      </c>
      <c r="D402" s="6">
        <v>5200</v>
      </c>
      <c r="E402" s="6">
        <v>1975</v>
      </c>
      <c r="F402" s="6">
        <v>2176221</v>
      </c>
      <c r="G402" s="6">
        <v>2059878</v>
      </c>
      <c r="H402" s="6">
        <v>776989</v>
      </c>
      <c r="I402" s="6">
        <v>18423</v>
      </c>
      <c r="J402" s="6">
        <v>712023</v>
      </c>
      <c r="K402" s="6">
        <v>41125</v>
      </c>
      <c r="L402" s="6">
        <v>5417</v>
      </c>
      <c r="M402" s="6">
        <v>16028</v>
      </c>
      <c r="N402" s="6">
        <v>13766</v>
      </c>
      <c r="O402" s="6">
        <v>56099</v>
      </c>
      <c r="P402" s="6">
        <v>332051</v>
      </c>
      <c r="Q402" s="6">
        <v>215211</v>
      </c>
      <c r="R402" s="6">
        <v>143834</v>
      </c>
      <c r="S402" s="6">
        <v>164762</v>
      </c>
      <c r="T402" s="6">
        <v>1118127</v>
      </c>
      <c r="U402" s="6">
        <v>51963</v>
      </c>
      <c r="V402" s="6">
        <v>-3445</v>
      </c>
      <c r="W402" s="6">
        <v>0</v>
      </c>
      <c r="X402" s="6">
        <v>67825</v>
      </c>
      <c r="Y402" s="6"/>
      <c r="Z402" s="6"/>
      <c r="AA402" s="6"/>
      <c r="AB402" s="6">
        <v>264</v>
      </c>
      <c r="AC402" s="6">
        <v>2235</v>
      </c>
      <c r="AD402" s="6">
        <v>1245</v>
      </c>
      <c r="AE402" s="6">
        <v>23789</v>
      </c>
      <c r="AF402" s="6">
        <v>15176</v>
      </c>
    </row>
    <row r="403" spans="1:32" x14ac:dyDescent="0.35">
      <c r="A403" s="1">
        <v>40366</v>
      </c>
      <c r="B403" s="6">
        <v>2332017</v>
      </c>
      <c r="C403" s="6">
        <v>11037</v>
      </c>
      <c r="D403" s="6">
        <v>5200</v>
      </c>
      <c r="E403" s="6">
        <v>1958</v>
      </c>
      <c r="F403" s="6">
        <v>2175365</v>
      </c>
      <c r="G403" s="6">
        <v>2060049</v>
      </c>
      <c r="H403" s="6">
        <v>776997</v>
      </c>
      <c r="I403" s="6">
        <v>18423</v>
      </c>
      <c r="J403" s="6">
        <v>712023</v>
      </c>
      <c r="K403" s="6">
        <v>41125</v>
      </c>
      <c r="L403" s="6">
        <v>5426</v>
      </c>
      <c r="M403" s="6">
        <v>12508</v>
      </c>
      <c r="N403" s="6">
        <v>20437</v>
      </c>
      <c r="O403" s="6">
        <v>52950</v>
      </c>
      <c r="P403" s="6">
        <v>332053</v>
      </c>
      <c r="Q403" s="6">
        <v>215213</v>
      </c>
      <c r="R403" s="6">
        <v>143837</v>
      </c>
      <c r="S403" s="6">
        <v>164762</v>
      </c>
      <c r="T403" s="6">
        <v>1118290</v>
      </c>
      <c r="U403" s="6">
        <v>51830</v>
      </c>
      <c r="V403" s="6">
        <v>-3440</v>
      </c>
      <c r="W403" s="6">
        <v>0</v>
      </c>
      <c r="X403" s="6">
        <v>66925</v>
      </c>
      <c r="Y403" s="6"/>
      <c r="Z403" s="6"/>
      <c r="AA403" s="6"/>
      <c r="AB403" s="6">
        <v>666</v>
      </c>
      <c r="AC403" s="6">
        <v>2230</v>
      </c>
      <c r="AD403" s="6">
        <v>1245</v>
      </c>
      <c r="AE403" s="6">
        <v>24279</v>
      </c>
      <c r="AF403" s="6">
        <v>16802</v>
      </c>
    </row>
    <row r="404" spans="1:32" x14ac:dyDescent="0.35">
      <c r="A404" s="1">
        <v>40373</v>
      </c>
      <c r="B404" s="6">
        <v>2340717</v>
      </c>
      <c r="C404" s="6">
        <v>11037</v>
      </c>
      <c r="D404" s="6">
        <v>5200</v>
      </c>
      <c r="E404" s="6">
        <v>1988</v>
      </c>
      <c r="F404" s="6">
        <v>2182890</v>
      </c>
      <c r="G404" s="6">
        <v>2067676</v>
      </c>
      <c r="H404" s="6">
        <v>777005</v>
      </c>
      <c r="I404" s="6">
        <v>18423</v>
      </c>
      <c r="J404" s="6">
        <v>712023</v>
      </c>
      <c r="K404" s="6">
        <v>41125</v>
      </c>
      <c r="L404" s="6">
        <v>5434</v>
      </c>
      <c r="M404" s="6">
        <v>14664</v>
      </c>
      <c r="N404" s="6">
        <v>18280</v>
      </c>
      <c r="O404" s="6">
        <v>52950</v>
      </c>
      <c r="P404" s="6">
        <v>332287</v>
      </c>
      <c r="Q404" s="6">
        <v>214982</v>
      </c>
      <c r="R404" s="6">
        <v>143841</v>
      </c>
      <c r="S404" s="6">
        <v>162111</v>
      </c>
      <c r="T404" s="6">
        <v>1128560</v>
      </c>
      <c r="U404" s="6">
        <v>52071</v>
      </c>
      <c r="V404" s="6">
        <v>-3428</v>
      </c>
      <c r="W404" s="6">
        <v>0</v>
      </c>
      <c r="X404" s="6">
        <v>66571</v>
      </c>
      <c r="Y404" s="6"/>
      <c r="Z404" s="6"/>
      <c r="AA404" s="6"/>
      <c r="AB404" s="6">
        <v>356</v>
      </c>
      <c r="AC404" s="6">
        <v>2231</v>
      </c>
      <c r="AD404" s="6">
        <v>1245</v>
      </c>
      <c r="AE404" s="6">
        <v>24279</v>
      </c>
      <c r="AF404" s="6">
        <v>18173</v>
      </c>
    </row>
    <row r="405" spans="1:32" x14ac:dyDescent="0.35">
      <c r="A405" s="1">
        <v>40380</v>
      </c>
      <c r="B405" s="6">
        <v>2332322</v>
      </c>
      <c r="C405" s="6">
        <v>11037</v>
      </c>
      <c r="D405" s="6">
        <v>5200</v>
      </c>
      <c r="E405" s="6">
        <v>2033</v>
      </c>
      <c r="F405" s="6">
        <v>2175008</v>
      </c>
      <c r="G405" s="6">
        <v>2060984</v>
      </c>
      <c r="H405" s="6">
        <v>777013</v>
      </c>
      <c r="I405" s="6">
        <v>18423</v>
      </c>
      <c r="J405" s="6">
        <v>712020</v>
      </c>
      <c r="K405" s="6">
        <v>41129</v>
      </c>
      <c r="L405" s="6">
        <v>5442</v>
      </c>
      <c r="M405" s="6">
        <v>15553</v>
      </c>
      <c r="N405" s="6">
        <v>17949</v>
      </c>
      <c r="O405" s="6">
        <v>52371</v>
      </c>
      <c r="P405" s="6">
        <v>332299</v>
      </c>
      <c r="Q405" s="6">
        <v>214994</v>
      </c>
      <c r="R405" s="6">
        <v>143848</v>
      </c>
      <c r="S405" s="6">
        <v>159381</v>
      </c>
      <c r="T405" s="6">
        <v>1124590</v>
      </c>
      <c r="U405" s="6">
        <v>51890</v>
      </c>
      <c r="V405" s="6">
        <v>-3418</v>
      </c>
      <c r="W405" s="6">
        <v>0</v>
      </c>
      <c r="X405" s="6">
        <v>65551</v>
      </c>
      <c r="Y405" s="6"/>
      <c r="Z405" s="6"/>
      <c r="AA405" s="6"/>
      <c r="AB405" s="6">
        <v>358</v>
      </c>
      <c r="AC405" s="6">
        <v>2231</v>
      </c>
      <c r="AD405" s="6">
        <v>1246</v>
      </c>
      <c r="AE405" s="6">
        <v>24506</v>
      </c>
      <c r="AF405" s="6">
        <v>17324</v>
      </c>
    </row>
    <row r="406" spans="1:32" x14ac:dyDescent="0.35">
      <c r="A406" s="1">
        <v>40387</v>
      </c>
      <c r="B406" s="6">
        <v>2325298</v>
      </c>
      <c r="C406" s="6">
        <v>11037</v>
      </c>
      <c r="D406" s="6">
        <v>5200</v>
      </c>
      <c r="E406" s="6">
        <v>2078</v>
      </c>
      <c r="F406" s="6">
        <v>2166234</v>
      </c>
      <c r="G406" s="6">
        <v>2053876</v>
      </c>
      <c r="H406" s="6">
        <v>777021</v>
      </c>
      <c r="I406" s="6">
        <v>18423</v>
      </c>
      <c r="J406" s="6">
        <v>712020</v>
      </c>
      <c r="K406" s="6">
        <v>41129</v>
      </c>
      <c r="L406" s="6">
        <v>5450</v>
      </c>
      <c r="M406" s="6">
        <v>19420</v>
      </c>
      <c r="N406" s="6">
        <v>14082</v>
      </c>
      <c r="O406" s="6">
        <v>52372</v>
      </c>
      <c r="P406" s="6">
        <v>332301</v>
      </c>
      <c r="Q406" s="6">
        <v>214996</v>
      </c>
      <c r="R406" s="6">
        <v>143852</v>
      </c>
      <c r="S406" s="6">
        <v>159381</v>
      </c>
      <c r="T406" s="6">
        <v>1117474</v>
      </c>
      <c r="U406" s="6">
        <v>51592</v>
      </c>
      <c r="V406" s="6">
        <v>-3407</v>
      </c>
      <c r="W406" s="6">
        <v>0</v>
      </c>
      <c r="X406" s="6">
        <v>64172</v>
      </c>
      <c r="Y406" s="6"/>
      <c r="Z406" s="6"/>
      <c r="AA406" s="6"/>
      <c r="AB406" s="6">
        <v>391</v>
      </c>
      <c r="AC406" s="6">
        <v>2231</v>
      </c>
      <c r="AD406" s="6">
        <v>1246</v>
      </c>
      <c r="AE406" s="6">
        <v>24659</v>
      </c>
      <c r="AF406" s="6">
        <v>16823</v>
      </c>
    </row>
    <row r="407" spans="1:32" x14ac:dyDescent="0.35">
      <c r="A407" s="1">
        <v>40394</v>
      </c>
      <c r="B407" s="6">
        <v>2326479</v>
      </c>
      <c r="C407" s="6">
        <v>11037</v>
      </c>
      <c r="D407" s="6">
        <v>5200</v>
      </c>
      <c r="E407" s="6">
        <v>2065</v>
      </c>
      <c r="F407" s="6">
        <v>2165958</v>
      </c>
      <c r="G407" s="6">
        <v>2054134</v>
      </c>
      <c r="H407" s="6">
        <v>777019</v>
      </c>
      <c r="I407" s="6">
        <v>18423</v>
      </c>
      <c r="J407" s="6">
        <v>712020</v>
      </c>
      <c r="K407" s="6">
        <v>41129</v>
      </c>
      <c r="L407" s="6">
        <v>5448</v>
      </c>
      <c r="M407" s="6">
        <v>16916</v>
      </c>
      <c r="N407" s="6">
        <v>15200</v>
      </c>
      <c r="O407" s="6">
        <v>53290</v>
      </c>
      <c r="P407" s="6">
        <v>331815</v>
      </c>
      <c r="Q407" s="6">
        <v>215947</v>
      </c>
      <c r="R407" s="6">
        <v>143851</v>
      </c>
      <c r="S407" s="6">
        <v>159381</v>
      </c>
      <c r="T407" s="6">
        <v>1117734</v>
      </c>
      <c r="U407" s="6">
        <v>51463</v>
      </c>
      <c r="V407" s="6">
        <v>-3406</v>
      </c>
      <c r="W407" s="6">
        <v>0</v>
      </c>
      <c r="X407" s="6">
        <v>63767</v>
      </c>
      <c r="Y407" s="6"/>
      <c r="Z407" s="6"/>
      <c r="AA407" s="6"/>
      <c r="AB407" s="6">
        <v>323</v>
      </c>
      <c r="AC407" s="6">
        <v>2224</v>
      </c>
      <c r="AD407" s="6">
        <v>1246</v>
      </c>
      <c r="AE407" s="6">
        <v>25004</v>
      </c>
      <c r="AF407" s="6">
        <v>17942</v>
      </c>
    </row>
    <row r="408" spans="1:32" x14ac:dyDescent="0.35">
      <c r="A408" s="1">
        <v>40401</v>
      </c>
      <c r="B408" s="6">
        <v>2327533</v>
      </c>
      <c r="C408" s="6">
        <v>11037</v>
      </c>
      <c r="D408" s="6">
        <v>5200</v>
      </c>
      <c r="E408" s="6">
        <v>2065</v>
      </c>
      <c r="F408" s="6">
        <v>2166057</v>
      </c>
      <c r="G408" s="6">
        <v>2055848</v>
      </c>
      <c r="H408" s="6">
        <v>777009</v>
      </c>
      <c r="I408" s="6">
        <v>18423</v>
      </c>
      <c r="J408" s="6">
        <v>712020</v>
      </c>
      <c r="K408" s="6">
        <v>41129</v>
      </c>
      <c r="L408" s="6">
        <v>5437</v>
      </c>
      <c r="M408" s="6">
        <v>19072</v>
      </c>
      <c r="N408" s="6">
        <v>13043</v>
      </c>
      <c r="O408" s="6">
        <v>53289</v>
      </c>
      <c r="P408" s="6">
        <v>331813</v>
      </c>
      <c r="Q408" s="6">
        <v>215945</v>
      </c>
      <c r="R408" s="6">
        <v>143846</v>
      </c>
      <c r="S408" s="6">
        <v>159381</v>
      </c>
      <c r="T408" s="6">
        <v>1119459</v>
      </c>
      <c r="U408" s="6">
        <v>51383</v>
      </c>
      <c r="V408" s="6">
        <v>-3399</v>
      </c>
      <c r="W408" s="6">
        <v>0</v>
      </c>
      <c r="X408" s="6">
        <v>62225</v>
      </c>
      <c r="Y408" s="6"/>
      <c r="Z408" s="6"/>
      <c r="AA408" s="6"/>
      <c r="AB408" s="6">
        <v>216</v>
      </c>
      <c r="AC408" s="6">
        <v>2226</v>
      </c>
      <c r="AD408" s="6">
        <v>1246</v>
      </c>
      <c r="AE408" s="6">
        <v>24855</v>
      </c>
      <c r="AF408" s="6">
        <v>19628</v>
      </c>
    </row>
    <row r="409" spans="1:32" x14ac:dyDescent="0.35">
      <c r="A409" s="1">
        <v>40408</v>
      </c>
      <c r="B409" s="6">
        <v>2313662</v>
      </c>
      <c r="C409" s="6">
        <v>11037</v>
      </c>
      <c r="D409" s="6">
        <v>5200</v>
      </c>
      <c r="E409" s="6">
        <v>2061</v>
      </c>
      <c r="F409" s="6">
        <v>2159571</v>
      </c>
      <c r="G409" s="6">
        <v>2049778</v>
      </c>
      <c r="H409" s="6">
        <v>779549</v>
      </c>
      <c r="I409" s="6">
        <v>18423</v>
      </c>
      <c r="J409" s="6">
        <v>714571</v>
      </c>
      <c r="K409" s="6">
        <v>41129</v>
      </c>
      <c r="L409" s="6">
        <v>5427</v>
      </c>
      <c r="M409" s="6">
        <v>14806</v>
      </c>
      <c r="N409" s="6">
        <v>15077</v>
      </c>
      <c r="O409" s="6">
        <v>53294</v>
      </c>
      <c r="P409" s="6">
        <v>341460</v>
      </c>
      <c r="Q409" s="6">
        <v>216083</v>
      </c>
      <c r="R409" s="6">
        <v>138830</v>
      </c>
      <c r="S409" s="6">
        <v>157211</v>
      </c>
      <c r="T409" s="6">
        <v>1113017</v>
      </c>
      <c r="U409" s="6">
        <v>51279</v>
      </c>
      <c r="V409" s="6">
        <v>-3407</v>
      </c>
      <c r="W409" s="6">
        <v>0</v>
      </c>
      <c r="X409" s="6">
        <v>61921</v>
      </c>
      <c r="Y409" s="6"/>
      <c r="Z409" s="6"/>
      <c r="AA409" s="6"/>
      <c r="AB409" s="6">
        <v>271</v>
      </c>
      <c r="AC409" s="6">
        <v>2227</v>
      </c>
      <c r="AD409" s="6">
        <v>434</v>
      </c>
      <c r="AE409" s="6">
        <v>24837</v>
      </c>
      <c r="AF409" s="6">
        <v>13480</v>
      </c>
    </row>
    <row r="410" spans="1:32" x14ac:dyDescent="0.35">
      <c r="A410" s="1">
        <v>40415</v>
      </c>
      <c r="B410" s="6">
        <v>2301015</v>
      </c>
      <c r="C410" s="6">
        <v>11037</v>
      </c>
      <c r="D410" s="6">
        <v>5200</v>
      </c>
      <c r="E410" s="6">
        <v>2069</v>
      </c>
      <c r="F410" s="6">
        <v>2148351</v>
      </c>
      <c r="G410" s="6">
        <v>2044167</v>
      </c>
      <c r="H410" s="6">
        <v>784498</v>
      </c>
      <c r="I410" s="6">
        <v>18423</v>
      </c>
      <c r="J410" s="6">
        <v>719530</v>
      </c>
      <c r="K410" s="6">
        <v>41129</v>
      </c>
      <c r="L410" s="6">
        <v>5417</v>
      </c>
      <c r="M410" s="6">
        <v>18673</v>
      </c>
      <c r="N410" s="6">
        <v>11210</v>
      </c>
      <c r="O410" s="6">
        <v>53293</v>
      </c>
      <c r="P410" s="6">
        <v>342808</v>
      </c>
      <c r="Q410" s="6">
        <v>219689</v>
      </c>
      <c r="R410" s="6">
        <v>138825</v>
      </c>
      <c r="S410" s="6">
        <v>156502</v>
      </c>
      <c r="T410" s="6">
        <v>1103167</v>
      </c>
      <c r="U410" s="6">
        <v>51161</v>
      </c>
      <c r="V410" s="6">
        <v>-3360</v>
      </c>
      <c r="W410" s="6">
        <v>0</v>
      </c>
      <c r="X410" s="6">
        <v>56383</v>
      </c>
      <c r="Y410" s="6"/>
      <c r="Z410" s="6"/>
      <c r="AA410" s="6"/>
      <c r="AB410" s="6">
        <v>319</v>
      </c>
      <c r="AC410" s="6">
        <v>2229</v>
      </c>
      <c r="AD410" s="6">
        <v>39</v>
      </c>
      <c r="AE410" s="6">
        <v>24711</v>
      </c>
      <c r="AF410" s="6">
        <v>12407</v>
      </c>
    </row>
    <row r="411" spans="1:32" x14ac:dyDescent="0.35">
      <c r="A411" s="1">
        <v>40422</v>
      </c>
      <c r="B411" s="6">
        <v>2301996</v>
      </c>
      <c r="C411" s="6">
        <v>11037</v>
      </c>
      <c r="D411" s="6">
        <v>5200</v>
      </c>
      <c r="E411" s="6">
        <v>2067</v>
      </c>
      <c r="F411" s="6">
        <v>2148347</v>
      </c>
      <c r="G411" s="6">
        <v>2045953</v>
      </c>
      <c r="H411" s="6">
        <v>786283</v>
      </c>
      <c r="I411" s="6">
        <v>18423</v>
      </c>
      <c r="J411" s="6">
        <v>720773</v>
      </c>
      <c r="K411" s="6">
        <v>41660</v>
      </c>
      <c r="L411" s="6">
        <v>5427</v>
      </c>
      <c r="M411" s="6">
        <v>13318</v>
      </c>
      <c r="N411" s="6">
        <v>17798</v>
      </c>
      <c r="O411" s="6">
        <v>52786</v>
      </c>
      <c r="P411" s="6">
        <v>341198</v>
      </c>
      <c r="Q411" s="6">
        <v>220725</v>
      </c>
      <c r="R411" s="6">
        <v>140458</v>
      </c>
      <c r="S411" s="6">
        <v>156502</v>
      </c>
      <c r="T411" s="6">
        <v>1103168</v>
      </c>
      <c r="U411" s="6">
        <v>51704</v>
      </c>
      <c r="V411" s="6">
        <v>-3344</v>
      </c>
      <c r="W411" s="6">
        <v>0</v>
      </c>
      <c r="X411" s="6">
        <v>54034</v>
      </c>
      <c r="Y411" s="6"/>
      <c r="Z411" s="6"/>
      <c r="AA411" s="6"/>
      <c r="AB411" s="6">
        <v>275</v>
      </c>
      <c r="AC411" s="6">
        <v>2222</v>
      </c>
      <c r="AD411" s="6">
        <v>44</v>
      </c>
      <c r="AE411" s="6">
        <v>24923</v>
      </c>
      <c r="AF411" s="6">
        <v>13160</v>
      </c>
    </row>
    <row r="412" spans="1:32" x14ac:dyDescent="0.35">
      <c r="A412" s="1">
        <v>40429</v>
      </c>
      <c r="B412" s="6">
        <v>2305802</v>
      </c>
      <c r="C412" s="6">
        <v>11037</v>
      </c>
      <c r="D412" s="6">
        <v>5200</v>
      </c>
      <c r="E412" s="6">
        <v>2067</v>
      </c>
      <c r="F412" s="6">
        <v>2150970</v>
      </c>
      <c r="G412" s="6">
        <v>2049564</v>
      </c>
      <c r="H412" s="6">
        <v>789894</v>
      </c>
      <c r="I412" s="6">
        <v>18423</v>
      </c>
      <c r="J412" s="6">
        <v>724381</v>
      </c>
      <c r="K412" s="6">
        <v>41660</v>
      </c>
      <c r="L412" s="6">
        <v>5430</v>
      </c>
      <c r="M412" s="6">
        <v>15474</v>
      </c>
      <c r="N412" s="6">
        <v>15641</v>
      </c>
      <c r="O412" s="6">
        <v>52786</v>
      </c>
      <c r="P412" s="6">
        <v>343586</v>
      </c>
      <c r="Q412" s="6">
        <v>221947</v>
      </c>
      <c r="R412" s="6">
        <v>140459</v>
      </c>
      <c r="S412" s="6">
        <v>156502</v>
      </c>
      <c r="T412" s="6">
        <v>1103168</v>
      </c>
      <c r="U412" s="6">
        <v>51762</v>
      </c>
      <c r="V412" s="6">
        <v>-3292</v>
      </c>
      <c r="W412" s="6">
        <v>0</v>
      </c>
      <c r="X412" s="6">
        <v>52937</v>
      </c>
      <c r="Y412" s="6"/>
      <c r="Z412" s="6"/>
      <c r="AA412" s="6"/>
      <c r="AB412" s="6">
        <v>412</v>
      </c>
      <c r="AC412" s="6">
        <v>2223</v>
      </c>
      <c r="AD412" s="6">
        <v>64</v>
      </c>
      <c r="AE412" s="6">
        <v>24895</v>
      </c>
      <c r="AF412" s="6">
        <v>14743</v>
      </c>
    </row>
    <row r="413" spans="1:32" x14ac:dyDescent="0.35">
      <c r="A413" s="1">
        <v>40436</v>
      </c>
      <c r="B413" s="6">
        <v>2296079</v>
      </c>
      <c r="C413" s="6">
        <v>11037</v>
      </c>
      <c r="D413" s="6">
        <v>5200</v>
      </c>
      <c r="E413" s="6">
        <v>2086</v>
      </c>
      <c r="F413" s="6">
        <v>2142453</v>
      </c>
      <c r="G413" s="6">
        <v>2041399</v>
      </c>
      <c r="H413" s="6">
        <v>794646</v>
      </c>
      <c r="I413" s="6">
        <v>18423</v>
      </c>
      <c r="J413" s="6">
        <v>729023</v>
      </c>
      <c r="K413" s="6">
        <v>41768</v>
      </c>
      <c r="L413" s="6">
        <v>5432</v>
      </c>
      <c r="M413" s="6">
        <v>15288</v>
      </c>
      <c r="N413" s="6">
        <v>14994</v>
      </c>
      <c r="O413" s="6">
        <v>52787</v>
      </c>
      <c r="P413" s="6">
        <v>345293</v>
      </c>
      <c r="Q413" s="6">
        <v>225683</v>
      </c>
      <c r="R413" s="6">
        <v>140601</v>
      </c>
      <c r="S413" s="6">
        <v>154519</v>
      </c>
      <c r="T413" s="6">
        <v>1092234</v>
      </c>
      <c r="U413" s="6">
        <v>51725</v>
      </c>
      <c r="V413" s="6">
        <v>-3269</v>
      </c>
      <c r="W413" s="6">
        <v>0</v>
      </c>
      <c r="X413" s="6">
        <v>52598</v>
      </c>
      <c r="Y413" s="6"/>
      <c r="Z413" s="6"/>
      <c r="AA413" s="6"/>
      <c r="AB413" s="6">
        <v>301</v>
      </c>
      <c r="AC413" s="6">
        <v>2226</v>
      </c>
      <c r="AD413" s="6">
        <v>61</v>
      </c>
      <c r="AE413" s="6">
        <v>24954</v>
      </c>
      <c r="AF413" s="6">
        <v>14176</v>
      </c>
    </row>
    <row r="414" spans="1:32" x14ac:dyDescent="0.35">
      <c r="A414" s="1">
        <v>40443</v>
      </c>
      <c r="B414" s="6">
        <v>2307171</v>
      </c>
      <c r="C414" s="6">
        <v>11037</v>
      </c>
      <c r="D414" s="6">
        <v>5200</v>
      </c>
      <c r="E414" s="6">
        <v>2107</v>
      </c>
      <c r="F414" s="6">
        <v>2151413</v>
      </c>
      <c r="G414" s="6">
        <v>2051085</v>
      </c>
      <c r="H414" s="6">
        <v>805107</v>
      </c>
      <c r="I414" s="6">
        <v>18423</v>
      </c>
      <c r="J414" s="6">
        <v>739482</v>
      </c>
      <c r="K414" s="6">
        <v>41768</v>
      </c>
      <c r="L414" s="6">
        <v>5434</v>
      </c>
      <c r="M414" s="6">
        <v>19155</v>
      </c>
      <c r="N414" s="6">
        <v>12087</v>
      </c>
      <c r="O414" s="6">
        <v>51827</v>
      </c>
      <c r="P414" s="6">
        <v>350208</v>
      </c>
      <c r="Q414" s="6">
        <v>231228</v>
      </c>
      <c r="R414" s="6">
        <v>140602</v>
      </c>
      <c r="S414" s="6">
        <v>154105</v>
      </c>
      <c r="T414" s="6">
        <v>1091873</v>
      </c>
      <c r="U414" s="6">
        <v>52302</v>
      </c>
      <c r="V414" s="6">
        <v>-3236</v>
      </c>
      <c r="W414" s="6">
        <v>0</v>
      </c>
      <c r="X414" s="6">
        <v>51262</v>
      </c>
      <c r="Y414" s="6"/>
      <c r="Z414" s="6"/>
      <c r="AA414" s="6"/>
      <c r="AB414" s="6">
        <v>293</v>
      </c>
      <c r="AC414" s="6">
        <v>2227</v>
      </c>
      <c r="AD414" s="6">
        <v>61</v>
      </c>
      <c r="AE414" s="6">
        <v>25523</v>
      </c>
      <c r="AF414" s="6">
        <v>15682</v>
      </c>
    </row>
    <row r="415" spans="1:32" x14ac:dyDescent="0.35">
      <c r="A415" s="1">
        <v>40450</v>
      </c>
      <c r="B415" s="6">
        <v>2298691</v>
      </c>
      <c r="C415" s="6">
        <v>11037</v>
      </c>
      <c r="D415" s="6">
        <v>5200</v>
      </c>
      <c r="E415" s="6">
        <v>2111</v>
      </c>
      <c r="F415" s="6">
        <v>2143152</v>
      </c>
      <c r="G415" s="6">
        <v>2044313</v>
      </c>
      <c r="H415" s="6">
        <v>811669</v>
      </c>
      <c r="I415" s="6">
        <v>18423</v>
      </c>
      <c r="J415" s="6">
        <v>745442</v>
      </c>
      <c r="K415" s="6">
        <v>42318</v>
      </c>
      <c r="L415" s="6">
        <v>5486</v>
      </c>
      <c r="M415" s="6">
        <v>15635</v>
      </c>
      <c r="N415" s="6">
        <v>15607</v>
      </c>
      <c r="O415" s="6">
        <v>51827</v>
      </c>
      <c r="P415" s="6">
        <v>354844</v>
      </c>
      <c r="Q415" s="6">
        <v>232855</v>
      </c>
      <c r="R415" s="6">
        <v>140901</v>
      </c>
      <c r="S415" s="6">
        <v>154105</v>
      </c>
      <c r="T415" s="6">
        <v>1078539</v>
      </c>
      <c r="U415" s="6">
        <v>52248</v>
      </c>
      <c r="V415" s="6">
        <v>-3182</v>
      </c>
      <c r="W415" s="6">
        <v>0</v>
      </c>
      <c r="X415" s="6">
        <v>49773</v>
      </c>
      <c r="Y415" s="6"/>
      <c r="Z415" s="6"/>
      <c r="AA415" s="6"/>
      <c r="AB415" s="6">
        <v>365</v>
      </c>
      <c r="AC415" s="6">
        <v>2229</v>
      </c>
      <c r="AD415" s="6">
        <v>61</v>
      </c>
      <c r="AE415" s="6">
        <v>25938</v>
      </c>
      <c r="AF415" s="6">
        <v>14879</v>
      </c>
    </row>
    <row r="416" spans="1:32" x14ac:dyDescent="0.35">
      <c r="A416" s="1">
        <v>40457</v>
      </c>
      <c r="B416" s="6">
        <v>2308092</v>
      </c>
      <c r="C416" s="6">
        <v>11037</v>
      </c>
      <c r="D416" s="6">
        <v>5200</v>
      </c>
      <c r="E416" s="6">
        <v>2114</v>
      </c>
      <c r="F416" s="6">
        <v>2151443</v>
      </c>
      <c r="G416" s="6">
        <v>2051716</v>
      </c>
      <c r="H416" s="6">
        <v>819072</v>
      </c>
      <c r="I416" s="6">
        <v>18423</v>
      </c>
      <c r="J416" s="6">
        <v>752832</v>
      </c>
      <c r="K416" s="6">
        <v>42318</v>
      </c>
      <c r="L416" s="6">
        <v>5499</v>
      </c>
      <c r="M416" s="6">
        <v>15221</v>
      </c>
      <c r="N416" s="6">
        <v>17833</v>
      </c>
      <c r="O416" s="6">
        <v>50291</v>
      </c>
      <c r="P416" s="6">
        <v>353659</v>
      </c>
      <c r="Q416" s="6">
        <v>238962</v>
      </c>
      <c r="R416" s="6">
        <v>143106</v>
      </c>
      <c r="S416" s="6">
        <v>154105</v>
      </c>
      <c r="T416" s="6">
        <v>1078539</v>
      </c>
      <c r="U416" s="6">
        <v>53383</v>
      </c>
      <c r="V416" s="6">
        <v>-3139</v>
      </c>
      <c r="W416" s="6">
        <v>0</v>
      </c>
      <c r="X416" s="6">
        <v>49483</v>
      </c>
      <c r="Y416" s="6"/>
      <c r="Z416" s="6"/>
      <c r="AA416" s="6"/>
      <c r="AB416" s="6">
        <v>463</v>
      </c>
      <c r="AC416" s="6">
        <v>2222</v>
      </c>
      <c r="AD416" s="6">
        <v>61</v>
      </c>
      <c r="AE416" s="6">
        <v>26316</v>
      </c>
      <c r="AF416" s="6">
        <v>15614</v>
      </c>
    </row>
    <row r="417" spans="1:32" x14ac:dyDescent="0.35">
      <c r="A417" s="1">
        <v>40464</v>
      </c>
      <c r="B417" s="6">
        <v>2309885</v>
      </c>
      <c r="C417" s="6">
        <v>11037</v>
      </c>
      <c r="D417" s="6">
        <v>5200</v>
      </c>
      <c r="E417" s="6">
        <v>2106</v>
      </c>
      <c r="F417" s="6">
        <v>2151378</v>
      </c>
      <c r="G417" s="6">
        <v>2051877</v>
      </c>
      <c r="H417" s="6">
        <v>821156</v>
      </c>
      <c r="I417" s="6">
        <v>18423</v>
      </c>
      <c r="J417" s="6">
        <v>754901</v>
      </c>
      <c r="K417" s="6">
        <v>42318</v>
      </c>
      <c r="L417" s="6">
        <v>5514</v>
      </c>
      <c r="M417" s="6">
        <v>12718</v>
      </c>
      <c r="N417" s="6">
        <v>20337</v>
      </c>
      <c r="O417" s="6">
        <v>50292</v>
      </c>
      <c r="P417" s="6">
        <v>355731</v>
      </c>
      <c r="Q417" s="6">
        <v>238966</v>
      </c>
      <c r="R417" s="6">
        <v>143113</v>
      </c>
      <c r="S417" s="6">
        <v>152182</v>
      </c>
      <c r="T417" s="6">
        <v>1078539</v>
      </c>
      <c r="U417" s="6">
        <v>53297</v>
      </c>
      <c r="V417" s="6">
        <v>-3134</v>
      </c>
      <c r="W417" s="6">
        <v>0</v>
      </c>
      <c r="X417" s="6">
        <v>49338</v>
      </c>
      <c r="Y417" s="6"/>
      <c r="Z417" s="6"/>
      <c r="AA417" s="6"/>
      <c r="AB417" s="6">
        <v>453</v>
      </c>
      <c r="AC417" s="6">
        <v>2224</v>
      </c>
      <c r="AD417" s="6">
        <v>60</v>
      </c>
      <c r="AE417" s="6">
        <v>26503</v>
      </c>
      <c r="AF417" s="6">
        <v>17238</v>
      </c>
    </row>
    <row r="418" spans="1:32" x14ac:dyDescent="0.35">
      <c r="A418" s="1">
        <v>40471</v>
      </c>
      <c r="B418" s="6">
        <v>2305227</v>
      </c>
      <c r="C418" s="6">
        <v>11037</v>
      </c>
      <c r="D418" s="6">
        <v>5200</v>
      </c>
      <c r="E418" s="6">
        <v>2146</v>
      </c>
      <c r="F418" s="6">
        <v>2147658</v>
      </c>
      <c r="G418" s="6">
        <v>2048615</v>
      </c>
      <c r="H418" s="6">
        <v>832121</v>
      </c>
      <c r="I418" s="6">
        <v>18423</v>
      </c>
      <c r="J418" s="6">
        <v>765851</v>
      </c>
      <c r="K418" s="6">
        <v>42318</v>
      </c>
      <c r="L418" s="6">
        <v>5529</v>
      </c>
      <c r="M418" s="6">
        <v>18034</v>
      </c>
      <c r="N418" s="6">
        <v>15883</v>
      </c>
      <c r="O418" s="6">
        <v>48851</v>
      </c>
      <c r="P418" s="6">
        <v>359911</v>
      </c>
      <c r="Q418" s="6">
        <v>246208</v>
      </c>
      <c r="R418" s="6">
        <v>143234</v>
      </c>
      <c r="S418" s="6">
        <v>150743</v>
      </c>
      <c r="T418" s="6">
        <v>1065751</v>
      </c>
      <c r="U418" s="6">
        <v>53857</v>
      </c>
      <c r="V418" s="6">
        <v>-3098</v>
      </c>
      <c r="W418" s="6">
        <v>0</v>
      </c>
      <c r="X418" s="6">
        <v>48284</v>
      </c>
      <c r="Y418" s="6"/>
      <c r="Z418" s="6"/>
      <c r="AA418" s="6"/>
      <c r="AB418" s="6">
        <v>351</v>
      </c>
      <c r="AC418" s="6">
        <v>2225</v>
      </c>
      <c r="AD418" s="6">
        <v>560</v>
      </c>
      <c r="AE418" s="6">
        <v>26590</v>
      </c>
      <c r="AF418" s="6">
        <v>16388</v>
      </c>
    </row>
    <row r="419" spans="1:32" x14ac:dyDescent="0.35">
      <c r="A419" s="1">
        <v>40478</v>
      </c>
      <c r="B419" s="6">
        <v>2295392</v>
      </c>
      <c r="C419" s="6">
        <v>11037</v>
      </c>
      <c r="D419" s="6">
        <v>5200</v>
      </c>
      <c r="E419" s="6">
        <v>2188</v>
      </c>
      <c r="F419" s="6">
        <v>2137187</v>
      </c>
      <c r="G419" s="6">
        <v>2038566</v>
      </c>
      <c r="H419" s="6">
        <v>837848</v>
      </c>
      <c r="I419" s="6">
        <v>18423</v>
      </c>
      <c r="J419" s="6">
        <v>770841</v>
      </c>
      <c r="K419" s="6">
        <v>42978</v>
      </c>
      <c r="L419" s="6">
        <v>5606</v>
      </c>
      <c r="M419" s="6">
        <v>12096</v>
      </c>
      <c r="N419" s="6">
        <v>21821</v>
      </c>
      <c r="O419" s="6">
        <v>48852</v>
      </c>
      <c r="P419" s="6">
        <v>362505</v>
      </c>
      <c r="Q419" s="6">
        <v>246571</v>
      </c>
      <c r="R419" s="6">
        <v>146003</v>
      </c>
      <c r="S419" s="6">
        <v>149681</v>
      </c>
      <c r="T419" s="6">
        <v>1051037</v>
      </c>
      <c r="U419" s="6">
        <v>54098</v>
      </c>
      <c r="V419" s="6">
        <v>-3041</v>
      </c>
      <c r="W419" s="6">
        <v>0</v>
      </c>
      <c r="X419" s="6">
        <v>47564</v>
      </c>
      <c r="Y419" s="6"/>
      <c r="Z419" s="6"/>
      <c r="AA419" s="6"/>
      <c r="AB419" s="6">
        <v>284</v>
      </c>
      <c r="AC419" s="6">
        <v>2226</v>
      </c>
      <c r="AD419" s="6">
        <v>60</v>
      </c>
      <c r="AE419" s="6">
        <v>26365</v>
      </c>
      <c r="AF419" s="6">
        <v>15694</v>
      </c>
    </row>
    <row r="420" spans="1:32" x14ac:dyDescent="0.35">
      <c r="A420" s="1">
        <v>40485</v>
      </c>
      <c r="B420" s="6">
        <v>2300353</v>
      </c>
      <c r="C420" s="6">
        <v>11037</v>
      </c>
      <c r="D420" s="6">
        <v>5200</v>
      </c>
      <c r="E420" s="6">
        <v>2166</v>
      </c>
      <c r="F420" s="6">
        <v>2140917</v>
      </c>
      <c r="G420" s="6">
        <v>2042727</v>
      </c>
      <c r="H420" s="6">
        <v>842008</v>
      </c>
      <c r="I420" s="6">
        <v>18423</v>
      </c>
      <c r="J420" s="6">
        <v>774990</v>
      </c>
      <c r="K420" s="6">
        <v>42978</v>
      </c>
      <c r="L420" s="6">
        <v>5617</v>
      </c>
      <c r="M420" s="6">
        <v>16840</v>
      </c>
      <c r="N420" s="6">
        <v>17280</v>
      </c>
      <c r="O420" s="6">
        <v>50651</v>
      </c>
      <c r="P420" s="6">
        <v>364061</v>
      </c>
      <c r="Q420" s="6">
        <v>247169</v>
      </c>
      <c r="R420" s="6">
        <v>146008</v>
      </c>
      <c r="S420" s="6">
        <v>149681</v>
      </c>
      <c r="T420" s="6">
        <v>1051037</v>
      </c>
      <c r="U420" s="6">
        <v>54060</v>
      </c>
      <c r="V420" s="6">
        <v>-3042</v>
      </c>
      <c r="W420" s="6">
        <v>0</v>
      </c>
      <c r="X420" s="6">
        <v>47172</v>
      </c>
      <c r="Y420" s="6"/>
      <c r="Z420" s="6"/>
      <c r="AA420" s="6"/>
      <c r="AB420" s="6">
        <v>312</v>
      </c>
      <c r="AC420" s="6">
        <v>2221</v>
      </c>
      <c r="AD420" s="6">
        <v>60</v>
      </c>
      <c r="AE420" s="6">
        <v>26628</v>
      </c>
      <c r="AF420" s="6">
        <v>16550</v>
      </c>
    </row>
    <row r="421" spans="1:32" x14ac:dyDescent="0.35">
      <c r="A421" s="1">
        <v>40492</v>
      </c>
      <c r="B421" s="6">
        <v>2312768</v>
      </c>
      <c r="C421" s="6">
        <v>11037</v>
      </c>
      <c r="D421" s="6">
        <v>5200</v>
      </c>
      <c r="E421" s="6">
        <v>2143</v>
      </c>
      <c r="F421" s="6">
        <v>2152312</v>
      </c>
      <c r="G421" s="6">
        <v>2053759</v>
      </c>
      <c r="H421" s="6">
        <v>853041</v>
      </c>
      <c r="I421" s="6">
        <v>18423</v>
      </c>
      <c r="J421" s="6">
        <v>786015</v>
      </c>
      <c r="K421" s="6">
        <v>42978</v>
      </c>
      <c r="L421" s="6">
        <v>5625</v>
      </c>
      <c r="M421" s="6">
        <v>10555</v>
      </c>
      <c r="N421" s="6">
        <v>23566</v>
      </c>
      <c r="O421" s="6">
        <v>50651</v>
      </c>
      <c r="P421" s="6">
        <v>367997</v>
      </c>
      <c r="Q421" s="6">
        <v>254262</v>
      </c>
      <c r="R421" s="6">
        <v>146011</v>
      </c>
      <c r="S421" s="6">
        <v>149681</v>
      </c>
      <c r="T421" s="6">
        <v>1051037</v>
      </c>
      <c r="U421" s="6">
        <v>54866</v>
      </c>
      <c r="V421" s="6">
        <v>-2990</v>
      </c>
      <c r="W421" s="6">
        <v>0</v>
      </c>
      <c r="X421" s="6">
        <v>46676</v>
      </c>
      <c r="Y421" s="6"/>
      <c r="Z421" s="6"/>
      <c r="AA421" s="6"/>
      <c r="AB421" s="6">
        <v>267</v>
      </c>
      <c r="AC421" s="6">
        <v>2224</v>
      </c>
      <c r="AD421" s="6">
        <v>60</v>
      </c>
      <c r="AE421" s="6">
        <v>26171</v>
      </c>
      <c r="AF421" s="6">
        <v>18554</v>
      </c>
    </row>
    <row r="422" spans="1:32" x14ac:dyDescent="0.35">
      <c r="A422" s="1">
        <v>40499</v>
      </c>
      <c r="B422" s="6">
        <v>2314757</v>
      </c>
      <c r="C422" s="6">
        <v>11037</v>
      </c>
      <c r="D422" s="6">
        <v>5200</v>
      </c>
      <c r="E422" s="6">
        <v>2124</v>
      </c>
      <c r="F422" s="6">
        <v>2160724</v>
      </c>
      <c r="G422" s="6">
        <v>2060890</v>
      </c>
      <c r="H422" s="6">
        <v>873618</v>
      </c>
      <c r="I422" s="6">
        <v>18423</v>
      </c>
      <c r="J422" s="6">
        <v>806318</v>
      </c>
      <c r="K422" s="6">
        <v>43247</v>
      </c>
      <c r="L422" s="6">
        <v>5631</v>
      </c>
      <c r="M422" s="6">
        <v>19906</v>
      </c>
      <c r="N422" s="6">
        <v>13668</v>
      </c>
      <c r="O422" s="6">
        <v>54509</v>
      </c>
      <c r="P422" s="6">
        <v>379245</v>
      </c>
      <c r="Q422" s="6">
        <v>259205</v>
      </c>
      <c r="R422" s="6">
        <v>147086</v>
      </c>
      <c r="S422" s="6">
        <v>148994</v>
      </c>
      <c r="T422" s="6">
        <v>1038278</v>
      </c>
      <c r="U422" s="6">
        <v>55789</v>
      </c>
      <c r="V422" s="6">
        <v>-2959</v>
      </c>
      <c r="W422" s="6">
        <v>0</v>
      </c>
      <c r="X422" s="6">
        <v>47003</v>
      </c>
      <c r="Y422" s="6"/>
      <c r="Z422" s="6"/>
      <c r="AA422" s="6"/>
      <c r="AB422" s="6">
        <v>349</v>
      </c>
      <c r="AC422" s="6">
        <v>2225</v>
      </c>
      <c r="AD422" s="6">
        <v>65</v>
      </c>
      <c r="AE422" s="6">
        <v>25905</v>
      </c>
      <c r="AF422" s="6">
        <v>13297</v>
      </c>
    </row>
    <row r="423" spans="1:32" x14ac:dyDescent="0.35">
      <c r="A423" s="1">
        <v>40506</v>
      </c>
      <c r="B423" s="6">
        <v>2346001</v>
      </c>
      <c r="C423" s="6">
        <v>11037</v>
      </c>
      <c r="D423" s="6">
        <v>5200</v>
      </c>
      <c r="E423" s="6">
        <v>2091</v>
      </c>
      <c r="F423" s="6">
        <v>2190516</v>
      </c>
      <c r="G423" s="6">
        <v>2087219</v>
      </c>
      <c r="H423" s="6">
        <v>901238</v>
      </c>
      <c r="I423" s="6">
        <v>18423</v>
      </c>
      <c r="J423" s="6">
        <v>832126</v>
      </c>
      <c r="K423" s="6">
        <v>44876</v>
      </c>
      <c r="L423" s="6">
        <v>5814</v>
      </c>
      <c r="M423" s="6">
        <v>16386</v>
      </c>
      <c r="N423" s="6">
        <v>17188</v>
      </c>
      <c r="O423" s="6">
        <v>54509</v>
      </c>
      <c r="P423" s="6">
        <v>387219</v>
      </c>
      <c r="Q423" s="6">
        <v>276741</v>
      </c>
      <c r="R423" s="6">
        <v>149195</v>
      </c>
      <c r="S423" s="6">
        <v>148178</v>
      </c>
      <c r="T423" s="6">
        <v>1037803</v>
      </c>
      <c r="U423" s="6">
        <v>59400</v>
      </c>
      <c r="V423" s="6">
        <v>-2787</v>
      </c>
      <c r="W423" s="6">
        <v>0</v>
      </c>
      <c r="X423" s="6">
        <v>46685</v>
      </c>
      <c r="Y423" s="6"/>
      <c r="Z423" s="6"/>
      <c r="AA423" s="6"/>
      <c r="AB423" s="6">
        <v>243</v>
      </c>
      <c r="AC423" s="6">
        <v>2226</v>
      </c>
      <c r="AD423" s="6">
        <v>60</v>
      </c>
      <c r="AE423" s="6">
        <v>25662</v>
      </c>
      <c r="AF423" s="6">
        <v>15076</v>
      </c>
    </row>
    <row r="424" spans="1:32" x14ac:dyDescent="0.35">
      <c r="A424" s="1">
        <v>40513</v>
      </c>
      <c r="B424" s="6">
        <v>2346920</v>
      </c>
      <c r="C424" s="6">
        <v>11037</v>
      </c>
      <c r="D424" s="6">
        <v>5200</v>
      </c>
      <c r="E424" s="6">
        <v>2093</v>
      </c>
      <c r="F424" s="6">
        <v>2193170</v>
      </c>
      <c r="G424" s="6">
        <v>2088282</v>
      </c>
      <c r="H424" s="6">
        <v>917451</v>
      </c>
      <c r="I424" s="6">
        <v>18423</v>
      </c>
      <c r="J424" s="6">
        <v>848332</v>
      </c>
      <c r="K424" s="6">
        <v>44876</v>
      </c>
      <c r="L424" s="6">
        <v>5820</v>
      </c>
      <c r="M424" s="6">
        <v>15601</v>
      </c>
      <c r="N424" s="6">
        <v>20005</v>
      </c>
      <c r="O424" s="6">
        <v>53561</v>
      </c>
      <c r="P424" s="6">
        <v>397978</v>
      </c>
      <c r="Q424" s="6">
        <v>278938</v>
      </c>
      <c r="R424" s="6">
        <v>151368</v>
      </c>
      <c r="S424" s="6">
        <v>148178</v>
      </c>
      <c r="T424" s="6">
        <v>1022653</v>
      </c>
      <c r="U424" s="6">
        <v>60814</v>
      </c>
      <c r="V424" s="6">
        <v>-2775</v>
      </c>
      <c r="W424" s="6">
        <v>0</v>
      </c>
      <c r="X424" s="6">
        <v>46850</v>
      </c>
      <c r="Y424" s="6"/>
      <c r="Z424" s="6"/>
      <c r="AA424" s="6"/>
      <c r="AB424" s="6">
        <v>311</v>
      </c>
      <c r="AC424" s="6">
        <v>2215</v>
      </c>
      <c r="AD424" s="6">
        <v>60</v>
      </c>
      <c r="AE424" s="6">
        <v>25396</v>
      </c>
      <c r="AF424" s="6">
        <v>13445</v>
      </c>
    </row>
    <row r="425" spans="1:32" x14ac:dyDescent="0.35">
      <c r="A425" s="1">
        <v>40520</v>
      </c>
      <c r="B425" s="6">
        <v>2382294</v>
      </c>
      <c r="C425" s="6">
        <v>11037</v>
      </c>
      <c r="D425" s="6">
        <v>5200</v>
      </c>
      <c r="E425" s="6">
        <v>2116</v>
      </c>
      <c r="F425" s="6">
        <v>2227054</v>
      </c>
      <c r="G425" s="6">
        <v>2120443</v>
      </c>
      <c r="H425" s="6">
        <v>949612</v>
      </c>
      <c r="I425" s="6">
        <v>18423</v>
      </c>
      <c r="J425" s="6">
        <v>880479</v>
      </c>
      <c r="K425" s="6">
        <v>44876</v>
      </c>
      <c r="L425" s="6">
        <v>5835</v>
      </c>
      <c r="M425" s="6">
        <v>13098</v>
      </c>
      <c r="N425" s="6">
        <v>22509</v>
      </c>
      <c r="O425" s="6">
        <v>53562</v>
      </c>
      <c r="P425" s="6">
        <v>409792</v>
      </c>
      <c r="Q425" s="6">
        <v>297233</v>
      </c>
      <c r="R425" s="6">
        <v>153418</v>
      </c>
      <c r="S425" s="6">
        <v>148178</v>
      </c>
      <c r="T425" s="6">
        <v>1022653</v>
      </c>
      <c r="U425" s="6">
        <v>63459</v>
      </c>
      <c r="V425" s="6">
        <v>-2790</v>
      </c>
      <c r="W425" s="6">
        <v>0</v>
      </c>
      <c r="X425" s="6">
        <v>45942</v>
      </c>
      <c r="Y425" s="6"/>
      <c r="Z425" s="6"/>
      <c r="AA425" s="6"/>
      <c r="AB425" s="6">
        <v>243</v>
      </c>
      <c r="AC425" s="6">
        <v>2217</v>
      </c>
      <c r="AD425" s="6">
        <v>60</v>
      </c>
      <c r="AE425" s="6">
        <v>25448</v>
      </c>
      <c r="AF425" s="6">
        <v>15363</v>
      </c>
    </row>
    <row r="426" spans="1:32" x14ac:dyDescent="0.35">
      <c r="A426" s="1">
        <v>40527</v>
      </c>
      <c r="B426" s="6">
        <v>2385754</v>
      </c>
      <c r="C426" s="6">
        <v>11037</v>
      </c>
      <c r="D426" s="6">
        <v>5200</v>
      </c>
      <c r="E426" s="6">
        <v>2144</v>
      </c>
      <c r="F426" s="6">
        <v>2231157</v>
      </c>
      <c r="G426" s="6">
        <v>2124282</v>
      </c>
      <c r="H426" s="6">
        <v>967553</v>
      </c>
      <c r="I426" s="6">
        <v>18423</v>
      </c>
      <c r="J426" s="6">
        <v>896578</v>
      </c>
      <c r="K426" s="6">
        <v>46506</v>
      </c>
      <c r="L426" s="6">
        <v>6046</v>
      </c>
      <c r="M426" s="6">
        <v>16005</v>
      </c>
      <c r="N426" s="6">
        <v>18642</v>
      </c>
      <c r="O426" s="6">
        <v>55978</v>
      </c>
      <c r="P426" s="6">
        <v>408543</v>
      </c>
      <c r="Q426" s="6">
        <v>314299</v>
      </c>
      <c r="R426" s="6">
        <v>154086</v>
      </c>
      <c r="S426" s="6">
        <v>147884</v>
      </c>
      <c r="T426" s="6">
        <v>1008845</v>
      </c>
      <c r="U426" s="6">
        <v>63920</v>
      </c>
      <c r="V426" s="6">
        <v>-2797</v>
      </c>
      <c r="W426" s="6">
        <v>0</v>
      </c>
      <c r="X426" s="6">
        <v>45752</v>
      </c>
      <c r="Y426" s="6"/>
      <c r="Z426" s="6"/>
      <c r="AA426" s="6"/>
      <c r="AB426" s="6">
        <v>267</v>
      </c>
      <c r="AC426" s="6">
        <v>2223</v>
      </c>
      <c r="AD426" s="6">
        <v>60</v>
      </c>
      <c r="AE426" s="6">
        <v>25537</v>
      </c>
      <c r="AF426" s="6">
        <v>15245</v>
      </c>
    </row>
    <row r="427" spans="1:32" x14ac:dyDescent="0.35">
      <c r="A427" s="1">
        <v>40534</v>
      </c>
      <c r="B427" s="6">
        <v>2427921</v>
      </c>
      <c r="C427" s="6">
        <v>11037</v>
      </c>
      <c r="D427" s="6">
        <v>5200</v>
      </c>
      <c r="E427" s="6">
        <v>2148</v>
      </c>
      <c r="F427" s="6">
        <v>2271392</v>
      </c>
      <c r="G427" s="6">
        <v>2163097</v>
      </c>
      <c r="H427" s="6">
        <v>1007237</v>
      </c>
      <c r="I427" s="6">
        <v>18423</v>
      </c>
      <c r="J427" s="6">
        <v>934527</v>
      </c>
      <c r="K427" s="6">
        <v>48125</v>
      </c>
      <c r="L427" s="6">
        <v>6162</v>
      </c>
      <c r="M427" s="6">
        <v>17447</v>
      </c>
      <c r="N427" s="6">
        <v>17200</v>
      </c>
      <c r="O427" s="6">
        <v>55979</v>
      </c>
      <c r="P427" s="6">
        <v>427120</v>
      </c>
      <c r="Q427" s="6">
        <v>332496</v>
      </c>
      <c r="R427" s="6">
        <v>156994</v>
      </c>
      <c r="S427" s="6">
        <v>147460</v>
      </c>
      <c r="T427" s="6">
        <v>1008400</v>
      </c>
      <c r="U427" s="6">
        <v>66046</v>
      </c>
      <c r="V427" s="6">
        <v>-2851</v>
      </c>
      <c r="W427" s="6">
        <v>0</v>
      </c>
      <c r="X427" s="6">
        <v>45101</v>
      </c>
      <c r="Y427" s="6"/>
      <c r="Z427" s="6"/>
      <c r="AA427" s="6"/>
      <c r="AB427" s="6">
        <v>497</v>
      </c>
      <c r="AC427" s="6">
        <v>2226</v>
      </c>
      <c r="AD427" s="6">
        <v>75</v>
      </c>
      <c r="AE427" s="6">
        <v>25378</v>
      </c>
      <c r="AF427" s="6">
        <v>17036</v>
      </c>
    </row>
    <row r="428" spans="1:32" x14ac:dyDescent="0.35">
      <c r="A428" s="1">
        <v>40541</v>
      </c>
      <c r="B428" s="6">
        <v>2420570</v>
      </c>
      <c r="C428" s="6">
        <v>11037</v>
      </c>
      <c r="D428" s="6">
        <v>5200</v>
      </c>
      <c r="E428" s="6">
        <v>2164</v>
      </c>
      <c r="F428" s="6">
        <v>2264354</v>
      </c>
      <c r="G428" s="6">
        <v>2155703</v>
      </c>
      <c r="H428" s="6">
        <v>1016102</v>
      </c>
      <c r="I428" s="6">
        <v>18423</v>
      </c>
      <c r="J428" s="6">
        <v>943377</v>
      </c>
      <c r="K428" s="6">
        <v>48125</v>
      </c>
      <c r="L428" s="6">
        <v>6178</v>
      </c>
      <c r="M428" s="6">
        <v>19603</v>
      </c>
      <c r="N428" s="6">
        <v>15044</v>
      </c>
      <c r="O428" s="6">
        <v>55980</v>
      </c>
      <c r="P428" s="6">
        <v>433903</v>
      </c>
      <c r="Q428" s="6">
        <v>332500</v>
      </c>
      <c r="R428" s="6">
        <v>159070</v>
      </c>
      <c r="S428" s="6">
        <v>147460</v>
      </c>
      <c r="T428" s="6">
        <v>992141</v>
      </c>
      <c r="U428" s="6">
        <v>66455</v>
      </c>
      <c r="V428" s="6">
        <v>-2888</v>
      </c>
      <c r="W428" s="6">
        <v>0</v>
      </c>
      <c r="X428" s="6">
        <v>45084</v>
      </c>
      <c r="Y428" s="6"/>
      <c r="Z428" s="6"/>
      <c r="AA428" s="6"/>
      <c r="AB428" s="6">
        <v>225</v>
      </c>
      <c r="AC428" s="6">
        <v>2229</v>
      </c>
      <c r="AD428" s="6">
        <v>75</v>
      </c>
      <c r="AE428" s="6">
        <v>25718</v>
      </c>
      <c r="AF428" s="6">
        <v>16534</v>
      </c>
    </row>
    <row r="429" spans="1:32" x14ac:dyDescent="0.35">
      <c r="A429" s="1">
        <v>40548</v>
      </c>
      <c r="B429" s="6">
        <v>2436064</v>
      </c>
      <c r="C429" s="6">
        <v>11037</v>
      </c>
      <c r="D429" s="6">
        <v>5200</v>
      </c>
      <c r="E429" s="6">
        <v>2191</v>
      </c>
      <c r="F429" s="6">
        <v>2279526</v>
      </c>
      <c r="G429" s="6">
        <v>2170586</v>
      </c>
      <c r="H429" s="6">
        <v>1030985</v>
      </c>
      <c r="I429" s="6">
        <v>18423</v>
      </c>
      <c r="J429" s="6">
        <v>956554</v>
      </c>
      <c r="K429" s="6">
        <v>49743</v>
      </c>
      <c r="L429" s="6">
        <v>6265</v>
      </c>
      <c r="M429" s="6">
        <v>13584</v>
      </c>
      <c r="N429" s="6">
        <v>21035</v>
      </c>
      <c r="O429" s="6">
        <v>54254</v>
      </c>
      <c r="P429" s="6">
        <v>439596</v>
      </c>
      <c r="Q429" s="6">
        <v>342546</v>
      </c>
      <c r="R429" s="6">
        <v>159970</v>
      </c>
      <c r="S429" s="6">
        <v>147460</v>
      </c>
      <c r="T429" s="6">
        <v>992141</v>
      </c>
      <c r="U429" s="6">
        <v>67233</v>
      </c>
      <c r="V429" s="6">
        <v>-2908</v>
      </c>
      <c r="W429" s="6">
        <v>0</v>
      </c>
      <c r="X429" s="6">
        <v>44615</v>
      </c>
      <c r="Y429" s="6"/>
      <c r="Z429" s="6"/>
      <c r="AA429" s="6"/>
      <c r="AB429" s="6">
        <v>280</v>
      </c>
      <c r="AC429" s="6">
        <v>2219</v>
      </c>
      <c r="AD429" s="6">
        <v>75</v>
      </c>
      <c r="AE429" s="6">
        <v>25520</v>
      </c>
      <c r="AF429" s="6">
        <v>16813</v>
      </c>
    </row>
    <row r="430" spans="1:32" x14ac:dyDescent="0.35">
      <c r="A430" s="1">
        <v>40555</v>
      </c>
      <c r="B430" s="6">
        <v>2468131</v>
      </c>
      <c r="C430" s="6">
        <v>11037</v>
      </c>
      <c r="D430" s="6">
        <v>5200</v>
      </c>
      <c r="E430" s="6">
        <v>2214</v>
      </c>
      <c r="F430" s="6">
        <v>2309703</v>
      </c>
      <c r="G430" s="6">
        <v>2200533</v>
      </c>
      <c r="H430" s="6">
        <v>1062061</v>
      </c>
      <c r="I430" s="6">
        <v>18423</v>
      </c>
      <c r="J430" s="6">
        <v>987625</v>
      </c>
      <c r="K430" s="6">
        <v>49743</v>
      </c>
      <c r="L430" s="6">
        <v>6271</v>
      </c>
      <c r="M430" s="6">
        <v>17451</v>
      </c>
      <c r="N430" s="6">
        <v>17168</v>
      </c>
      <c r="O430" s="6">
        <v>54254</v>
      </c>
      <c r="P430" s="6">
        <v>452608</v>
      </c>
      <c r="Q430" s="6">
        <v>359108</v>
      </c>
      <c r="R430" s="6">
        <v>161472</v>
      </c>
      <c r="S430" s="6">
        <v>146331</v>
      </c>
      <c r="T430" s="6">
        <v>992141</v>
      </c>
      <c r="U430" s="6">
        <v>68239</v>
      </c>
      <c r="V430" s="6">
        <v>-3028</v>
      </c>
      <c r="W430" s="6">
        <v>0</v>
      </c>
      <c r="X430" s="6">
        <v>43959</v>
      </c>
      <c r="Y430" s="6"/>
      <c r="Z430" s="6"/>
      <c r="AA430" s="6"/>
      <c r="AB430" s="6">
        <v>421</v>
      </c>
      <c r="AC430" s="6">
        <v>2220</v>
      </c>
      <c r="AD430" s="6">
        <v>70</v>
      </c>
      <c r="AE430" s="6">
        <v>25403</v>
      </c>
      <c r="AF430" s="6">
        <v>18582</v>
      </c>
    </row>
    <row r="431" spans="1:32" x14ac:dyDescent="0.35">
      <c r="A431" s="1">
        <v>40562</v>
      </c>
      <c r="B431" s="6">
        <v>2425164</v>
      </c>
      <c r="C431" s="6">
        <v>11037</v>
      </c>
      <c r="D431" s="6">
        <v>5200</v>
      </c>
      <c r="E431" s="6">
        <v>2246</v>
      </c>
      <c r="F431" s="6">
        <v>2294575</v>
      </c>
      <c r="G431" s="6">
        <v>2205619</v>
      </c>
      <c r="H431" s="6">
        <v>1079578</v>
      </c>
      <c r="I431" s="6">
        <v>18423</v>
      </c>
      <c r="J431" s="6">
        <v>1004739</v>
      </c>
      <c r="K431" s="6">
        <v>50372</v>
      </c>
      <c r="L431" s="6">
        <v>6044</v>
      </c>
      <c r="M431" s="6">
        <v>14716</v>
      </c>
      <c r="N431" s="6">
        <v>21676</v>
      </c>
      <c r="O431" s="6">
        <v>55715</v>
      </c>
      <c r="P431" s="6">
        <v>456353</v>
      </c>
      <c r="Q431" s="6">
        <v>368756</v>
      </c>
      <c r="R431" s="6">
        <v>162362</v>
      </c>
      <c r="S431" s="6">
        <v>145885</v>
      </c>
      <c r="T431" s="6">
        <v>980157</v>
      </c>
      <c r="U431" s="6">
        <v>68371</v>
      </c>
      <c r="V431" s="6">
        <v>-3103</v>
      </c>
      <c r="W431" s="6">
        <v>0</v>
      </c>
      <c r="X431" s="6">
        <v>23688</v>
      </c>
      <c r="Y431" s="6"/>
      <c r="Z431" s="6"/>
      <c r="AA431" s="6"/>
      <c r="AB431" s="6">
        <v>465</v>
      </c>
      <c r="AC431" s="6">
        <v>2222</v>
      </c>
      <c r="AD431" s="6">
        <v>70</v>
      </c>
      <c r="AE431" s="6">
        <v>26039</v>
      </c>
      <c r="AF431" s="6">
        <v>17871</v>
      </c>
    </row>
    <row r="432" spans="1:32" x14ac:dyDescent="0.35">
      <c r="A432" s="1">
        <v>40569</v>
      </c>
      <c r="B432" s="6">
        <v>2443527</v>
      </c>
      <c r="C432" s="6">
        <v>11037</v>
      </c>
      <c r="D432" s="6">
        <v>5200</v>
      </c>
      <c r="E432" s="6">
        <v>2318</v>
      </c>
      <c r="F432" s="6">
        <v>2313051</v>
      </c>
      <c r="G432" s="6">
        <v>2224149</v>
      </c>
      <c r="H432" s="6">
        <v>1114448</v>
      </c>
      <c r="I432" s="6">
        <v>18423</v>
      </c>
      <c r="J432" s="6">
        <v>1039604</v>
      </c>
      <c r="K432" s="6">
        <v>50372</v>
      </c>
      <c r="L432" s="6">
        <v>6049</v>
      </c>
      <c r="M432" s="6">
        <v>16873</v>
      </c>
      <c r="N432" s="6">
        <v>19520</v>
      </c>
      <c r="O432" s="6">
        <v>55715</v>
      </c>
      <c r="P432" s="6">
        <v>471112</v>
      </c>
      <c r="Q432" s="6">
        <v>386665</v>
      </c>
      <c r="R432" s="6">
        <v>164564</v>
      </c>
      <c r="S432" s="6">
        <v>144624</v>
      </c>
      <c r="T432" s="6">
        <v>965077</v>
      </c>
      <c r="U432" s="6">
        <v>68876</v>
      </c>
      <c r="V432" s="6">
        <v>-3233</v>
      </c>
      <c r="W432" s="6">
        <v>0</v>
      </c>
      <c r="X432" s="6">
        <v>23259</v>
      </c>
      <c r="Y432" s="6"/>
      <c r="Z432" s="6"/>
      <c r="AA432" s="6"/>
      <c r="AB432" s="6">
        <v>352</v>
      </c>
      <c r="AC432" s="6">
        <v>2221</v>
      </c>
      <c r="AD432" s="6">
        <v>70</v>
      </c>
      <c r="AE432" s="6">
        <v>26213</v>
      </c>
      <c r="AF432" s="6">
        <v>17508</v>
      </c>
    </row>
    <row r="433" spans="1:32" x14ac:dyDescent="0.35">
      <c r="A433" s="1">
        <v>40576</v>
      </c>
      <c r="B433" s="6">
        <v>2469419</v>
      </c>
      <c r="C433" s="6">
        <v>11037</v>
      </c>
      <c r="D433" s="6">
        <v>5200</v>
      </c>
      <c r="E433" s="6">
        <v>2321</v>
      </c>
      <c r="F433" s="6">
        <v>2336928</v>
      </c>
      <c r="G433" s="6">
        <v>2247867</v>
      </c>
      <c r="H433" s="6">
        <v>1138166</v>
      </c>
      <c r="I433" s="6">
        <v>18423</v>
      </c>
      <c r="J433" s="6">
        <v>1061215</v>
      </c>
      <c r="K433" s="6">
        <v>52366</v>
      </c>
      <c r="L433" s="6">
        <v>6162</v>
      </c>
      <c r="M433" s="6">
        <v>13790</v>
      </c>
      <c r="N433" s="6">
        <v>26618</v>
      </c>
      <c r="O433" s="6">
        <v>52339</v>
      </c>
      <c r="P433" s="6">
        <v>483207</v>
      </c>
      <c r="Q433" s="6">
        <v>396918</v>
      </c>
      <c r="R433" s="6">
        <v>165294</v>
      </c>
      <c r="S433" s="6">
        <v>144624</v>
      </c>
      <c r="T433" s="6">
        <v>965077</v>
      </c>
      <c r="U433" s="6">
        <v>69702</v>
      </c>
      <c r="V433" s="6">
        <v>-3243</v>
      </c>
      <c r="W433" s="6">
        <v>0</v>
      </c>
      <c r="X433" s="6">
        <v>22603</v>
      </c>
      <c r="Y433" s="6"/>
      <c r="Z433" s="6"/>
      <c r="AA433" s="6"/>
      <c r="AB433" s="6">
        <v>565</v>
      </c>
      <c r="AC433" s="6">
        <v>2216</v>
      </c>
      <c r="AD433" s="6">
        <v>70</v>
      </c>
      <c r="AE433" s="6">
        <v>26444</v>
      </c>
      <c r="AF433" s="6">
        <v>18485</v>
      </c>
    </row>
    <row r="434" spans="1:32" x14ac:dyDescent="0.35">
      <c r="A434" s="1">
        <v>40583</v>
      </c>
      <c r="B434" s="6">
        <v>2500481</v>
      </c>
      <c r="C434" s="6">
        <v>11037</v>
      </c>
      <c r="D434" s="6">
        <v>5200</v>
      </c>
      <c r="E434" s="6">
        <v>2309</v>
      </c>
      <c r="F434" s="6">
        <v>2366762</v>
      </c>
      <c r="G434" s="6">
        <v>2276788</v>
      </c>
      <c r="H434" s="6">
        <v>1167087</v>
      </c>
      <c r="I434" s="6">
        <v>18423</v>
      </c>
      <c r="J434" s="6">
        <v>1090111</v>
      </c>
      <c r="K434" s="6">
        <v>52366</v>
      </c>
      <c r="L434" s="6">
        <v>6187</v>
      </c>
      <c r="M434" s="6">
        <v>17657</v>
      </c>
      <c r="N434" s="6">
        <v>22752</v>
      </c>
      <c r="O434" s="6">
        <v>52339</v>
      </c>
      <c r="P434" s="6">
        <v>490485</v>
      </c>
      <c r="Q434" s="6">
        <v>414155</v>
      </c>
      <c r="R434" s="6">
        <v>169700</v>
      </c>
      <c r="S434" s="6">
        <v>144624</v>
      </c>
      <c r="T434" s="6">
        <v>965077</v>
      </c>
      <c r="U434" s="6">
        <v>71362</v>
      </c>
      <c r="V434" s="6">
        <v>-3500</v>
      </c>
      <c r="W434" s="6">
        <v>0</v>
      </c>
      <c r="X434" s="6">
        <v>22112</v>
      </c>
      <c r="Y434" s="6"/>
      <c r="Z434" s="6"/>
      <c r="AA434" s="6"/>
      <c r="AB434" s="6">
        <v>-57</v>
      </c>
      <c r="AC434" s="6">
        <v>2216</v>
      </c>
      <c r="AD434" s="6">
        <v>70</v>
      </c>
      <c r="AE434" s="6">
        <v>26194</v>
      </c>
      <c r="AF434" s="6">
        <v>20435</v>
      </c>
    </row>
    <row r="435" spans="1:32" x14ac:dyDescent="0.35">
      <c r="A435" s="1">
        <v>40590</v>
      </c>
      <c r="B435" s="6">
        <v>2508868</v>
      </c>
      <c r="C435" s="6">
        <v>11037</v>
      </c>
      <c r="D435" s="6">
        <v>5200</v>
      </c>
      <c r="E435" s="6">
        <v>2289</v>
      </c>
      <c r="F435" s="6">
        <v>2382756</v>
      </c>
      <c r="G435" s="6">
        <v>2293150</v>
      </c>
      <c r="H435" s="6">
        <v>1190341</v>
      </c>
      <c r="I435" s="6">
        <v>18423</v>
      </c>
      <c r="J435" s="6">
        <v>1111685</v>
      </c>
      <c r="K435" s="6">
        <v>53863</v>
      </c>
      <c r="L435" s="6">
        <v>6371</v>
      </c>
      <c r="M435" s="6">
        <v>18417</v>
      </c>
      <c r="N435" s="6">
        <v>20341</v>
      </c>
      <c r="O435" s="6">
        <v>61118</v>
      </c>
      <c r="P435" s="6">
        <v>500427</v>
      </c>
      <c r="Q435" s="6">
        <v>418498</v>
      </c>
      <c r="R435" s="6">
        <v>171540</v>
      </c>
      <c r="S435" s="6">
        <v>144365</v>
      </c>
      <c r="T435" s="6">
        <v>958444</v>
      </c>
      <c r="U435" s="6">
        <v>71367</v>
      </c>
      <c r="V435" s="6">
        <v>-3840</v>
      </c>
      <c r="W435" s="6">
        <v>0</v>
      </c>
      <c r="X435" s="6">
        <v>22078</v>
      </c>
      <c r="Y435" s="6"/>
      <c r="Z435" s="6"/>
      <c r="AA435" s="6"/>
      <c r="AB435" s="6">
        <v>191</v>
      </c>
      <c r="AC435" s="6">
        <v>2217</v>
      </c>
      <c r="AD435" s="6">
        <v>70</v>
      </c>
      <c r="AE435" s="6">
        <v>25872</v>
      </c>
      <c r="AF435" s="6">
        <v>13660</v>
      </c>
    </row>
    <row r="436" spans="1:32" x14ac:dyDescent="0.35">
      <c r="A436" s="1">
        <v>40597</v>
      </c>
      <c r="B436" s="6">
        <v>2533221</v>
      </c>
      <c r="C436" s="6">
        <v>11037</v>
      </c>
      <c r="D436" s="6">
        <v>5200</v>
      </c>
      <c r="E436" s="6">
        <v>2260</v>
      </c>
      <c r="F436" s="6">
        <v>2405021</v>
      </c>
      <c r="G436" s="6">
        <v>2315746</v>
      </c>
      <c r="H436" s="6">
        <v>1213425</v>
      </c>
      <c r="I436" s="6">
        <v>18423</v>
      </c>
      <c r="J436" s="6">
        <v>1134743</v>
      </c>
      <c r="K436" s="6">
        <v>53863</v>
      </c>
      <c r="L436" s="6">
        <v>6397</v>
      </c>
      <c r="M436" s="6">
        <v>20574</v>
      </c>
      <c r="N436" s="6">
        <v>18186</v>
      </c>
      <c r="O436" s="6">
        <v>61118</v>
      </c>
      <c r="P436" s="6">
        <v>507120</v>
      </c>
      <c r="Q436" s="6">
        <v>435528</v>
      </c>
      <c r="R436" s="6">
        <v>170899</v>
      </c>
      <c r="S436" s="6">
        <v>144119</v>
      </c>
      <c r="T436" s="6">
        <v>958201</v>
      </c>
      <c r="U436" s="6">
        <v>72204</v>
      </c>
      <c r="V436" s="6">
        <v>-3955</v>
      </c>
      <c r="W436" s="6">
        <v>0</v>
      </c>
      <c r="X436" s="6">
        <v>21025</v>
      </c>
      <c r="Y436" s="6"/>
      <c r="Z436" s="6"/>
      <c r="AA436" s="6"/>
      <c r="AB436" s="6">
        <v>229</v>
      </c>
      <c r="AC436" s="6">
        <v>2219</v>
      </c>
      <c r="AD436" s="6">
        <v>70</v>
      </c>
      <c r="AE436" s="6">
        <v>26287</v>
      </c>
      <c r="AF436" s="6">
        <v>15294</v>
      </c>
    </row>
    <row r="437" spans="1:32" x14ac:dyDescent="0.35">
      <c r="A437" s="1">
        <v>40604</v>
      </c>
      <c r="B437" s="6">
        <v>2545119</v>
      </c>
      <c r="C437" s="6">
        <v>11037</v>
      </c>
      <c r="D437" s="6">
        <v>5200</v>
      </c>
      <c r="E437" s="6">
        <v>2245</v>
      </c>
      <c r="F437" s="6">
        <v>2417706</v>
      </c>
      <c r="G437" s="6">
        <v>2328439</v>
      </c>
      <c r="H437" s="6">
        <v>1236258</v>
      </c>
      <c r="I437" s="6">
        <v>18423</v>
      </c>
      <c r="J437" s="6">
        <v>1157044</v>
      </c>
      <c r="K437" s="6">
        <v>54357</v>
      </c>
      <c r="L437" s="6">
        <v>6434</v>
      </c>
      <c r="M437" s="6">
        <v>12138</v>
      </c>
      <c r="N437" s="6">
        <v>29950</v>
      </c>
      <c r="O437" s="6">
        <v>57572</v>
      </c>
      <c r="P437" s="6">
        <v>525223</v>
      </c>
      <c r="Q437" s="6">
        <v>436109</v>
      </c>
      <c r="R437" s="6">
        <v>175267</v>
      </c>
      <c r="S437" s="6">
        <v>143249</v>
      </c>
      <c r="T437" s="6">
        <v>948932</v>
      </c>
      <c r="U437" s="6">
        <v>72882</v>
      </c>
      <c r="V437" s="6">
        <v>-3996</v>
      </c>
      <c r="W437" s="6">
        <v>0</v>
      </c>
      <c r="X437" s="6">
        <v>20381</v>
      </c>
      <c r="Y437" s="6"/>
      <c r="Z437" s="6"/>
      <c r="AA437" s="6"/>
      <c r="AB437" s="6">
        <v>184</v>
      </c>
      <c r="AC437" s="6">
        <v>2213</v>
      </c>
      <c r="AD437" s="6">
        <v>70</v>
      </c>
      <c r="AE437" s="6">
        <v>26586</v>
      </c>
      <c r="AF437" s="6">
        <v>14386</v>
      </c>
    </row>
    <row r="438" spans="1:32" x14ac:dyDescent="0.35">
      <c r="A438" s="1">
        <v>40611</v>
      </c>
      <c r="B438" s="6">
        <v>2577076</v>
      </c>
      <c r="C438" s="6">
        <v>11037</v>
      </c>
      <c r="D438" s="6">
        <v>5200</v>
      </c>
      <c r="E438" s="6">
        <v>2228</v>
      </c>
      <c r="F438" s="6">
        <v>2447975</v>
      </c>
      <c r="G438" s="6">
        <v>2358250</v>
      </c>
      <c r="H438" s="6">
        <v>1266069</v>
      </c>
      <c r="I438" s="6">
        <v>18423</v>
      </c>
      <c r="J438" s="6">
        <v>1185240</v>
      </c>
      <c r="K438" s="6">
        <v>55857</v>
      </c>
      <c r="L438" s="6">
        <v>6549</v>
      </c>
      <c r="M438" s="6">
        <v>16005</v>
      </c>
      <c r="N438" s="6">
        <v>26086</v>
      </c>
      <c r="O438" s="6">
        <v>57572</v>
      </c>
      <c r="P438" s="6">
        <v>538702</v>
      </c>
      <c r="Q438" s="6">
        <v>452158</v>
      </c>
      <c r="R438" s="6">
        <v>175546</v>
      </c>
      <c r="S438" s="6">
        <v>143249</v>
      </c>
      <c r="T438" s="6">
        <v>948932</v>
      </c>
      <c r="U438" s="6">
        <v>73613</v>
      </c>
      <c r="V438" s="6">
        <v>-4064</v>
      </c>
      <c r="W438" s="6">
        <v>0</v>
      </c>
      <c r="X438" s="6">
        <v>20176</v>
      </c>
      <c r="Y438" s="6"/>
      <c r="Z438" s="6"/>
      <c r="AA438" s="6"/>
      <c r="AB438" s="6">
        <v>180</v>
      </c>
      <c r="AC438" s="6">
        <v>2214</v>
      </c>
      <c r="AD438" s="6">
        <v>0</v>
      </c>
      <c r="AE438" s="6">
        <v>26398</v>
      </c>
      <c r="AF438" s="6">
        <v>16196</v>
      </c>
    </row>
    <row r="439" spans="1:32" x14ac:dyDescent="0.35">
      <c r="A439" s="1">
        <v>40618</v>
      </c>
      <c r="B439" s="6">
        <v>2583046</v>
      </c>
      <c r="C439" s="6">
        <v>11037</v>
      </c>
      <c r="D439" s="6">
        <v>5200</v>
      </c>
      <c r="E439" s="6">
        <v>2207</v>
      </c>
      <c r="F439" s="6">
        <v>2454303</v>
      </c>
      <c r="G439" s="6">
        <v>2364483</v>
      </c>
      <c r="H439" s="6">
        <v>1280386</v>
      </c>
      <c r="I439" s="6">
        <v>18423</v>
      </c>
      <c r="J439" s="6">
        <v>1199490</v>
      </c>
      <c r="K439" s="6">
        <v>55857</v>
      </c>
      <c r="L439" s="6">
        <v>6616</v>
      </c>
      <c r="M439" s="6">
        <v>17418</v>
      </c>
      <c r="N439" s="6">
        <v>24677</v>
      </c>
      <c r="O439" s="6">
        <v>67799</v>
      </c>
      <c r="P439" s="6">
        <v>534520</v>
      </c>
      <c r="Q439" s="6">
        <v>460397</v>
      </c>
      <c r="R439" s="6">
        <v>175576</v>
      </c>
      <c r="S439" s="6">
        <v>139994</v>
      </c>
      <c r="T439" s="6">
        <v>944103</v>
      </c>
      <c r="U439" s="6">
        <v>73940</v>
      </c>
      <c r="V439" s="6">
        <v>-4069</v>
      </c>
      <c r="W439" s="6">
        <v>0</v>
      </c>
      <c r="X439" s="6">
        <v>19949</v>
      </c>
      <c r="Y439" s="6"/>
      <c r="Z439" s="6"/>
      <c r="AA439" s="6"/>
      <c r="AB439" s="6">
        <v>189</v>
      </c>
      <c r="AC439" s="6">
        <v>2217</v>
      </c>
      <c r="AD439" s="6">
        <v>0</v>
      </c>
      <c r="AE439" s="6">
        <v>26800</v>
      </c>
      <c r="AF439" s="6">
        <v>16025</v>
      </c>
    </row>
    <row r="440" spans="1:32" x14ac:dyDescent="0.35">
      <c r="A440" s="1">
        <v>40625</v>
      </c>
      <c r="B440" s="6">
        <v>2601341</v>
      </c>
      <c r="C440" s="6">
        <v>11037</v>
      </c>
      <c r="D440" s="6">
        <v>5200</v>
      </c>
      <c r="E440" s="6">
        <v>2193</v>
      </c>
      <c r="F440" s="6">
        <v>2471247</v>
      </c>
      <c r="G440" s="6">
        <v>2381581</v>
      </c>
      <c r="H440" s="6">
        <v>1305239</v>
      </c>
      <c r="I440" s="6">
        <v>18423</v>
      </c>
      <c r="J440" s="6">
        <v>1222689</v>
      </c>
      <c r="K440" s="6">
        <v>57425</v>
      </c>
      <c r="L440" s="6">
        <v>6702</v>
      </c>
      <c r="M440" s="6">
        <v>19574</v>
      </c>
      <c r="N440" s="6">
        <v>22524</v>
      </c>
      <c r="O440" s="6">
        <v>67800</v>
      </c>
      <c r="P440" s="6">
        <v>547165</v>
      </c>
      <c r="Q440" s="6">
        <v>469854</v>
      </c>
      <c r="R440" s="6">
        <v>178323</v>
      </c>
      <c r="S440" s="6">
        <v>132495</v>
      </c>
      <c r="T440" s="6">
        <v>943848</v>
      </c>
      <c r="U440" s="6">
        <v>74218</v>
      </c>
      <c r="V440" s="6">
        <v>-4065</v>
      </c>
      <c r="W440" s="6">
        <v>0</v>
      </c>
      <c r="X440" s="6">
        <v>19513</v>
      </c>
      <c r="Y440" s="6"/>
      <c r="Z440" s="6"/>
      <c r="AA440" s="6"/>
      <c r="AB440" s="6">
        <v>335</v>
      </c>
      <c r="AC440" s="6">
        <v>2219</v>
      </c>
      <c r="AD440" s="6">
        <v>0</v>
      </c>
      <c r="AE440" s="6">
        <v>26400</v>
      </c>
      <c r="AF440" s="6">
        <v>17583</v>
      </c>
    </row>
    <row r="441" spans="1:32" x14ac:dyDescent="0.35">
      <c r="A441" s="1">
        <v>40632</v>
      </c>
      <c r="B441" s="6">
        <v>2622523</v>
      </c>
      <c r="C441" s="6">
        <v>11037</v>
      </c>
      <c r="D441" s="6">
        <v>5200</v>
      </c>
      <c r="E441" s="6">
        <v>2182</v>
      </c>
      <c r="F441" s="6">
        <v>2493027</v>
      </c>
      <c r="G441" s="6">
        <v>2403095</v>
      </c>
      <c r="H441" s="6">
        <v>1333445</v>
      </c>
      <c r="I441" s="6">
        <v>18423</v>
      </c>
      <c r="J441" s="6">
        <v>1249224</v>
      </c>
      <c r="K441" s="6">
        <v>58993</v>
      </c>
      <c r="L441" s="6">
        <v>6805</v>
      </c>
      <c r="M441" s="6">
        <v>17071</v>
      </c>
      <c r="N441" s="6">
        <v>25031</v>
      </c>
      <c r="O441" s="6">
        <v>67800</v>
      </c>
      <c r="P441" s="6">
        <v>565623</v>
      </c>
      <c r="Q441" s="6">
        <v>478796</v>
      </c>
      <c r="R441" s="6">
        <v>179124</v>
      </c>
      <c r="S441" s="6">
        <v>132495</v>
      </c>
      <c r="T441" s="6">
        <v>937155</v>
      </c>
      <c r="U441" s="6">
        <v>74745</v>
      </c>
      <c r="V441" s="6">
        <v>-4066</v>
      </c>
      <c r="W441" s="6">
        <v>0</v>
      </c>
      <c r="X441" s="6">
        <v>19254</v>
      </c>
      <c r="Y441" s="6"/>
      <c r="Z441" s="6"/>
      <c r="AA441" s="6"/>
      <c r="AB441" s="6">
        <v>151</v>
      </c>
      <c r="AC441" s="6">
        <v>2219</v>
      </c>
      <c r="AD441" s="6">
        <v>0</v>
      </c>
      <c r="AE441" s="6">
        <v>26121</v>
      </c>
      <c r="AF441" s="6">
        <v>17411</v>
      </c>
    </row>
    <row r="442" spans="1:32" x14ac:dyDescent="0.35">
      <c r="A442" s="1">
        <v>40639</v>
      </c>
      <c r="B442" s="6">
        <v>2648676</v>
      </c>
      <c r="C442" s="6">
        <v>11037</v>
      </c>
      <c r="D442" s="6">
        <v>5200</v>
      </c>
      <c r="E442" s="6">
        <v>2179</v>
      </c>
      <c r="F442" s="6">
        <v>2518121</v>
      </c>
      <c r="G442" s="6">
        <v>2427857</v>
      </c>
      <c r="H442" s="6">
        <v>1358207</v>
      </c>
      <c r="I442" s="6">
        <v>18423</v>
      </c>
      <c r="J442" s="6">
        <v>1273415</v>
      </c>
      <c r="K442" s="6">
        <v>59486</v>
      </c>
      <c r="L442" s="6">
        <v>6884</v>
      </c>
      <c r="M442" s="6">
        <v>19249</v>
      </c>
      <c r="N442" s="6">
        <v>21335</v>
      </c>
      <c r="O442" s="6">
        <v>68371</v>
      </c>
      <c r="P442" s="6">
        <v>579118</v>
      </c>
      <c r="Q442" s="6">
        <v>488876</v>
      </c>
      <c r="R442" s="6">
        <v>181257</v>
      </c>
      <c r="S442" s="6">
        <v>132495</v>
      </c>
      <c r="T442" s="6">
        <v>937155</v>
      </c>
      <c r="U442" s="6">
        <v>75905</v>
      </c>
      <c r="V442" s="6">
        <v>-4136</v>
      </c>
      <c r="W442" s="6">
        <v>0</v>
      </c>
      <c r="X442" s="6">
        <v>18494</v>
      </c>
      <c r="Y442" s="6"/>
      <c r="Z442" s="6"/>
      <c r="AA442" s="6"/>
      <c r="AB442" s="6">
        <v>204</v>
      </c>
      <c r="AC442" s="6">
        <v>2213</v>
      </c>
      <c r="AD442" s="6">
        <v>0</v>
      </c>
      <c r="AE442" s="6">
        <v>26051</v>
      </c>
      <c r="AF442" s="6">
        <v>18512</v>
      </c>
    </row>
    <row r="443" spans="1:32" x14ac:dyDescent="0.35">
      <c r="A443" s="1">
        <v>40646</v>
      </c>
      <c r="B443" s="6">
        <v>2665408</v>
      </c>
      <c r="C443" s="6">
        <v>11037</v>
      </c>
      <c r="D443" s="6">
        <v>5200</v>
      </c>
      <c r="E443" s="6">
        <v>2179</v>
      </c>
      <c r="F443" s="6">
        <v>2532587</v>
      </c>
      <c r="G443" s="6">
        <v>2442738</v>
      </c>
      <c r="H443" s="6">
        <v>1374695</v>
      </c>
      <c r="I443" s="6">
        <v>18423</v>
      </c>
      <c r="J443" s="6">
        <v>1289826</v>
      </c>
      <c r="K443" s="6">
        <v>59486</v>
      </c>
      <c r="L443" s="6">
        <v>6960</v>
      </c>
      <c r="M443" s="6">
        <v>15733</v>
      </c>
      <c r="N443" s="6">
        <v>24855</v>
      </c>
      <c r="O443" s="6">
        <v>68372</v>
      </c>
      <c r="P443" s="6">
        <v>585483</v>
      </c>
      <c r="Q443" s="6">
        <v>496992</v>
      </c>
      <c r="R443" s="6">
        <v>183260</v>
      </c>
      <c r="S443" s="6">
        <v>130888</v>
      </c>
      <c r="T443" s="6">
        <v>937155</v>
      </c>
      <c r="U443" s="6">
        <v>76169</v>
      </c>
      <c r="V443" s="6">
        <v>-4175</v>
      </c>
      <c r="W443" s="6">
        <v>0</v>
      </c>
      <c r="X443" s="6">
        <v>17855</v>
      </c>
      <c r="Y443" s="6"/>
      <c r="Z443" s="6"/>
      <c r="AA443" s="6"/>
      <c r="AB443" s="6">
        <v>130</v>
      </c>
      <c r="AC443" s="6">
        <v>2213</v>
      </c>
      <c r="AD443" s="6">
        <v>0</v>
      </c>
      <c r="AE443" s="6">
        <v>26424</v>
      </c>
      <c r="AF443" s="6">
        <v>20408</v>
      </c>
    </row>
    <row r="444" spans="1:32" x14ac:dyDescent="0.35">
      <c r="A444" s="1">
        <v>40653</v>
      </c>
      <c r="B444" s="6">
        <v>2685782</v>
      </c>
      <c r="C444" s="6">
        <v>11037</v>
      </c>
      <c r="D444" s="6">
        <v>5200</v>
      </c>
      <c r="E444" s="6">
        <v>2204</v>
      </c>
      <c r="F444" s="6">
        <v>2554384</v>
      </c>
      <c r="G444" s="6">
        <v>2464176</v>
      </c>
      <c r="H444" s="6">
        <v>1402494</v>
      </c>
      <c r="I444" s="6">
        <v>18423</v>
      </c>
      <c r="J444" s="6">
        <v>1320801</v>
      </c>
      <c r="K444" s="6">
        <v>56565</v>
      </c>
      <c r="L444" s="6">
        <v>6706</v>
      </c>
      <c r="M444" s="6">
        <v>20887</v>
      </c>
      <c r="N444" s="6">
        <v>16453</v>
      </c>
      <c r="O444" s="6">
        <v>82277</v>
      </c>
      <c r="P444" s="6">
        <v>591158</v>
      </c>
      <c r="Q444" s="6">
        <v>505786</v>
      </c>
      <c r="R444" s="6">
        <v>185933</v>
      </c>
      <c r="S444" s="6">
        <v>128460</v>
      </c>
      <c r="T444" s="6">
        <v>933222</v>
      </c>
      <c r="U444" s="6">
        <v>76760</v>
      </c>
      <c r="V444" s="6">
        <v>-4171</v>
      </c>
      <c r="W444" s="6">
        <v>0</v>
      </c>
      <c r="X444" s="6">
        <v>17619</v>
      </c>
      <c r="Y444" s="6"/>
      <c r="Z444" s="6"/>
      <c r="AA444" s="6"/>
      <c r="AB444" s="6">
        <v>214</v>
      </c>
      <c r="AC444" s="6">
        <v>2215</v>
      </c>
      <c r="AD444" s="6">
        <v>0</v>
      </c>
      <c r="AE444" s="6">
        <v>26603</v>
      </c>
      <c r="AF444" s="6">
        <v>19984</v>
      </c>
    </row>
    <row r="445" spans="1:32" x14ac:dyDescent="0.35">
      <c r="A445" s="1">
        <v>40660</v>
      </c>
      <c r="B445" s="6">
        <v>2690985</v>
      </c>
      <c r="C445" s="6">
        <v>11037</v>
      </c>
      <c r="D445" s="6">
        <v>5200</v>
      </c>
      <c r="E445" s="6">
        <v>2217</v>
      </c>
      <c r="F445" s="6">
        <v>2557026</v>
      </c>
      <c r="G445" s="6">
        <v>2466674</v>
      </c>
      <c r="H445" s="6">
        <v>1413467</v>
      </c>
      <c r="I445" s="6">
        <v>18423</v>
      </c>
      <c r="J445" s="6">
        <v>1330040</v>
      </c>
      <c r="K445" s="6">
        <v>58065</v>
      </c>
      <c r="L445" s="6">
        <v>6940</v>
      </c>
      <c r="M445" s="6">
        <v>18384</v>
      </c>
      <c r="N445" s="6">
        <v>18956</v>
      </c>
      <c r="O445" s="6">
        <v>82281</v>
      </c>
      <c r="P445" s="6">
        <v>591168</v>
      </c>
      <c r="Q445" s="6">
        <v>513052</v>
      </c>
      <c r="R445" s="6">
        <v>189625</v>
      </c>
      <c r="S445" s="6">
        <v>126186</v>
      </c>
      <c r="T445" s="6">
        <v>927021</v>
      </c>
      <c r="U445" s="6">
        <v>77712</v>
      </c>
      <c r="V445" s="6">
        <v>-4159</v>
      </c>
      <c r="W445" s="6">
        <v>0</v>
      </c>
      <c r="X445" s="6">
        <v>16798</v>
      </c>
      <c r="Y445" s="6"/>
      <c r="Z445" s="6"/>
      <c r="AA445" s="6"/>
      <c r="AB445" s="6">
        <v>138</v>
      </c>
      <c r="AC445" s="6">
        <v>2217</v>
      </c>
      <c r="AD445" s="6">
        <v>0</v>
      </c>
      <c r="AE445" s="6">
        <v>26760</v>
      </c>
      <c r="AF445" s="6">
        <v>19791</v>
      </c>
    </row>
    <row r="446" spans="1:32" x14ac:dyDescent="0.35">
      <c r="A446" s="1">
        <v>40667</v>
      </c>
      <c r="B446" s="6">
        <v>2718757</v>
      </c>
      <c r="C446" s="6">
        <v>11037</v>
      </c>
      <c r="D446" s="6">
        <v>5200</v>
      </c>
      <c r="E446" s="6">
        <v>2183</v>
      </c>
      <c r="F446" s="6">
        <v>2584471</v>
      </c>
      <c r="G446" s="6">
        <v>2493995</v>
      </c>
      <c r="H446" s="6">
        <v>1441855</v>
      </c>
      <c r="I446" s="6">
        <v>18423</v>
      </c>
      <c r="J446" s="6">
        <v>1358315</v>
      </c>
      <c r="K446" s="6">
        <v>58065</v>
      </c>
      <c r="L446" s="6">
        <v>7053</v>
      </c>
      <c r="M446" s="6">
        <v>16005</v>
      </c>
      <c r="N446" s="6">
        <v>18037</v>
      </c>
      <c r="O446" s="6">
        <v>83377</v>
      </c>
      <c r="P446" s="6">
        <v>617107</v>
      </c>
      <c r="Q446" s="6">
        <v>517652</v>
      </c>
      <c r="R446" s="6">
        <v>189678</v>
      </c>
      <c r="S446" s="6">
        <v>125118</v>
      </c>
      <c r="T446" s="6">
        <v>927021</v>
      </c>
      <c r="U446" s="6">
        <v>78403</v>
      </c>
      <c r="V446" s="6">
        <v>-4204</v>
      </c>
      <c r="W446" s="6">
        <v>0</v>
      </c>
      <c r="X446" s="6">
        <v>16277</v>
      </c>
      <c r="Y446" s="6"/>
      <c r="Z446" s="6"/>
      <c r="AA446" s="6"/>
      <c r="AB446" s="6">
        <v>486</v>
      </c>
      <c r="AC446" s="6">
        <v>2208</v>
      </c>
      <c r="AD446" s="6">
        <v>0</v>
      </c>
      <c r="AE446" s="6">
        <v>27258</v>
      </c>
      <c r="AF446" s="6">
        <v>20804</v>
      </c>
    </row>
    <row r="447" spans="1:32" x14ac:dyDescent="0.35">
      <c r="A447" s="1">
        <v>40674</v>
      </c>
      <c r="B447" s="6">
        <v>2744498</v>
      </c>
      <c r="C447" s="6">
        <v>11037</v>
      </c>
      <c r="D447" s="6">
        <v>5200</v>
      </c>
      <c r="E447" s="6">
        <v>2166</v>
      </c>
      <c r="F447" s="6">
        <v>2608763</v>
      </c>
      <c r="G447" s="6">
        <v>2518349</v>
      </c>
      <c r="H447" s="6">
        <v>1466209</v>
      </c>
      <c r="I447" s="6">
        <v>18423</v>
      </c>
      <c r="J447" s="6">
        <v>1380842</v>
      </c>
      <c r="K447" s="6">
        <v>59564</v>
      </c>
      <c r="L447" s="6">
        <v>7381</v>
      </c>
      <c r="M447" s="6">
        <v>12485</v>
      </c>
      <c r="N447" s="6">
        <v>21557</v>
      </c>
      <c r="O447" s="6">
        <v>83385</v>
      </c>
      <c r="P447" s="6">
        <v>630702</v>
      </c>
      <c r="Q447" s="6">
        <v>525568</v>
      </c>
      <c r="R447" s="6">
        <v>192512</v>
      </c>
      <c r="S447" s="6">
        <v>125118</v>
      </c>
      <c r="T447" s="6">
        <v>927021</v>
      </c>
      <c r="U447" s="6">
        <v>79238</v>
      </c>
      <c r="V447" s="6">
        <v>-4177</v>
      </c>
      <c r="W447" s="6">
        <v>0</v>
      </c>
      <c r="X447" s="6">
        <v>15353</v>
      </c>
      <c r="Y447" s="6"/>
      <c r="Z447" s="6"/>
      <c r="AA447" s="6"/>
      <c r="AB447" s="6">
        <v>503</v>
      </c>
      <c r="AC447" s="6">
        <v>2210</v>
      </c>
      <c r="AD447" s="6">
        <v>0</v>
      </c>
      <c r="AE447" s="6">
        <v>26610</v>
      </c>
      <c r="AF447" s="6">
        <v>22777</v>
      </c>
    </row>
    <row r="448" spans="1:32" x14ac:dyDescent="0.35">
      <c r="A448" s="1">
        <v>40681</v>
      </c>
      <c r="B448" s="6">
        <v>2758009</v>
      </c>
      <c r="C448" s="6">
        <v>11037</v>
      </c>
      <c r="D448" s="6">
        <v>5200</v>
      </c>
      <c r="E448" s="6">
        <v>2149</v>
      </c>
      <c r="F448" s="6">
        <v>2630285</v>
      </c>
      <c r="G448" s="6">
        <v>2539503</v>
      </c>
      <c r="H448" s="6">
        <v>1495166</v>
      </c>
      <c r="I448" s="6">
        <v>18423</v>
      </c>
      <c r="J448" s="6">
        <v>1407998</v>
      </c>
      <c r="K448" s="6">
        <v>61004</v>
      </c>
      <c r="L448" s="6">
        <v>7742</v>
      </c>
      <c r="M448" s="6">
        <v>23900</v>
      </c>
      <c r="N448" s="6">
        <v>12347</v>
      </c>
      <c r="O448" s="6">
        <v>89579</v>
      </c>
      <c r="P448" s="6">
        <v>648661</v>
      </c>
      <c r="Q448" s="6">
        <v>532102</v>
      </c>
      <c r="R448" s="6">
        <v>188577</v>
      </c>
      <c r="S448" s="6">
        <v>120758</v>
      </c>
      <c r="T448" s="6">
        <v>923579</v>
      </c>
      <c r="U448" s="6">
        <v>79974</v>
      </c>
      <c r="V448" s="6">
        <v>-4173</v>
      </c>
      <c r="W448" s="6">
        <v>0</v>
      </c>
      <c r="X448" s="6">
        <v>14980</v>
      </c>
      <c r="Y448" s="6"/>
      <c r="Z448" s="6"/>
      <c r="AA448" s="6"/>
      <c r="AB448" s="6">
        <v>354</v>
      </c>
      <c r="AC448" s="6">
        <v>2210</v>
      </c>
      <c r="AD448" s="6">
        <v>0</v>
      </c>
      <c r="AE448" s="6">
        <v>26533</v>
      </c>
      <c r="AF448" s="6">
        <v>15731</v>
      </c>
    </row>
    <row r="449" spans="1:32" x14ac:dyDescent="0.35">
      <c r="A449" s="1">
        <v>40688</v>
      </c>
      <c r="B449" s="6">
        <v>2774996</v>
      </c>
      <c r="C449" s="6">
        <v>11037</v>
      </c>
      <c r="D449" s="6">
        <v>5200</v>
      </c>
      <c r="E449" s="6">
        <v>2130</v>
      </c>
      <c r="F449" s="6">
        <v>2647740</v>
      </c>
      <c r="G449" s="6">
        <v>2556276</v>
      </c>
      <c r="H449" s="6">
        <v>1519327</v>
      </c>
      <c r="I449" s="6">
        <v>18423</v>
      </c>
      <c r="J449" s="6">
        <v>1432009</v>
      </c>
      <c r="K449" s="6">
        <v>61004</v>
      </c>
      <c r="L449" s="6">
        <v>7892</v>
      </c>
      <c r="M449" s="6">
        <v>21396</v>
      </c>
      <c r="N449" s="6">
        <v>14850</v>
      </c>
      <c r="O449" s="6">
        <v>89587</v>
      </c>
      <c r="P449" s="6">
        <v>655085</v>
      </c>
      <c r="Q449" s="6">
        <v>546030</v>
      </c>
      <c r="R449" s="6">
        <v>192379</v>
      </c>
      <c r="S449" s="6">
        <v>119093</v>
      </c>
      <c r="T449" s="6">
        <v>917856</v>
      </c>
      <c r="U449" s="6">
        <v>81302</v>
      </c>
      <c r="V449" s="6">
        <v>-4107</v>
      </c>
      <c r="W449" s="6">
        <v>0</v>
      </c>
      <c r="X449" s="6">
        <v>14270</v>
      </c>
      <c r="Y449" s="6"/>
      <c r="Z449" s="6"/>
      <c r="AA449" s="6"/>
      <c r="AB449" s="6">
        <v>272</v>
      </c>
      <c r="AC449" s="6">
        <v>2213</v>
      </c>
      <c r="AD449" s="6">
        <v>0</v>
      </c>
      <c r="AE449" s="6">
        <v>26278</v>
      </c>
      <c r="AF449" s="6">
        <v>15517</v>
      </c>
    </row>
    <row r="450" spans="1:32" x14ac:dyDescent="0.35">
      <c r="A450" s="1">
        <v>40695</v>
      </c>
      <c r="B450" s="6">
        <v>2788723</v>
      </c>
      <c r="C450" s="6">
        <v>11037</v>
      </c>
      <c r="D450" s="6">
        <v>5200</v>
      </c>
      <c r="E450" s="6">
        <v>2106</v>
      </c>
      <c r="F450" s="6">
        <v>2660202</v>
      </c>
      <c r="G450" s="6">
        <v>2569185</v>
      </c>
      <c r="H450" s="6">
        <v>1532236</v>
      </c>
      <c r="I450" s="6">
        <v>18423</v>
      </c>
      <c r="J450" s="6">
        <v>1443828</v>
      </c>
      <c r="K450" s="6">
        <v>61930</v>
      </c>
      <c r="L450" s="6">
        <v>8056</v>
      </c>
      <c r="M450" s="6">
        <v>16005</v>
      </c>
      <c r="N450" s="6">
        <v>10983</v>
      </c>
      <c r="O450" s="6">
        <v>95392</v>
      </c>
      <c r="P450" s="6">
        <v>676155</v>
      </c>
      <c r="Q450" s="6">
        <v>539335</v>
      </c>
      <c r="R450" s="6">
        <v>194367</v>
      </c>
      <c r="S450" s="6">
        <v>119093</v>
      </c>
      <c r="T450" s="6">
        <v>917856</v>
      </c>
      <c r="U450" s="6">
        <v>81386</v>
      </c>
      <c r="V450" s="6">
        <v>-4092</v>
      </c>
      <c r="W450" s="6">
        <v>0</v>
      </c>
      <c r="X450" s="6">
        <v>13723</v>
      </c>
      <c r="Y450" s="6"/>
      <c r="Z450" s="6"/>
      <c r="AA450" s="6"/>
      <c r="AB450" s="6">
        <v>426</v>
      </c>
      <c r="AC450" s="6">
        <v>2206</v>
      </c>
      <c r="AD450" s="6">
        <v>0</v>
      </c>
      <c r="AE450" s="6">
        <v>26810</v>
      </c>
      <c r="AF450" s="6">
        <v>16061</v>
      </c>
    </row>
    <row r="451" spans="1:32" x14ac:dyDescent="0.35">
      <c r="A451" s="1">
        <v>40702</v>
      </c>
      <c r="B451" s="6">
        <v>2811206</v>
      </c>
      <c r="C451" s="6">
        <v>11037</v>
      </c>
      <c r="D451" s="6">
        <v>5200</v>
      </c>
      <c r="E451" s="6">
        <v>2110</v>
      </c>
      <c r="F451" s="6">
        <v>2682949</v>
      </c>
      <c r="G451" s="6">
        <v>2591608</v>
      </c>
      <c r="H451" s="6">
        <v>1554660</v>
      </c>
      <c r="I451" s="6">
        <v>18423</v>
      </c>
      <c r="J451" s="6">
        <v>1464534</v>
      </c>
      <c r="K451" s="6">
        <v>63370</v>
      </c>
      <c r="L451" s="6">
        <v>8334</v>
      </c>
      <c r="M451" s="6">
        <v>12485</v>
      </c>
      <c r="N451" s="6">
        <v>17898</v>
      </c>
      <c r="O451" s="6">
        <v>92003</v>
      </c>
      <c r="P451" s="6">
        <v>682939</v>
      </c>
      <c r="Q451" s="6">
        <v>554021</v>
      </c>
      <c r="R451" s="6">
        <v>195314</v>
      </c>
      <c r="S451" s="6">
        <v>119093</v>
      </c>
      <c r="T451" s="6">
        <v>917856</v>
      </c>
      <c r="U451" s="6">
        <v>82053</v>
      </c>
      <c r="V451" s="6">
        <v>-4074</v>
      </c>
      <c r="W451" s="6">
        <v>0</v>
      </c>
      <c r="X451" s="6">
        <v>13362</v>
      </c>
      <c r="Y451" s="6"/>
      <c r="Z451" s="6"/>
      <c r="AA451" s="6"/>
      <c r="AB451" s="6">
        <v>219</v>
      </c>
      <c r="AC451" s="6">
        <v>2206</v>
      </c>
      <c r="AD451" s="6">
        <v>0</v>
      </c>
      <c r="AE451" s="6">
        <v>27099</v>
      </c>
      <c r="AF451" s="6">
        <v>18027</v>
      </c>
    </row>
    <row r="452" spans="1:32" x14ac:dyDescent="0.35">
      <c r="A452" s="1">
        <v>40709</v>
      </c>
      <c r="B452" s="6">
        <v>2827549</v>
      </c>
      <c r="C452" s="6">
        <v>11037</v>
      </c>
      <c r="D452" s="6">
        <v>5200</v>
      </c>
      <c r="E452" s="6">
        <v>2118</v>
      </c>
      <c r="F452" s="6">
        <v>2700622</v>
      </c>
      <c r="G452" s="6">
        <v>2608810</v>
      </c>
      <c r="H452" s="6">
        <v>1575939</v>
      </c>
      <c r="I452" s="6">
        <v>18423</v>
      </c>
      <c r="J452" s="6">
        <v>1485706</v>
      </c>
      <c r="K452" s="6">
        <v>63370</v>
      </c>
      <c r="L452" s="6">
        <v>8441</v>
      </c>
      <c r="M452" s="6">
        <v>18054</v>
      </c>
      <c r="N452" s="6">
        <v>12329</v>
      </c>
      <c r="O452" s="6">
        <v>92008</v>
      </c>
      <c r="P452" s="6">
        <v>692563</v>
      </c>
      <c r="Q452" s="6">
        <v>565620</v>
      </c>
      <c r="R452" s="6">
        <v>195365</v>
      </c>
      <c r="S452" s="6">
        <v>118365</v>
      </c>
      <c r="T452" s="6">
        <v>914506</v>
      </c>
      <c r="U452" s="6">
        <v>82576</v>
      </c>
      <c r="V452" s="6">
        <v>-3996</v>
      </c>
      <c r="W452" s="6">
        <v>0</v>
      </c>
      <c r="X452" s="6">
        <v>13232</v>
      </c>
      <c r="Y452" s="6"/>
      <c r="Z452" s="6"/>
      <c r="AA452" s="6"/>
      <c r="AB452" s="6">
        <v>380</v>
      </c>
      <c r="AC452" s="6">
        <v>2208</v>
      </c>
      <c r="AD452" s="6">
        <v>0</v>
      </c>
      <c r="AE452" s="6">
        <v>26596</v>
      </c>
      <c r="AF452" s="6">
        <v>18137</v>
      </c>
    </row>
    <row r="453" spans="1:32" x14ac:dyDescent="0.35">
      <c r="A453" s="1">
        <v>40716</v>
      </c>
      <c r="B453" s="6">
        <v>2856403</v>
      </c>
      <c r="C453" s="6">
        <v>11037</v>
      </c>
      <c r="D453" s="6">
        <v>5200</v>
      </c>
      <c r="E453" s="6">
        <v>2126</v>
      </c>
      <c r="F453" s="6">
        <v>2727401</v>
      </c>
      <c r="G453" s="6">
        <v>2634654</v>
      </c>
      <c r="H453" s="6">
        <v>1601963</v>
      </c>
      <c r="I453" s="6">
        <v>18423</v>
      </c>
      <c r="J453" s="6">
        <v>1509372</v>
      </c>
      <c r="K453" s="6">
        <v>65296</v>
      </c>
      <c r="L453" s="6">
        <v>8873</v>
      </c>
      <c r="M453" s="6">
        <v>15550</v>
      </c>
      <c r="N453" s="6">
        <v>14833</v>
      </c>
      <c r="O453" s="6">
        <v>100513</v>
      </c>
      <c r="P453" s="6">
        <v>694720</v>
      </c>
      <c r="Q453" s="6">
        <v>580703</v>
      </c>
      <c r="R453" s="6">
        <v>195645</v>
      </c>
      <c r="S453" s="6">
        <v>118365</v>
      </c>
      <c r="T453" s="6">
        <v>914326</v>
      </c>
      <c r="U453" s="6">
        <v>83684</v>
      </c>
      <c r="V453" s="6">
        <v>-3958</v>
      </c>
      <c r="W453" s="6">
        <v>0</v>
      </c>
      <c r="X453" s="6">
        <v>13022</v>
      </c>
      <c r="Y453" s="6"/>
      <c r="Z453" s="6"/>
      <c r="AA453" s="6"/>
      <c r="AB453" s="6">
        <v>261</v>
      </c>
      <c r="AC453" s="6">
        <v>2210</v>
      </c>
      <c r="AD453" s="6">
        <v>0</v>
      </c>
      <c r="AE453" s="6">
        <v>26887</v>
      </c>
      <c r="AF453" s="6">
        <v>19963</v>
      </c>
    </row>
    <row r="454" spans="1:32" x14ac:dyDescent="0.35">
      <c r="A454" s="1">
        <v>40723</v>
      </c>
      <c r="B454" s="6">
        <v>2865251</v>
      </c>
      <c r="C454" s="6">
        <v>11037</v>
      </c>
      <c r="D454" s="6">
        <v>5200</v>
      </c>
      <c r="E454" s="6">
        <v>2114</v>
      </c>
      <c r="F454" s="6">
        <v>2736252</v>
      </c>
      <c r="G454" s="6">
        <v>2642617</v>
      </c>
      <c r="H454" s="6">
        <v>1617060</v>
      </c>
      <c r="I454" s="6">
        <v>18423</v>
      </c>
      <c r="J454" s="6">
        <v>1524358</v>
      </c>
      <c r="K454" s="6">
        <v>65296</v>
      </c>
      <c r="L454" s="6">
        <v>8984</v>
      </c>
      <c r="M454" s="6">
        <v>19417</v>
      </c>
      <c r="N454" s="6">
        <v>10966</v>
      </c>
      <c r="O454" s="6">
        <v>100519</v>
      </c>
      <c r="P454" s="6">
        <v>703587</v>
      </c>
      <c r="Q454" s="6">
        <v>585665</v>
      </c>
      <c r="R454" s="6">
        <v>196906</v>
      </c>
      <c r="S454" s="6">
        <v>116704</v>
      </c>
      <c r="T454" s="6">
        <v>908853</v>
      </c>
      <c r="U454" s="6">
        <v>84707</v>
      </c>
      <c r="V454" s="6">
        <v>-3916</v>
      </c>
      <c r="W454" s="6">
        <v>0</v>
      </c>
      <c r="X454" s="6">
        <v>12845</v>
      </c>
      <c r="Y454" s="6"/>
      <c r="Z454" s="6"/>
      <c r="AA454" s="6"/>
      <c r="AB454" s="6">
        <v>238</v>
      </c>
      <c r="AC454" s="6">
        <v>2210</v>
      </c>
      <c r="AD454" s="6">
        <v>0</v>
      </c>
      <c r="AE454" s="6">
        <v>26827</v>
      </c>
      <c r="AF454" s="6">
        <v>19984</v>
      </c>
    </row>
    <row r="455" spans="1:32" x14ac:dyDescent="0.35">
      <c r="A455" s="1">
        <v>40730</v>
      </c>
      <c r="B455" s="6">
        <v>2870103</v>
      </c>
      <c r="C455" s="6">
        <v>11037</v>
      </c>
      <c r="D455" s="6">
        <v>5200</v>
      </c>
      <c r="E455" s="6">
        <v>2096</v>
      </c>
      <c r="F455" s="6">
        <v>2741781</v>
      </c>
      <c r="G455" s="6">
        <v>2648438</v>
      </c>
      <c r="H455" s="6">
        <v>1624515</v>
      </c>
      <c r="I455" s="6">
        <v>18423</v>
      </c>
      <c r="J455" s="6">
        <v>1531497</v>
      </c>
      <c r="K455" s="6">
        <v>65521</v>
      </c>
      <c r="L455" s="6">
        <v>9074</v>
      </c>
      <c r="M455" s="6">
        <v>12485</v>
      </c>
      <c r="N455" s="6">
        <v>17910</v>
      </c>
      <c r="O455" s="6">
        <v>103863</v>
      </c>
      <c r="P455" s="6">
        <v>708800</v>
      </c>
      <c r="Q455" s="6">
        <v>581824</v>
      </c>
      <c r="R455" s="6">
        <v>199633</v>
      </c>
      <c r="S455" s="6">
        <v>115070</v>
      </c>
      <c r="T455" s="6">
        <v>908853</v>
      </c>
      <c r="U455" s="6">
        <v>84737</v>
      </c>
      <c r="V455" s="6">
        <v>-3947</v>
      </c>
      <c r="W455" s="6">
        <v>0</v>
      </c>
      <c r="X455" s="6">
        <v>12552</v>
      </c>
      <c r="Y455" s="6"/>
      <c r="Z455" s="6"/>
      <c r="AA455" s="6"/>
      <c r="AB455" s="6">
        <v>419</v>
      </c>
      <c r="AC455" s="6">
        <v>2199</v>
      </c>
      <c r="AD455" s="6">
        <v>0</v>
      </c>
      <c r="AE455" s="6">
        <v>26699</v>
      </c>
      <c r="AF455" s="6">
        <v>20277</v>
      </c>
    </row>
    <row r="456" spans="1:32" x14ac:dyDescent="0.35">
      <c r="A456" s="1">
        <v>40737</v>
      </c>
      <c r="B456" s="6">
        <v>2878074</v>
      </c>
      <c r="C456" s="6">
        <v>11037</v>
      </c>
      <c r="D456" s="6">
        <v>5200</v>
      </c>
      <c r="E456" s="6">
        <v>2117</v>
      </c>
      <c r="F456" s="6">
        <v>2747726</v>
      </c>
      <c r="G456" s="6">
        <v>2654337</v>
      </c>
      <c r="H456" s="6">
        <v>1630414</v>
      </c>
      <c r="I456" s="6">
        <v>18423</v>
      </c>
      <c r="J456" s="6">
        <v>1537317</v>
      </c>
      <c r="K456" s="6">
        <v>65521</v>
      </c>
      <c r="L456" s="6">
        <v>9153</v>
      </c>
      <c r="M456" s="6">
        <v>14641</v>
      </c>
      <c r="N456" s="6">
        <v>15754</v>
      </c>
      <c r="O456" s="6">
        <v>103867</v>
      </c>
      <c r="P456" s="6">
        <v>713934</v>
      </c>
      <c r="Q456" s="6">
        <v>582548</v>
      </c>
      <c r="R456" s="6">
        <v>199669</v>
      </c>
      <c r="S456" s="6">
        <v>115070</v>
      </c>
      <c r="T456" s="6">
        <v>908853</v>
      </c>
      <c r="U456" s="6">
        <v>84809</v>
      </c>
      <c r="V456" s="6">
        <v>-3930</v>
      </c>
      <c r="W456" s="6">
        <v>0</v>
      </c>
      <c r="X456" s="6">
        <v>12510</v>
      </c>
      <c r="Y456" s="6"/>
      <c r="Z456" s="6"/>
      <c r="AA456" s="6"/>
      <c r="AB456" s="6">
        <v>264</v>
      </c>
      <c r="AC456" s="6">
        <v>2199</v>
      </c>
      <c r="AD456" s="6">
        <v>0</v>
      </c>
      <c r="AE456" s="6">
        <v>26809</v>
      </c>
      <c r="AF456" s="6">
        <v>22241</v>
      </c>
    </row>
    <row r="457" spans="1:32" x14ac:dyDescent="0.35">
      <c r="A457" s="1">
        <v>40744</v>
      </c>
      <c r="B457" s="6">
        <v>2871301</v>
      </c>
      <c r="C457" s="6">
        <v>11037</v>
      </c>
      <c r="D457" s="6">
        <v>5200</v>
      </c>
      <c r="E457" s="6">
        <v>2167</v>
      </c>
      <c r="F457" s="6">
        <v>2745540</v>
      </c>
      <c r="G457" s="6">
        <v>2652311</v>
      </c>
      <c r="H457" s="6">
        <v>1634093</v>
      </c>
      <c r="I457" s="6">
        <v>18423</v>
      </c>
      <c r="J457" s="6">
        <v>1540917</v>
      </c>
      <c r="K457" s="6">
        <v>65521</v>
      </c>
      <c r="L457" s="6">
        <v>9232</v>
      </c>
      <c r="M457" s="6">
        <v>15085</v>
      </c>
      <c r="N457" s="6">
        <v>15309</v>
      </c>
      <c r="O457" s="6">
        <v>114135</v>
      </c>
      <c r="P457" s="6">
        <v>710280</v>
      </c>
      <c r="Q457" s="6">
        <v>579576</v>
      </c>
      <c r="R457" s="6">
        <v>199706</v>
      </c>
      <c r="S457" s="6">
        <v>114036</v>
      </c>
      <c r="T457" s="6">
        <v>904182</v>
      </c>
      <c r="U457" s="6">
        <v>84608</v>
      </c>
      <c r="V457" s="6">
        <v>-3910</v>
      </c>
      <c r="W457" s="6">
        <v>0</v>
      </c>
      <c r="X457" s="6">
        <v>12531</v>
      </c>
      <c r="Y457" s="6"/>
      <c r="Z457" s="6"/>
      <c r="AA457" s="6"/>
      <c r="AB457" s="6">
        <v>264</v>
      </c>
      <c r="AC457" s="6">
        <v>2201</v>
      </c>
      <c r="AD457" s="6">
        <v>0</v>
      </c>
      <c r="AE457" s="6">
        <v>26872</v>
      </c>
      <c r="AF457" s="6">
        <v>21539</v>
      </c>
    </row>
    <row r="458" spans="1:32" x14ac:dyDescent="0.35">
      <c r="A458" s="1">
        <v>40751</v>
      </c>
      <c r="B458" s="6">
        <v>2863576</v>
      </c>
      <c r="C458" s="6">
        <v>11037</v>
      </c>
      <c r="D458" s="6">
        <v>5200</v>
      </c>
      <c r="E458" s="6">
        <v>2198</v>
      </c>
      <c r="F458" s="6">
        <v>2740806</v>
      </c>
      <c r="G458" s="6">
        <v>2647881</v>
      </c>
      <c r="H458" s="6">
        <v>1638161</v>
      </c>
      <c r="I458" s="6">
        <v>18423</v>
      </c>
      <c r="J458" s="6">
        <v>1544906</v>
      </c>
      <c r="K458" s="6">
        <v>65521</v>
      </c>
      <c r="L458" s="6">
        <v>9311</v>
      </c>
      <c r="M458" s="6">
        <v>18953</v>
      </c>
      <c r="N458" s="6">
        <v>11442</v>
      </c>
      <c r="O458" s="6">
        <v>114143</v>
      </c>
      <c r="P458" s="6">
        <v>710293</v>
      </c>
      <c r="Q458" s="6">
        <v>582718</v>
      </c>
      <c r="R458" s="6">
        <v>200612</v>
      </c>
      <c r="S458" s="6">
        <v>112435</v>
      </c>
      <c r="T458" s="6">
        <v>897285</v>
      </c>
      <c r="U458" s="6">
        <v>84797</v>
      </c>
      <c r="V458" s="6">
        <v>-3839</v>
      </c>
      <c r="W458" s="6">
        <v>0</v>
      </c>
      <c r="X458" s="6">
        <v>11968</v>
      </c>
      <c r="Y458" s="6"/>
      <c r="Z458" s="6"/>
      <c r="AA458" s="6"/>
      <c r="AB458" s="6">
        <v>158</v>
      </c>
      <c r="AC458" s="6">
        <v>2202</v>
      </c>
      <c r="AD458" s="6">
        <v>0</v>
      </c>
      <c r="AE458" s="6">
        <v>27189</v>
      </c>
      <c r="AF458" s="6">
        <v>21523</v>
      </c>
    </row>
    <row r="459" spans="1:32" x14ac:dyDescent="0.35">
      <c r="A459" s="1">
        <v>40758</v>
      </c>
      <c r="B459" s="6">
        <v>2867215</v>
      </c>
      <c r="C459" s="6">
        <v>11037</v>
      </c>
      <c r="D459" s="6">
        <v>5200</v>
      </c>
      <c r="E459" s="6">
        <v>2186</v>
      </c>
      <c r="F459" s="6">
        <v>2743448</v>
      </c>
      <c r="G459" s="6">
        <v>2650638</v>
      </c>
      <c r="H459" s="6">
        <v>1640919</v>
      </c>
      <c r="I459" s="6">
        <v>18423</v>
      </c>
      <c r="J459" s="6">
        <v>1547626</v>
      </c>
      <c r="K459" s="6">
        <v>65521</v>
      </c>
      <c r="L459" s="6">
        <v>9349</v>
      </c>
      <c r="M459" s="6">
        <v>14689</v>
      </c>
      <c r="N459" s="6">
        <v>16788</v>
      </c>
      <c r="O459" s="6">
        <v>116238</v>
      </c>
      <c r="P459" s="6">
        <v>715116</v>
      </c>
      <c r="Q459" s="6">
        <v>577458</v>
      </c>
      <c r="R459" s="6">
        <v>200629</v>
      </c>
      <c r="S459" s="6">
        <v>112435</v>
      </c>
      <c r="T459" s="6">
        <v>897285</v>
      </c>
      <c r="U459" s="6">
        <v>84671</v>
      </c>
      <c r="V459" s="6">
        <v>-3826</v>
      </c>
      <c r="W459" s="6">
        <v>0</v>
      </c>
      <c r="X459" s="6">
        <v>11965</v>
      </c>
      <c r="Y459" s="6"/>
      <c r="Z459" s="6"/>
      <c r="AA459" s="6"/>
      <c r="AB459" s="6">
        <v>299</v>
      </c>
      <c r="AC459" s="6">
        <v>2196</v>
      </c>
      <c r="AD459" s="6">
        <v>0</v>
      </c>
      <c r="AE459" s="6">
        <v>27313</v>
      </c>
      <c r="AF459" s="6">
        <v>22375</v>
      </c>
    </row>
    <row r="460" spans="1:32" x14ac:dyDescent="0.35">
      <c r="A460" s="1">
        <v>40765</v>
      </c>
      <c r="B460" s="6">
        <v>2872423</v>
      </c>
      <c r="C460" s="6">
        <v>11037</v>
      </c>
      <c r="D460" s="6">
        <v>5200</v>
      </c>
      <c r="E460" s="6">
        <v>2189</v>
      </c>
      <c r="F460" s="6">
        <v>2747115</v>
      </c>
      <c r="G460" s="6">
        <v>2654462</v>
      </c>
      <c r="H460" s="6">
        <v>1644743</v>
      </c>
      <c r="I460" s="6">
        <v>18423</v>
      </c>
      <c r="J460" s="6">
        <v>1550943</v>
      </c>
      <c r="K460" s="6">
        <v>65948</v>
      </c>
      <c r="L460" s="6">
        <v>9429</v>
      </c>
      <c r="M460" s="6">
        <v>16846</v>
      </c>
      <c r="N460" s="6">
        <v>14631</v>
      </c>
      <c r="O460" s="6">
        <v>116236</v>
      </c>
      <c r="P460" s="6">
        <v>715638</v>
      </c>
      <c r="Q460" s="6">
        <v>580770</v>
      </c>
      <c r="R460" s="6">
        <v>200621</v>
      </c>
      <c r="S460" s="6">
        <v>112435</v>
      </c>
      <c r="T460" s="6">
        <v>897285</v>
      </c>
      <c r="U460" s="6">
        <v>84554</v>
      </c>
      <c r="V460" s="6">
        <v>-3813</v>
      </c>
      <c r="W460" s="6">
        <v>0</v>
      </c>
      <c r="X460" s="6">
        <v>11913</v>
      </c>
      <c r="Y460" s="6"/>
      <c r="Z460" s="6"/>
      <c r="AA460" s="6"/>
      <c r="AB460" s="6">
        <v>152</v>
      </c>
      <c r="AC460" s="6">
        <v>2198</v>
      </c>
      <c r="AD460" s="6">
        <v>0</v>
      </c>
      <c r="AE460" s="6">
        <v>27256</v>
      </c>
      <c r="AF460" s="6">
        <v>24001</v>
      </c>
    </row>
    <row r="461" spans="1:32" x14ac:dyDescent="0.35">
      <c r="A461" s="1">
        <v>40772</v>
      </c>
      <c r="B461" s="6">
        <v>2857906</v>
      </c>
      <c r="C461" s="6">
        <v>11037</v>
      </c>
      <c r="D461" s="6">
        <v>5200</v>
      </c>
      <c r="E461" s="6">
        <v>2189</v>
      </c>
      <c r="F461" s="6">
        <v>2743451</v>
      </c>
      <c r="G461" s="6">
        <v>2650862</v>
      </c>
      <c r="H461" s="6">
        <v>1647633</v>
      </c>
      <c r="I461" s="6">
        <v>18423</v>
      </c>
      <c r="J461" s="6">
        <v>1553852</v>
      </c>
      <c r="K461" s="6">
        <v>65948</v>
      </c>
      <c r="L461" s="6">
        <v>9410</v>
      </c>
      <c r="M461" s="6">
        <v>15533</v>
      </c>
      <c r="N461" s="6">
        <v>19249</v>
      </c>
      <c r="O461" s="6">
        <v>125266</v>
      </c>
      <c r="P461" s="6">
        <v>709657</v>
      </c>
      <c r="Q461" s="6">
        <v>576091</v>
      </c>
      <c r="R461" s="6">
        <v>201837</v>
      </c>
      <c r="S461" s="6">
        <v>110660</v>
      </c>
      <c r="T461" s="6">
        <v>892569</v>
      </c>
      <c r="U461" s="6">
        <v>84475</v>
      </c>
      <c r="V461" s="6">
        <v>-3789</v>
      </c>
      <c r="W461" s="6">
        <v>0</v>
      </c>
      <c r="X461" s="6">
        <v>11903</v>
      </c>
      <c r="Y461" s="6"/>
      <c r="Z461" s="6"/>
      <c r="AA461" s="6"/>
      <c r="AB461" s="6">
        <v>222</v>
      </c>
      <c r="AC461" s="6">
        <v>2199</v>
      </c>
      <c r="AD461" s="6">
        <v>200</v>
      </c>
      <c r="AE461" s="6">
        <v>27511</v>
      </c>
      <c r="AF461" s="6">
        <v>15573</v>
      </c>
    </row>
    <row r="462" spans="1:32" x14ac:dyDescent="0.35">
      <c r="A462" s="1">
        <v>40779</v>
      </c>
      <c r="B462" s="6">
        <v>2859433</v>
      </c>
      <c r="C462" s="6">
        <v>11037</v>
      </c>
      <c r="D462" s="6">
        <v>5200</v>
      </c>
      <c r="E462" s="6">
        <v>2202</v>
      </c>
      <c r="F462" s="6">
        <v>2743062</v>
      </c>
      <c r="G462" s="6">
        <v>2650561</v>
      </c>
      <c r="H462" s="6">
        <v>1648435</v>
      </c>
      <c r="I462" s="6">
        <v>18423</v>
      </c>
      <c r="J462" s="6">
        <v>1554672</v>
      </c>
      <c r="K462" s="6">
        <v>65948</v>
      </c>
      <c r="L462" s="6">
        <v>9392</v>
      </c>
      <c r="M462" s="6">
        <v>19400</v>
      </c>
      <c r="N462" s="6">
        <v>15382</v>
      </c>
      <c r="O462" s="6">
        <v>125265</v>
      </c>
      <c r="P462" s="6">
        <v>709654</v>
      </c>
      <c r="Q462" s="6">
        <v>581599</v>
      </c>
      <c r="R462" s="6">
        <v>197136</v>
      </c>
      <c r="S462" s="6">
        <v>109776</v>
      </c>
      <c r="T462" s="6">
        <v>892350</v>
      </c>
      <c r="U462" s="6">
        <v>84521</v>
      </c>
      <c r="V462" s="6">
        <v>-3722</v>
      </c>
      <c r="W462" s="6">
        <v>0</v>
      </c>
      <c r="X462" s="6">
        <v>11702</v>
      </c>
      <c r="Y462" s="6"/>
      <c r="Z462" s="6"/>
      <c r="AA462" s="6"/>
      <c r="AB462" s="6">
        <v>267</v>
      </c>
      <c r="AC462" s="6">
        <v>2199</v>
      </c>
      <c r="AD462" s="6">
        <v>500</v>
      </c>
      <c r="AE462" s="6">
        <v>27429</v>
      </c>
      <c r="AF462" s="6">
        <v>17167</v>
      </c>
    </row>
    <row r="463" spans="1:32" x14ac:dyDescent="0.35">
      <c r="A463" s="1">
        <v>40786</v>
      </c>
      <c r="B463" s="6">
        <v>2853888</v>
      </c>
      <c r="C463" s="6">
        <v>11037</v>
      </c>
      <c r="D463" s="6">
        <v>5200</v>
      </c>
      <c r="E463" s="6">
        <v>2201</v>
      </c>
      <c r="F463" s="6">
        <v>2739536</v>
      </c>
      <c r="G463" s="6">
        <v>2646834</v>
      </c>
      <c r="H463" s="6">
        <v>1652113</v>
      </c>
      <c r="I463" s="6">
        <v>18423</v>
      </c>
      <c r="J463" s="6">
        <v>1557455</v>
      </c>
      <c r="K463" s="6">
        <v>66754</v>
      </c>
      <c r="L463" s="6">
        <v>9481</v>
      </c>
      <c r="M463" s="6">
        <v>12485</v>
      </c>
      <c r="N463" s="6">
        <v>18902</v>
      </c>
      <c r="O463" s="6">
        <v>125263</v>
      </c>
      <c r="P463" s="6">
        <v>718559</v>
      </c>
      <c r="Q463" s="6">
        <v>579727</v>
      </c>
      <c r="R463" s="6">
        <v>197178</v>
      </c>
      <c r="S463" s="6">
        <v>109776</v>
      </c>
      <c r="T463" s="6">
        <v>884945</v>
      </c>
      <c r="U463" s="6">
        <v>84501</v>
      </c>
      <c r="V463" s="6">
        <v>-3506</v>
      </c>
      <c r="W463" s="6">
        <v>0</v>
      </c>
      <c r="X463" s="6">
        <v>11706</v>
      </c>
      <c r="Y463" s="6"/>
      <c r="Z463" s="6"/>
      <c r="AA463" s="6"/>
      <c r="AB463" s="6">
        <v>260</v>
      </c>
      <c r="AC463" s="6">
        <v>2189</v>
      </c>
      <c r="AD463" s="6">
        <v>0</v>
      </c>
      <c r="AE463" s="6">
        <v>27504</v>
      </c>
      <c r="AF463" s="6">
        <v>15521</v>
      </c>
    </row>
    <row r="464" spans="1:32" x14ac:dyDescent="0.35">
      <c r="A464" s="1">
        <v>40793</v>
      </c>
      <c r="B464" s="6">
        <v>2858660</v>
      </c>
      <c r="C464" s="6">
        <v>11037</v>
      </c>
      <c r="D464" s="6">
        <v>5200</v>
      </c>
      <c r="E464" s="6">
        <v>2195</v>
      </c>
      <c r="F464" s="6">
        <v>2742958</v>
      </c>
      <c r="G464" s="6">
        <v>2650320</v>
      </c>
      <c r="H464" s="6">
        <v>1655599</v>
      </c>
      <c r="I464" s="6">
        <v>18423</v>
      </c>
      <c r="J464" s="6">
        <v>1560925</v>
      </c>
      <c r="K464" s="6">
        <v>66754</v>
      </c>
      <c r="L464" s="6">
        <v>9497</v>
      </c>
      <c r="M464" s="6">
        <v>14641</v>
      </c>
      <c r="N464" s="6">
        <v>21730</v>
      </c>
      <c r="O464" s="6">
        <v>127126</v>
      </c>
      <c r="P464" s="6">
        <v>715186</v>
      </c>
      <c r="Q464" s="6">
        <v>579731</v>
      </c>
      <c r="R464" s="6">
        <v>197185</v>
      </c>
      <c r="S464" s="6">
        <v>109776</v>
      </c>
      <c r="T464" s="6">
        <v>884945</v>
      </c>
      <c r="U464" s="6">
        <v>84461</v>
      </c>
      <c r="V464" s="6">
        <v>-3484</v>
      </c>
      <c r="W464" s="6">
        <v>0</v>
      </c>
      <c r="X464" s="6">
        <v>11661</v>
      </c>
      <c r="Y464" s="6"/>
      <c r="Z464" s="6"/>
      <c r="AA464" s="6"/>
      <c r="AB464" s="6">
        <v>331</v>
      </c>
      <c r="AC464" s="6">
        <v>2183</v>
      </c>
      <c r="AD464" s="6">
        <v>0</v>
      </c>
      <c r="AE464" s="6">
        <v>26978</v>
      </c>
      <c r="AF464" s="6">
        <v>17382</v>
      </c>
    </row>
    <row r="465" spans="1:32" x14ac:dyDescent="0.35">
      <c r="A465" s="1">
        <v>40800</v>
      </c>
      <c r="B465" s="6">
        <v>2863540</v>
      </c>
      <c r="C465" s="6">
        <v>11037</v>
      </c>
      <c r="D465" s="6">
        <v>5200</v>
      </c>
      <c r="E465" s="6">
        <v>2213</v>
      </c>
      <c r="F465" s="6">
        <v>2746216</v>
      </c>
      <c r="G465" s="6">
        <v>2653681</v>
      </c>
      <c r="H465" s="6">
        <v>1658960</v>
      </c>
      <c r="I465" s="6">
        <v>18423</v>
      </c>
      <c r="J465" s="6">
        <v>1564270</v>
      </c>
      <c r="K465" s="6">
        <v>66754</v>
      </c>
      <c r="L465" s="6">
        <v>9513</v>
      </c>
      <c r="M465" s="6">
        <v>12138</v>
      </c>
      <c r="N465" s="6">
        <v>24233</v>
      </c>
      <c r="O465" s="6">
        <v>127127</v>
      </c>
      <c r="P465" s="6">
        <v>715189</v>
      </c>
      <c r="Q465" s="6">
        <v>583081</v>
      </c>
      <c r="R465" s="6">
        <v>197192</v>
      </c>
      <c r="S465" s="6">
        <v>109776</v>
      </c>
      <c r="T465" s="6">
        <v>884945</v>
      </c>
      <c r="U465" s="6">
        <v>84342</v>
      </c>
      <c r="V465" s="6">
        <v>-3435</v>
      </c>
      <c r="W465" s="6">
        <v>0</v>
      </c>
      <c r="X465" s="6">
        <v>11628</v>
      </c>
      <c r="Y465" s="6"/>
      <c r="Z465" s="6"/>
      <c r="AA465" s="6"/>
      <c r="AB465" s="6">
        <v>249</v>
      </c>
      <c r="AC465" s="6">
        <v>2184</v>
      </c>
      <c r="AD465" s="6">
        <v>0</v>
      </c>
      <c r="AE465" s="6">
        <v>26718</v>
      </c>
      <c r="AF465" s="6">
        <v>19256</v>
      </c>
    </row>
    <row r="466" spans="1:32" x14ac:dyDescent="0.35">
      <c r="A466" s="1">
        <v>40807</v>
      </c>
      <c r="B466" s="6">
        <v>2857747</v>
      </c>
      <c r="C466" s="6">
        <v>11037</v>
      </c>
      <c r="D466" s="6">
        <v>5200</v>
      </c>
      <c r="E466" s="6">
        <v>2224</v>
      </c>
      <c r="F466" s="6">
        <v>2742940</v>
      </c>
      <c r="G466" s="6">
        <v>2650613</v>
      </c>
      <c r="H466" s="6">
        <v>1663105</v>
      </c>
      <c r="I466" s="6">
        <v>18423</v>
      </c>
      <c r="J466" s="6">
        <v>1568399</v>
      </c>
      <c r="K466" s="6">
        <v>66754</v>
      </c>
      <c r="L466" s="6">
        <v>9529</v>
      </c>
      <c r="M466" s="6">
        <v>19429</v>
      </c>
      <c r="N466" s="6">
        <v>19357</v>
      </c>
      <c r="O466" s="6">
        <v>129111</v>
      </c>
      <c r="P466" s="6">
        <v>714323</v>
      </c>
      <c r="Q466" s="6">
        <v>583686</v>
      </c>
      <c r="R466" s="6">
        <v>197199</v>
      </c>
      <c r="S466" s="6">
        <v>108268</v>
      </c>
      <c r="T466" s="6">
        <v>879240</v>
      </c>
      <c r="U466" s="6">
        <v>84283</v>
      </c>
      <c r="V466" s="6">
        <v>-3401</v>
      </c>
      <c r="W466" s="6">
        <v>0</v>
      </c>
      <c r="X466" s="6">
        <v>11445</v>
      </c>
      <c r="Y466" s="6"/>
      <c r="Z466" s="6"/>
      <c r="AA466" s="6"/>
      <c r="AB466" s="6">
        <v>328</v>
      </c>
      <c r="AC466" s="6">
        <v>2187</v>
      </c>
      <c r="AD466" s="6">
        <v>575</v>
      </c>
      <c r="AE466" s="6">
        <v>26790</v>
      </c>
      <c r="AF466" s="6">
        <v>19074</v>
      </c>
    </row>
    <row r="467" spans="1:32" x14ac:dyDescent="0.35">
      <c r="A467" s="1">
        <v>40814</v>
      </c>
      <c r="B467" s="6">
        <v>2850921</v>
      </c>
      <c r="C467" s="6">
        <v>11037</v>
      </c>
      <c r="D467" s="6">
        <v>5200</v>
      </c>
      <c r="E467" s="6">
        <v>2244</v>
      </c>
      <c r="F467" s="6">
        <v>2736393</v>
      </c>
      <c r="G467" s="6">
        <v>2643806</v>
      </c>
      <c r="H467" s="6">
        <v>1664655</v>
      </c>
      <c r="I467" s="6">
        <v>18423</v>
      </c>
      <c r="J467" s="6">
        <v>1569329</v>
      </c>
      <c r="K467" s="6">
        <v>67254</v>
      </c>
      <c r="L467" s="6">
        <v>9649</v>
      </c>
      <c r="M467" s="6">
        <v>15909</v>
      </c>
      <c r="N467" s="6">
        <v>22877</v>
      </c>
      <c r="O467" s="6">
        <v>129112</v>
      </c>
      <c r="P467" s="6">
        <v>714534</v>
      </c>
      <c r="Q467" s="6">
        <v>583690</v>
      </c>
      <c r="R467" s="6">
        <v>198533</v>
      </c>
      <c r="S467" s="6">
        <v>108268</v>
      </c>
      <c r="T467" s="6">
        <v>870883</v>
      </c>
      <c r="U467" s="6">
        <v>84436</v>
      </c>
      <c r="V467" s="6">
        <v>-3311</v>
      </c>
      <c r="W467" s="6">
        <v>0</v>
      </c>
      <c r="X467" s="6">
        <v>11462</v>
      </c>
      <c r="Y467" s="6"/>
      <c r="Z467" s="6"/>
      <c r="AA467" s="6"/>
      <c r="AB467" s="6">
        <v>280</v>
      </c>
      <c r="AC467" s="6">
        <v>2185</v>
      </c>
      <c r="AD467" s="6">
        <v>500</v>
      </c>
      <c r="AE467" s="6">
        <v>26672</v>
      </c>
      <c r="AF467" s="6">
        <v>18951</v>
      </c>
    </row>
    <row r="468" spans="1:32" x14ac:dyDescent="0.35">
      <c r="A468" s="1">
        <v>40821</v>
      </c>
      <c r="B468" s="6">
        <v>2859701</v>
      </c>
      <c r="C468" s="6">
        <v>11037</v>
      </c>
      <c r="D468" s="6">
        <v>5200</v>
      </c>
      <c r="E468" s="6">
        <v>2257</v>
      </c>
      <c r="F468" s="6">
        <v>2744870</v>
      </c>
      <c r="G468" s="6">
        <v>2650936</v>
      </c>
      <c r="H468" s="6">
        <v>1671784</v>
      </c>
      <c r="I468" s="6">
        <v>18423</v>
      </c>
      <c r="J468" s="6">
        <v>1576077</v>
      </c>
      <c r="K468" s="6">
        <v>67597</v>
      </c>
      <c r="L468" s="6">
        <v>9688</v>
      </c>
      <c r="M468" s="6">
        <v>14641</v>
      </c>
      <c r="N468" s="6">
        <v>23926</v>
      </c>
      <c r="O468" s="6">
        <v>130712</v>
      </c>
      <c r="P468" s="6">
        <v>717655</v>
      </c>
      <c r="Q468" s="6">
        <v>583799</v>
      </c>
      <c r="R468" s="6">
        <v>201050</v>
      </c>
      <c r="S468" s="6">
        <v>108268</v>
      </c>
      <c r="T468" s="6">
        <v>870883</v>
      </c>
      <c r="U468" s="6">
        <v>85669</v>
      </c>
      <c r="V468" s="6">
        <v>-3130</v>
      </c>
      <c r="W468" s="6">
        <v>0</v>
      </c>
      <c r="X468" s="6">
        <v>11396</v>
      </c>
      <c r="Y468" s="6"/>
      <c r="Z468" s="6"/>
      <c r="AA468" s="6"/>
      <c r="AB468" s="6">
        <v>263</v>
      </c>
      <c r="AC468" s="6">
        <v>2181</v>
      </c>
      <c r="AD468" s="6">
        <v>500</v>
      </c>
      <c r="AE468" s="6">
        <v>26302</v>
      </c>
      <c r="AF468" s="6">
        <v>19734</v>
      </c>
    </row>
    <row r="469" spans="1:32" x14ac:dyDescent="0.35">
      <c r="A469" s="1">
        <v>40828</v>
      </c>
      <c r="B469" s="6">
        <v>2860822</v>
      </c>
      <c r="C469" s="6">
        <v>11037</v>
      </c>
      <c r="D469" s="6">
        <v>5200</v>
      </c>
      <c r="E469" s="6">
        <v>2255</v>
      </c>
      <c r="F469" s="6">
        <v>2743659</v>
      </c>
      <c r="G469" s="6">
        <v>2647918</v>
      </c>
      <c r="H469" s="6">
        <v>1668766</v>
      </c>
      <c r="I469" s="6">
        <v>18423</v>
      </c>
      <c r="J469" s="6">
        <v>1571429</v>
      </c>
      <c r="K469" s="6">
        <v>68966</v>
      </c>
      <c r="L469" s="6">
        <v>9949</v>
      </c>
      <c r="M469" s="6">
        <v>12138</v>
      </c>
      <c r="N469" s="6">
        <v>26430</v>
      </c>
      <c r="O469" s="6">
        <v>121847</v>
      </c>
      <c r="P469" s="6">
        <v>717664</v>
      </c>
      <c r="Q469" s="6">
        <v>583824</v>
      </c>
      <c r="R469" s="6">
        <v>206864</v>
      </c>
      <c r="S469" s="6">
        <v>108268</v>
      </c>
      <c r="T469" s="6">
        <v>870883</v>
      </c>
      <c r="U469" s="6">
        <v>87297</v>
      </c>
      <c r="V469" s="6">
        <v>-2949</v>
      </c>
      <c r="W469" s="6">
        <v>0</v>
      </c>
      <c r="X469" s="6">
        <v>11393</v>
      </c>
      <c r="Y469" s="6"/>
      <c r="Z469" s="6"/>
      <c r="AA469" s="6"/>
      <c r="AB469" s="6">
        <v>282</v>
      </c>
      <c r="AC469" s="6">
        <v>2182</v>
      </c>
      <c r="AD469" s="6">
        <v>500</v>
      </c>
      <c r="AE469" s="6">
        <v>26747</v>
      </c>
      <c r="AF469" s="6">
        <v>21531</v>
      </c>
    </row>
    <row r="470" spans="1:32" x14ac:dyDescent="0.35">
      <c r="A470" s="1">
        <v>40835</v>
      </c>
      <c r="B470" s="6">
        <v>2852390</v>
      </c>
      <c r="C470" s="6">
        <v>11037</v>
      </c>
      <c r="D470" s="6">
        <v>5200</v>
      </c>
      <c r="E470" s="6">
        <v>2283</v>
      </c>
      <c r="F470" s="6">
        <v>2736953</v>
      </c>
      <c r="G470" s="6">
        <v>2640000</v>
      </c>
      <c r="H470" s="6">
        <v>1670256</v>
      </c>
      <c r="I470" s="6">
        <v>18423</v>
      </c>
      <c r="J470" s="6">
        <v>1574540</v>
      </c>
      <c r="K470" s="6">
        <v>67596</v>
      </c>
      <c r="L470" s="6">
        <v>9698</v>
      </c>
      <c r="M470" s="6">
        <v>20035</v>
      </c>
      <c r="N470" s="6">
        <v>23217</v>
      </c>
      <c r="O470" s="6">
        <v>118104</v>
      </c>
      <c r="P470" s="6">
        <v>706195</v>
      </c>
      <c r="Q470" s="6">
        <v>593316</v>
      </c>
      <c r="R470" s="6">
        <v>209389</v>
      </c>
      <c r="S470" s="6">
        <v>107668</v>
      </c>
      <c r="T470" s="6">
        <v>862075</v>
      </c>
      <c r="U470" s="6">
        <v>88485</v>
      </c>
      <c r="V470" s="6">
        <v>-2786</v>
      </c>
      <c r="W470" s="6">
        <v>0</v>
      </c>
      <c r="X470" s="6">
        <v>11255</v>
      </c>
      <c r="Y470" s="6"/>
      <c r="Z470" s="6"/>
      <c r="AA470" s="6"/>
      <c r="AB470" s="6">
        <v>262</v>
      </c>
      <c r="AC470" s="6">
        <v>2183</v>
      </c>
      <c r="AD470" s="6">
        <v>1853</v>
      </c>
      <c r="AE470" s="6">
        <v>26799</v>
      </c>
      <c r="AF470" s="6">
        <v>21240</v>
      </c>
    </row>
    <row r="471" spans="1:32" x14ac:dyDescent="0.35">
      <c r="A471" s="1">
        <v>40842</v>
      </c>
      <c r="B471" s="6">
        <v>2845685</v>
      </c>
      <c r="C471" s="6">
        <v>11037</v>
      </c>
      <c r="D471" s="6">
        <v>5200</v>
      </c>
      <c r="E471" s="6">
        <v>2346</v>
      </c>
      <c r="F471" s="6">
        <v>2733327</v>
      </c>
      <c r="G471" s="6">
        <v>2634941</v>
      </c>
      <c r="H471" s="6">
        <v>1678012</v>
      </c>
      <c r="I471" s="6">
        <v>18423</v>
      </c>
      <c r="J471" s="6">
        <v>1582247</v>
      </c>
      <c r="K471" s="6">
        <v>67596</v>
      </c>
      <c r="L471" s="6">
        <v>9747</v>
      </c>
      <c r="M471" s="6">
        <v>16515</v>
      </c>
      <c r="N471" s="6">
        <v>26737</v>
      </c>
      <c r="O471" s="6">
        <v>117752</v>
      </c>
      <c r="P471" s="6">
        <v>697690</v>
      </c>
      <c r="Q471" s="6">
        <v>607404</v>
      </c>
      <c r="R471" s="6">
        <v>211914</v>
      </c>
      <c r="S471" s="6">
        <v>107668</v>
      </c>
      <c r="T471" s="6">
        <v>849261</v>
      </c>
      <c r="U471" s="6">
        <v>90073</v>
      </c>
      <c r="V471" s="6">
        <v>-2690</v>
      </c>
      <c r="W471" s="6">
        <v>0</v>
      </c>
      <c r="X471" s="6">
        <v>11004</v>
      </c>
      <c r="Y471" s="6"/>
      <c r="Z471" s="6"/>
      <c r="AA471" s="6"/>
      <c r="AB471" s="6">
        <v>329</v>
      </c>
      <c r="AC471" s="6">
        <v>2186</v>
      </c>
      <c r="AD471" s="6">
        <v>1853</v>
      </c>
      <c r="AE471" s="6">
        <v>26988</v>
      </c>
      <c r="AF471" s="6">
        <v>21208</v>
      </c>
    </row>
    <row r="472" spans="1:32" x14ac:dyDescent="0.35">
      <c r="A472" s="1">
        <v>40849</v>
      </c>
      <c r="B472" s="6">
        <v>2822034</v>
      </c>
      <c r="C472" s="6">
        <v>11037</v>
      </c>
      <c r="D472" s="6">
        <v>5200</v>
      </c>
      <c r="E472" s="6">
        <v>2301</v>
      </c>
      <c r="F472" s="6">
        <v>2709673</v>
      </c>
      <c r="G472" s="6">
        <v>2611124</v>
      </c>
      <c r="H472" s="6">
        <v>1654195</v>
      </c>
      <c r="I472" s="6">
        <v>18423</v>
      </c>
      <c r="J472" s="6">
        <v>1558113</v>
      </c>
      <c r="K472" s="6">
        <v>67862</v>
      </c>
      <c r="L472" s="6">
        <v>9798</v>
      </c>
      <c r="M472" s="6">
        <v>20150</v>
      </c>
      <c r="N472" s="6">
        <v>21217</v>
      </c>
      <c r="O472" s="6">
        <v>115531</v>
      </c>
      <c r="P472" s="6">
        <v>679266</v>
      </c>
      <c r="Q472" s="6">
        <v>603320</v>
      </c>
      <c r="R472" s="6">
        <v>214712</v>
      </c>
      <c r="S472" s="6">
        <v>107668</v>
      </c>
      <c r="T472" s="6">
        <v>849261</v>
      </c>
      <c r="U472" s="6">
        <v>90359</v>
      </c>
      <c r="V472" s="6">
        <v>-2649</v>
      </c>
      <c r="W472" s="6">
        <v>0</v>
      </c>
      <c r="X472" s="6">
        <v>10840</v>
      </c>
      <c r="Y472" s="6"/>
      <c r="Z472" s="6"/>
      <c r="AA472" s="6"/>
      <c r="AB472" s="6">
        <v>431</v>
      </c>
      <c r="AC472" s="6">
        <v>2178</v>
      </c>
      <c r="AD472" s="6">
        <v>1853</v>
      </c>
      <c r="AE472" s="6">
        <v>26711</v>
      </c>
      <c r="AF472" s="6">
        <v>21518</v>
      </c>
    </row>
    <row r="473" spans="1:32" x14ac:dyDescent="0.35">
      <c r="A473" s="1">
        <v>40856</v>
      </c>
      <c r="B473" s="6">
        <v>2839786</v>
      </c>
      <c r="C473" s="6">
        <v>11037</v>
      </c>
      <c r="D473" s="6">
        <v>5200</v>
      </c>
      <c r="E473" s="6">
        <v>2296</v>
      </c>
      <c r="F473" s="6">
        <v>2725537</v>
      </c>
      <c r="G473" s="6">
        <v>2625040</v>
      </c>
      <c r="H473" s="6">
        <v>1668111</v>
      </c>
      <c r="I473" s="6">
        <v>18423</v>
      </c>
      <c r="J473" s="6">
        <v>1570445</v>
      </c>
      <c r="K473" s="6">
        <v>69252</v>
      </c>
      <c r="L473" s="6">
        <v>9992</v>
      </c>
      <c r="M473" s="6">
        <v>13865</v>
      </c>
      <c r="N473" s="6">
        <v>27502</v>
      </c>
      <c r="O473" s="6">
        <v>115533</v>
      </c>
      <c r="P473" s="6">
        <v>679270</v>
      </c>
      <c r="Q473" s="6">
        <v>612962</v>
      </c>
      <c r="R473" s="6">
        <v>218979</v>
      </c>
      <c r="S473" s="6">
        <v>107668</v>
      </c>
      <c r="T473" s="6">
        <v>849261</v>
      </c>
      <c r="U473" s="6">
        <v>92523</v>
      </c>
      <c r="V473" s="6">
        <v>-2631</v>
      </c>
      <c r="W473" s="6">
        <v>0</v>
      </c>
      <c r="X473" s="6">
        <v>10605</v>
      </c>
      <c r="Y473" s="6"/>
      <c r="Z473" s="6"/>
      <c r="AA473" s="6"/>
      <c r="AB473" s="6">
        <v>307</v>
      </c>
      <c r="AC473" s="6">
        <v>2179</v>
      </c>
      <c r="AD473" s="6">
        <v>1960</v>
      </c>
      <c r="AE473" s="6">
        <v>26469</v>
      </c>
      <c r="AF473" s="6">
        <v>23538</v>
      </c>
    </row>
    <row r="474" spans="1:32" x14ac:dyDescent="0.35">
      <c r="A474" s="1">
        <v>40863</v>
      </c>
      <c r="B474" s="6">
        <v>2831576</v>
      </c>
      <c r="C474" s="6">
        <v>11037</v>
      </c>
      <c r="D474" s="6">
        <v>5200</v>
      </c>
      <c r="E474" s="6">
        <v>2282</v>
      </c>
      <c r="F474" s="6">
        <v>2727265</v>
      </c>
      <c r="G474" s="6">
        <v>2625316</v>
      </c>
      <c r="H474" s="6">
        <v>1675836</v>
      </c>
      <c r="I474" s="6">
        <v>18423</v>
      </c>
      <c r="J474" s="6">
        <v>1579718</v>
      </c>
      <c r="K474" s="6">
        <v>67922</v>
      </c>
      <c r="L474" s="6">
        <v>9774</v>
      </c>
      <c r="M474" s="6">
        <v>20989</v>
      </c>
      <c r="N474" s="6">
        <v>14869</v>
      </c>
      <c r="O474" s="6">
        <v>117004</v>
      </c>
      <c r="P474" s="6">
        <v>692252</v>
      </c>
      <c r="Q474" s="6">
        <v>604361</v>
      </c>
      <c r="R474" s="6">
        <v>226362</v>
      </c>
      <c r="S474" s="6">
        <v>107497</v>
      </c>
      <c r="T474" s="6">
        <v>841983</v>
      </c>
      <c r="U474" s="6">
        <v>94056</v>
      </c>
      <c r="V474" s="6">
        <v>-2611</v>
      </c>
      <c r="W474" s="6">
        <v>0</v>
      </c>
      <c r="X474" s="6">
        <v>10504</v>
      </c>
      <c r="Y474" s="6"/>
      <c r="Z474" s="6"/>
      <c r="AA474" s="6"/>
      <c r="AB474" s="6">
        <v>201</v>
      </c>
      <c r="AC474" s="6">
        <v>2181</v>
      </c>
      <c r="AD474" s="6">
        <v>2349</v>
      </c>
      <c r="AE474" s="6">
        <v>26493</v>
      </c>
      <c r="AF474" s="6">
        <v>16001</v>
      </c>
    </row>
    <row r="475" spans="1:32" x14ac:dyDescent="0.35">
      <c r="A475" s="1">
        <v>40870</v>
      </c>
      <c r="B475" s="6">
        <v>2821980</v>
      </c>
      <c r="C475" s="6">
        <v>11037</v>
      </c>
      <c r="D475" s="6">
        <v>5200</v>
      </c>
      <c r="E475" s="6">
        <v>2249</v>
      </c>
      <c r="F475" s="6">
        <v>2716009</v>
      </c>
      <c r="G475" s="6">
        <v>2612305</v>
      </c>
      <c r="H475" s="6">
        <v>1664795</v>
      </c>
      <c r="I475" s="6">
        <v>18423</v>
      </c>
      <c r="J475" s="6">
        <v>1568646</v>
      </c>
      <c r="K475" s="6">
        <v>67922</v>
      </c>
      <c r="L475" s="6">
        <v>9805</v>
      </c>
      <c r="M475" s="6">
        <v>17469</v>
      </c>
      <c r="N475" s="6">
        <v>27168</v>
      </c>
      <c r="O475" s="6">
        <v>99696</v>
      </c>
      <c r="P475" s="6">
        <v>674996</v>
      </c>
      <c r="Q475" s="6">
        <v>633612</v>
      </c>
      <c r="R475" s="6">
        <v>211854</v>
      </c>
      <c r="S475" s="6">
        <v>105909</v>
      </c>
      <c r="T475" s="6">
        <v>841600</v>
      </c>
      <c r="U475" s="6">
        <v>96380</v>
      </c>
      <c r="V475" s="6">
        <v>-2557</v>
      </c>
      <c r="W475" s="6">
        <v>0</v>
      </c>
      <c r="X475" s="6">
        <v>9882</v>
      </c>
      <c r="Y475" s="6"/>
      <c r="Z475" s="6"/>
      <c r="AA475" s="6"/>
      <c r="AB475" s="6">
        <v>330</v>
      </c>
      <c r="AC475" s="6">
        <v>2180</v>
      </c>
      <c r="AD475" s="6">
        <v>2400</v>
      </c>
      <c r="AE475" s="6">
        <v>26267</v>
      </c>
      <c r="AF475" s="6">
        <v>17726</v>
      </c>
    </row>
    <row r="476" spans="1:32" x14ac:dyDescent="0.35">
      <c r="A476" s="1">
        <v>40877</v>
      </c>
      <c r="B476" s="6">
        <v>2814235</v>
      </c>
      <c r="C476" s="6">
        <v>11037</v>
      </c>
      <c r="D476" s="6">
        <v>5200</v>
      </c>
      <c r="E476" s="6">
        <v>2247</v>
      </c>
      <c r="F476" s="6">
        <v>2709738</v>
      </c>
      <c r="G476" s="6">
        <v>2604999</v>
      </c>
      <c r="H476" s="6">
        <v>1672038</v>
      </c>
      <c r="I476" s="6">
        <v>18423</v>
      </c>
      <c r="J476" s="6">
        <v>1575363</v>
      </c>
      <c r="K476" s="6">
        <v>68420</v>
      </c>
      <c r="L476" s="6">
        <v>9832</v>
      </c>
      <c r="M476" s="6">
        <v>17057</v>
      </c>
      <c r="N476" s="6">
        <v>22596</v>
      </c>
      <c r="O476" s="6">
        <v>99698</v>
      </c>
      <c r="P476" s="6">
        <v>687122</v>
      </c>
      <c r="Q476" s="6">
        <v>631158</v>
      </c>
      <c r="R476" s="6">
        <v>214407</v>
      </c>
      <c r="S476" s="6">
        <v>105909</v>
      </c>
      <c r="T476" s="6">
        <v>827052</v>
      </c>
      <c r="U476" s="6">
        <v>97456</v>
      </c>
      <c r="V476" s="6">
        <v>-2539</v>
      </c>
      <c r="W476" s="6">
        <v>0</v>
      </c>
      <c r="X476" s="6">
        <v>9821</v>
      </c>
      <c r="Y476" s="6"/>
      <c r="Z476" s="6"/>
      <c r="AA476" s="6"/>
      <c r="AB476" s="6">
        <v>229</v>
      </c>
      <c r="AC476" s="6">
        <v>2187</v>
      </c>
      <c r="AD476" s="6">
        <v>2401</v>
      </c>
      <c r="AE476" s="6">
        <v>26380</v>
      </c>
      <c r="AF476" s="6">
        <v>16160</v>
      </c>
    </row>
    <row r="477" spans="1:32" x14ac:dyDescent="0.35">
      <c r="A477" s="1">
        <v>40884</v>
      </c>
      <c r="B477" s="6">
        <v>2820691</v>
      </c>
      <c r="C477" s="6">
        <v>11037</v>
      </c>
      <c r="D477" s="6">
        <v>5200</v>
      </c>
      <c r="E477" s="6">
        <v>2268</v>
      </c>
      <c r="F477" s="6">
        <v>2714481</v>
      </c>
      <c r="G477" s="6">
        <v>2607995</v>
      </c>
      <c r="H477" s="6">
        <v>1675034</v>
      </c>
      <c r="I477" s="6">
        <v>18423</v>
      </c>
      <c r="J477" s="6">
        <v>1578395</v>
      </c>
      <c r="K477" s="6">
        <v>68420</v>
      </c>
      <c r="L477" s="6">
        <v>9796</v>
      </c>
      <c r="M477" s="6">
        <v>14553</v>
      </c>
      <c r="N477" s="6">
        <v>26633</v>
      </c>
      <c r="O477" s="6">
        <v>104194</v>
      </c>
      <c r="P477" s="6">
        <v>672456</v>
      </c>
      <c r="Q477" s="6">
        <v>636050</v>
      </c>
      <c r="R477" s="6">
        <v>221149</v>
      </c>
      <c r="S477" s="6">
        <v>105909</v>
      </c>
      <c r="T477" s="6">
        <v>827052</v>
      </c>
      <c r="U477" s="6">
        <v>99377</v>
      </c>
      <c r="V477" s="6">
        <v>-2516</v>
      </c>
      <c r="W477" s="6">
        <v>0</v>
      </c>
      <c r="X477" s="6">
        <v>9626</v>
      </c>
      <c r="Y477" s="6"/>
      <c r="Z477" s="6"/>
      <c r="AA477" s="6"/>
      <c r="AB477" s="6">
        <v>328</v>
      </c>
      <c r="AC477" s="6">
        <v>2182</v>
      </c>
      <c r="AD477" s="6">
        <v>2301</v>
      </c>
      <c r="AE477" s="6">
        <v>26273</v>
      </c>
      <c r="AF477" s="6">
        <v>18028</v>
      </c>
    </row>
    <row r="478" spans="1:32" x14ac:dyDescent="0.35">
      <c r="A478" s="1">
        <v>40891</v>
      </c>
      <c r="B478" s="6">
        <v>2902488</v>
      </c>
      <c r="C478" s="6">
        <v>11037</v>
      </c>
      <c r="D478" s="6">
        <v>5200</v>
      </c>
      <c r="E478" s="6">
        <v>2280</v>
      </c>
      <c r="F478" s="6">
        <v>2746339</v>
      </c>
      <c r="G478" s="6">
        <v>2637462</v>
      </c>
      <c r="H478" s="6">
        <v>1673475</v>
      </c>
      <c r="I478" s="6">
        <v>18423</v>
      </c>
      <c r="J478" s="6">
        <v>1576894</v>
      </c>
      <c r="K478" s="6">
        <v>68468</v>
      </c>
      <c r="L478" s="6">
        <v>9690</v>
      </c>
      <c r="M478" s="6">
        <v>18420</v>
      </c>
      <c r="N478" s="6">
        <v>22766</v>
      </c>
      <c r="O478" s="6">
        <v>94393</v>
      </c>
      <c r="P478" s="6">
        <v>672064</v>
      </c>
      <c r="Q478" s="6">
        <v>640704</v>
      </c>
      <c r="R478" s="6">
        <v>225128</v>
      </c>
      <c r="S478" s="6">
        <v>105909</v>
      </c>
      <c r="T478" s="6">
        <v>858078</v>
      </c>
      <c r="U478" s="6">
        <v>101761</v>
      </c>
      <c r="V478" s="6">
        <v>-2472</v>
      </c>
      <c r="W478" s="6">
        <v>0</v>
      </c>
      <c r="X478" s="6">
        <v>9588</v>
      </c>
      <c r="Y478" s="6"/>
      <c r="Z478" s="6"/>
      <c r="AA478" s="6"/>
      <c r="AB478" s="6">
        <v>319</v>
      </c>
      <c r="AC478" s="6">
        <v>2184</v>
      </c>
      <c r="AD478" s="6">
        <v>54335</v>
      </c>
      <c r="AE478" s="6">
        <v>25774</v>
      </c>
      <c r="AF478" s="6">
        <v>20049</v>
      </c>
    </row>
    <row r="479" spans="1:32" x14ac:dyDescent="0.35">
      <c r="A479" s="1">
        <v>40898</v>
      </c>
      <c r="B479" s="6">
        <v>2916085</v>
      </c>
      <c r="C479" s="6">
        <v>11037</v>
      </c>
      <c r="D479" s="6">
        <v>5200</v>
      </c>
      <c r="E479" s="6">
        <v>2297</v>
      </c>
      <c r="F479" s="6">
        <v>2751364</v>
      </c>
      <c r="G479" s="6">
        <v>2640671</v>
      </c>
      <c r="H479" s="6">
        <v>1684249</v>
      </c>
      <c r="I479" s="6">
        <v>18423</v>
      </c>
      <c r="J479" s="6">
        <v>1587705</v>
      </c>
      <c r="K479" s="6">
        <v>68468</v>
      </c>
      <c r="L479" s="6">
        <v>9653</v>
      </c>
      <c r="M479" s="6">
        <v>15691</v>
      </c>
      <c r="N479" s="6">
        <v>27662</v>
      </c>
      <c r="O479" s="6">
        <v>87287</v>
      </c>
      <c r="P479" s="6">
        <v>667121</v>
      </c>
      <c r="Q479" s="6">
        <v>655879</v>
      </c>
      <c r="R479" s="6">
        <v>230610</v>
      </c>
      <c r="S479" s="6">
        <v>104696</v>
      </c>
      <c r="T479" s="6">
        <v>851726</v>
      </c>
      <c r="U479" s="6">
        <v>103599</v>
      </c>
      <c r="V479" s="6">
        <v>-2421</v>
      </c>
      <c r="W479" s="6">
        <v>0</v>
      </c>
      <c r="X479" s="6">
        <v>9514</v>
      </c>
      <c r="Y479" s="6"/>
      <c r="Z479" s="6"/>
      <c r="AA479" s="6"/>
      <c r="AB479" s="6">
        <v>191</v>
      </c>
      <c r="AC479" s="6">
        <v>2187</v>
      </c>
      <c r="AD479" s="6">
        <v>62599</v>
      </c>
      <c r="AE479" s="6">
        <v>25864</v>
      </c>
      <c r="AF479" s="6">
        <v>20324</v>
      </c>
    </row>
    <row r="480" spans="1:32" x14ac:dyDescent="0.35">
      <c r="A480" s="1">
        <v>40905</v>
      </c>
      <c r="B480" s="6">
        <v>2926095</v>
      </c>
      <c r="C480" s="6">
        <v>11037</v>
      </c>
      <c r="D480" s="6">
        <v>5200</v>
      </c>
      <c r="E480" s="6">
        <v>2306</v>
      </c>
      <c r="F480" s="6">
        <v>2723875</v>
      </c>
      <c r="G480" s="6">
        <v>2613382</v>
      </c>
      <c r="H480" s="6">
        <v>1672092</v>
      </c>
      <c r="I480" s="6">
        <v>18423</v>
      </c>
      <c r="J480" s="6">
        <v>1575584</v>
      </c>
      <c r="K480" s="6">
        <v>68468</v>
      </c>
      <c r="L480" s="6">
        <v>9617</v>
      </c>
      <c r="M480" s="6">
        <v>17847</v>
      </c>
      <c r="N480" s="6">
        <v>25506</v>
      </c>
      <c r="O480" s="6">
        <v>87285</v>
      </c>
      <c r="P480" s="6">
        <v>650378</v>
      </c>
      <c r="Q480" s="6">
        <v>660486</v>
      </c>
      <c r="R480" s="6">
        <v>230591</v>
      </c>
      <c r="S480" s="6">
        <v>103994</v>
      </c>
      <c r="T480" s="6">
        <v>837295</v>
      </c>
      <c r="U480" s="6">
        <v>103801</v>
      </c>
      <c r="V480" s="6">
        <v>-2390</v>
      </c>
      <c r="W480" s="6">
        <v>0</v>
      </c>
      <c r="X480" s="6">
        <v>9082</v>
      </c>
      <c r="Y480" s="6"/>
      <c r="Z480" s="6"/>
      <c r="AA480" s="6"/>
      <c r="AB480" s="6">
        <v>358</v>
      </c>
      <c r="AC480" s="6">
        <v>2188</v>
      </c>
      <c r="AD480" s="6">
        <v>99823</v>
      </c>
      <c r="AE480" s="6">
        <v>25748</v>
      </c>
      <c r="AF480" s="6">
        <v>20502</v>
      </c>
    </row>
    <row r="481" spans="1:32" x14ac:dyDescent="0.35">
      <c r="A481" s="1">
        <v>40912</v>
      </c>
      <c r="B481" s="6">
        <v>2917689</v>
      </c>
      <c r="C481" s="6">
        <v>11037</v>
      </c>
      <c r="D481" s="6">
        <v>5200</v>
      </c>
      <c r="E481" s="6">
        <v>2316</v>
      </c>
      <c r="F481" s="6">
        <v>2715241</v>
      </c>
      <c r="G481" s="6">
        <v>2605171</v>
      </c>
      <c r="H481" s="6">
        <v>1663438</v>
      </c>
      <c r="I481" s="6">
        <v>18423</v>
      </c>
      <c r="J481" s="6">
        <v>1566954</v>
      </c>
      <c r="K481" s="6">
        <v>68468</v>
      </c>
      <c r="L481" s="6">
        <v>9593</v>
      </c>
      <c r="M481" s="6">
        <v>16822</v>
      </c>
      <c r="N481" s="6">
        <v>25675</v>
      </c>
      <c r="O481" s="6">
        <v>87548</v>
      </c>
      <c r="P481" s="6">
        <v>651964</v>
      </c>
      <c r="Q481" s="6">
        <v>650850</v>
      </c>
      <c r="R481" s="6">
        <v>230578</v>
      </c>
      <c r="S481" s="6">
        <v>103994</v>
      </c>
      <c r="T481" s="6">
        <v>837739</v>
      </c>
      <c r="U481" s="6">
        <v>103470</v>
      </c>
      <c r="V481" s="6">
        <v>-2380</v>
      </c>
      <c r="W481" s="6">
        <v>0</v>
      </c>
      <c r="X481" s="6">
        <v>8980</v>
      </c>
      <c r="Y481" s="6"/>
      <c r="Z481" s="6"/>
      <c r="AA481" s="6"/>
      <c r="AB481" s="6">
        <v>514</v>
      </c>
      <c r="AC481" s="6">
        <v>2182</v>
      </c>
      <c r="AD481" s="6">
        <v>99823</v>
      </c>
      <c r="AE481" s="6">
        <v>25957</v>
      </c>
      <c r="AF481" s="6">
        <v>20439</v>
      </c>
    </row>
    <row r="482" spans="1:32" x14ac:dyDescent="0.35">
      <c r="A482" s="1">
        <v>40919</v>
      </c>
      <c r="B482" s="6">
        <v>2899149</v>
      </c>
      <c r="C482" s="6">
        <v>11037</v>
      </c>
      <c r="D482" s="6">
        <v>5200</v>
      </c>
      <c r="E482" s="6">
        <v>2345</v>
      </c>
      <c r="F482" s="6">
        <v>2703647</v>
      </c>
      <c r="G482" s="6">
        <v>2593519</v>
      </c>
      <c r="H482" s="6">
        <v>1650843</v>
      </c>
      <c r="I482" s="6">
        <v>18423</v>
      </c>
      <c r="J482" s="6">
        <v>1554407</v>
      </c>
      <c r="K482" s="6">
        <v>68508</v>
      </c>
      <c r="L482" s="6">
        <v>9505</v>
      </c>
      <c r="M482" s="6">
        <v>20689</v>
      </c>
      <c r="N482" s="6">
        <v>21808</v>
      </c>
      <c r="O482" s="6">
        <v>77964</v>
      </c>
      <c r="P482" s="6">
        <v>642585</v>
      </c>
      <c r="Q482" s="6">
        <v>655779</v>
      </c>
      <c r="R482" s="6">
        <v>232019</v>
      </c>
      <c r="S482" s="6">
        <v>102401</v>
      </c>
      <c r="T482" s="6">
        <v>840274</v>
      </c>
      <c r="U482" s="6">
        <v>103855</v>
      </c>
      <c r="V482" s="6">
        <v>-2354</v>
      </c>
      <c r="W482" s="6">
        <v>0</v>
      </c>
      <c r="X482" s="6">
        <v>8628</v>
      </c>
      <c r="Y482" s="6"/>
      <c r="Z482" s="6"/>
      <c r="AA482" s="6"/>
      <c r="AB482" s="6">
        <v>307</v>
      </c>
      <c r="AC482" s="6">
        <v>2182</v>
      </c>
      <c r="AD482" s="6">
        <v>91459</v>
      </c>
      <c r="AE482" s="6">
        <v>25665</v>
      </c>
      <c r="AF482" s="6">
        <v>22238</v>
      </c>
    </row>
    <row r="483" spans="1:32" x14ac:dyDescent="0.35">
      <c r="A483" s="1">
        <v>40926</v>
      </c>
      <c r="B483" s="6">
        <v>2919423</v>
      </c>
      <c r="C483" s="6">
        <v>11037</v>
      </c>
      <c r="D483" s="6">
        <v>5200</v>
      </c>
      <c r="E483" s="6">
        <v>2370</v>
      </c>
      <c r="F483" s="6">
        <v>2712716</v>
      </c>
      <c r="G483" s="6">
        <v>2600438</v>
      </c>
      <c r="H483" s="6">
        <v>1651506</v>
      </c>
      <c r="I483" s="6">
        <v>18423</v>
      </c>
      <c r="J483" s="6">
        <v>1555200</v>
      </c>
      <c r="K483" s="6">
        <v>68418</v>
      </c>
      <c r="L483" s="6">
        <v>9466</v>
      </c>
      <c r="M483" s="6">
        <v>14630</v>
      </c>
      <c r="N483" s="6">
        <v>35186</v>
      </c>
      <c r="O483" s="6">
        <v>66893</v>
      </c>
      <c r="P483" s="6">
        <v>638088</v>
      </c>
      <c r="Q483" s="6">
        <v>659004</v>
      </c>
      <c r="R483" s="6">
        <v>237705</v>
      </c>
      <c r="S483" s="6">
        <v>101498</v>
      </c>
      <c r="T483" s="6">
        <v>847434</v>
      </c>
      <c r="U483" s="6">
        <v>106010</v>
      </c>
      <c r="V483" s="6">
        <v>-2329</v>
      </c>
      <c r="W483" s="6">
        <v>0</v>
      </c>
      <c r="X483" s="6">
        <v>8596</v>
      </c>
      <c r="Y483" s="6"/>
      <c r="Z483" s="6"/>
      <c r="AA483" s="6"/>
      <c r="AB483" s="6">
        <v>391</v>
      </c>
      <c r="AC483" s="6">
        <v>2182</v>
      </c>
      <c r="AD483" s="6">
        <v>103266</v>
      </c>
      <c r="AE483" s="6">
        <v>25831</v>
      </c>
      <c r="AF483" s="6">
        <v>21827</v>
      </c>
    </row>
    <row r="484" spans="1:32" x14ac:dyDescent="0.35">
      <c r="A484" s="1">
        <v>40933</v>
      </c>
      <c r="B484" s="6">
        <v>2919545</v>
      </c>
      <c r="C484" s="6">
        <v>11037</v>
      </c>
      <c r="D484" s="6">
        <v>5200</v>
      </c>
      <c r="E484" s="6">
        <v>2413</v>
      </c>
      <c r="F484" s="6">
        <v>2712407</v>
      </c>
      <c r="G484" s="6">
        <v>2598650</v>
      </c>
      <c r="H484" s="6">
        <v>1661529</v>
      </c>
      <c r="I484" s="6">
        <v>18423</v>
      </c>
      <c r="J484" s="6">
        <v>1565237</v>
      </c>
      <c r="K484" s="6">
        <v>68418</v>
      </c>
      <c r="L484" s="6">
        <v>9451</v>
      </c>
      <c r="M484" s="6">
        <v>16786</v>
      </c>
      <c r="N484" s="6">
        <v>33029</v>
      </c>
      <c r="O484" s="6">
        <v>66892</v>
      </c>
      <c r="P484" s="6">
        <v>629346</v>
      </c>
      <c r="Q484" s="6">
        <v>673510</v>
      </c>
      <c r="R484" s="6">
        <v>241966</v>
      </c>
      <c r="S484" s="6">
        <v>101498</v>
      </c>
      <c r="T484" s="6">
        <v>835624</v>
      </c>
      <c r="U484" s="6">
        <v>107900</v>
      </c>
      <c r="V484" s="6">
        <v>-2324</v>
      </c>
      <c r="W484" s="6">
        <v>0</v>
      </c>
      <c r="X484" s="6">
        <v>8180</v>
      </c>
      <c r="Y484" s="6"/>
      <c r="Z484" s="6"/>
      <c r="AA484" s="6"/>
      <c r="AB484" s="6">
        <v>202</v>
      </c>
      <c r="AC484" s="6">
        <v>2183</v>
      </c>
      <c r="AD484" s="6">
        <v>103171</v>
      </c>
      <c r="AE484" s="6">
        <v>25793</v>
      </c>
      <c r="AF484" s="6">
        <v>22148</v>
      </c>
    </row>
    <row r="485" spans="1:32" x14ac:dyDescent="0.35">
      <c r="A485" s="1">
        <v>40940</v>
      </c>
      <c r="B485" s="6">
        <v>2924947</v>
      </c>
      <c r="C485" s="6">
        <v>11037</v>
      </c>
      <c r="D485" s="6">
        <v>5200</v>
      </c>
      <c r="E485" s="6">
        <v>2437</v>
      </c>
      <c r="F485" s="6">
        <v>2715318</v>
      </c>
      <c r="G485" s="6">
        <v>2599969</v>
      </c>
      <c r="H485" s="6">
        <v>1662459</v>
      </c>
      <c r="I485" s="6">
        <v>18423</v>
      </c>
      <c r="J485" s="6">
        <v>1565905</v>
      </c>
      <c r="K485" s="6">
        <v>68700</v>
      </c>
      <c r="L485" s="6">
        <v>9431</v>
      </c>
      <c r="M485" s="6">
        <v>20917</v>
      </c>
      <c r="N485" s="6">
        <v>29843</v>
      </c>
      <c r="O485" s="6">
        <v>66278</v>
      </c>
      <c r="P485" s="6">
        <v>625531</v>
      </c>
      <c r="Q485" s="6">
        <v>672891</v>
      </c>
      <c r="R485" s="6">
        <v>246999</v>
      </c>
      <c r="S485" s="6">
        <v>101498</v>
      </c>
      <c r="T485" s="6">
        <v>836012</v>
      </c>
      <c r="U485" s="6">
        <v>109510</v>
      </c>
      <c r="V485" s="6">
        <v>-2304</v>
      </c>
      <c r="W485" s="6">
        <v>0</v>
      </c>
      <c r="X485" s="6">
        <v>8142</v>
      </c>
      <c r="Y485" s="6"/>
      <c r="Z485" s="6"/>
      <c r="AA485" s="6"/>
      <c r="AB485" s="6">
        <v>202</v>
      </c>
      <c r="AC485" s="6">
        <v>2175</v>
      </c>
      <c r="AD485" s="6">
        <v>104454</v>
      </c>
      <c r="AE485" s="6">
        <v>26363</v>
      </c>
      <c r="AF485" s="6">
        <v>22743</v>
      </c>
    </row>
    <row r="486" spans="1:32" x14ac:dyDescent="0.35">
      <c r="A486" s="1">
        <v>40947</v>
      </c>
      <c r="B486" s="6">
        <v>2928275</v>
      </c>
      <c r="C486" s="6">
        <v>11037</v>
      </c>
      <c r="D486" s="6">
        <v>5200</v>
      </c>
      <c r="E486" s="6">
        <v>2447</v>
      </c>
      <c r="F486" s="6">
        <v>2715149</v>
      </c>
      <c r="G486" s="6">
        <v>2598220</v>
      </c>
      <c r="H486" s="6">
        <v>1660692</v>
      </c>
      <c r="I486" s="6">
        <v>18423</v>
      </c>
      <c r="J486" s="6">
        <v>1565806</v>
      </c>
      <c r="K486" s="6">
        <v>67370</v>
      </c>
      <c r="L486" s="6">
        <v>9093</v>
      </c>
      <c r="M486" s="6">
        <v>24784</v>
      </c>
      <c r="N486" s="6">
        <v>25975</v>
      </c>
      <c r="O486" s="6">
        <v>56826</v>
      </c>
      <c r="P486" s="6">
        <v>624741</v>
      </c>
      <c r="Q486" s="6">
        <v>677832</v>
      </c>
      <c r="R486" s="6">
        <v>250533</v>
      </c>
      <c r="S486" s="6">
        <v>101498</v>
      </c>
      <c r="T486" s="6">
        <v>836030</v>
      </c>
      <c r="U486" s="6">
        <v>111092</v>
      </c>
      <c r="V486" s="6">
        <v>-2295</v>
      </c>
      <c r="W486" s="6">
        <v>0</v>
      </c>
      <c r="X486" s="6">
        <v>8132</v>
      </c>
      <c r="Y486" s="6"/>
      <c r="Z486" s="6"/>
      <c r="AA486" s="6"/>
      <c r="AB486" s="6">
        <v>170</v>
      </c>
      <c r="AC486" s="6">
        <v>2177</v>
      </c>
      <c r="AD486" s="6">
        <v>108757</v>
      </c>
      <c r="AE486" s="6">
        <v>26285</v>
      </c>
      <c r="AF486" s="6">
        <v>24672</v>
      </c>
    </row>
    <row r="487" spans="1:32" x14ac:dyDescent="0.35">
      <c r="A487" s="1">
        <v>40954</v>
      </c>
      <c r="B487" s="6">
        <v>2937893</v>
      </c>
      <c r="C487" s="6">
        <v>11037</v>
      </c>
      <c r="D487" s="6">
        <v>5200</v>
      </c>
      <c r="E487" s="6">
        <v>2429</v>
      </c>
      <c r="F487" s="6">
        <v>2735569</v>
      </c>
      <c r="G487" s="6">
        <v>2616375</v>
      </c>
      <c r="H487" s="6">
        <v>1667071</v>
      </c>
      <c r="I487" s="6">
        <v>18423</v>
      </c>
      <c r="J487" s="6">
        <v>1570729</v>
      </c>
      <c r="K487" s="6">
        <v>68760</v>
      </c>
      <c r="L487" s="6">
        <v>9159</v>
      </c>
      <c r="M487" s="6">
        <v>14018</v>
      </c>
      <c r="N487" s="6">
        <v>32465</v>
      </c>
      <c r="O487" s="6">
        <v>52321</v>
      </c>
      <c r="P487" s="6">
        <v>627102</v>
      </c>
      <c r="Q487" s="6">
        <v>680651</v>
      </c>
      <c r="R487" s="6">
        <v>260513</v>
      </c>
      <c r="S487" s="6">
        <v>101498</v>
      </c>
      <c r="T487" s="6">
        <v>847806</v>
      </c>
      <c r="U487" s="6">
        <v>113549</v>
      </c>
      <c r="V487" s="6">
        <v>-2350</v>
      </c>
      <c r="W487" s="6">
        <v>0</v>
      </c>
      <c r="X487" s="6">
        <v>7995</v>
      </c>
      <c r="Y487" s="6"/>
      <c r="Z487" s="6"/>
      <c r="AA487" s="6"/>
      <c r="AB487" s="6">
        <v>25</v>
      </c>
      <c r="AC487" s="6">
        <v>2177</v>
      </c>
      <c r="AD487" s="6">
        <v>109088</v>
      </c>
      <c r="AE487" s="6">
        <v>25906</v>
      </c>
      <c r="AF487" s="6">
        <v>14861</v>
      </c>
    </row>
    <row r="488" spans="1:32" x14ac:dyDescent="0.35">
      <c r="A488" s="1">
        <v>40961</v>
      </c>
      <c r="B488" s="6">
        <v>2932813</v>
      </c>
      <c r="C488" s="6">
        <v>11037</v>
      </c>
      <c r="D488" s="6">
        <v>5200</v>
      </c>
      <c r="E488" s="6">
        <v>2406</v>
      </c>
      <c r="F488" s="6">
        <v>2729822</v>
      </c>
      <c r="G488" s="6">
        <v>2610443</v>
      </c>
      <c r="H488" s="6">
        <v>1656581</v>
      </c>
      <c r="I488" s="6">
        <v>18423</v>
      </c>
      <c r="J488" s="6">
        <v>1560286</v>
      </c>
      <c r="K488" s="6">
        <v>68760</v>
      </c>
      <c r="L488" s="6">
        <v>9112</v>
      </c>
      <c r="M488" s="6">
        <v>16174</v>
      </c>
      <c r="N488" s="6">
        <v>30308</v>
      </c>
      <c r="O488" s="6">
        <v>58928</v>
      </c>
      <c r="P488" s="6">
        <v>603274</v>
      </c>
      <c r="Q488" s="6">
        <v>688526</v>
      </c>
      <c r="R488" s="6">
        <v>259371</v>
      </c>
      <c r="S488" s="6">
        <v>100817</v>
      </c>
      <c r="T488" s="6">
        <v>853045</v>
      </c>
      <c r="U488" s="6">
        <v>114084</v>
      </c>
      <c r="V488" s="6">
        <v>-2337</v>
      </c>
      <c r="W488" s="6">
        <v>0</v>
      </c>
      <c r="X488" s="6">
        <v>7632</v>
      </c>
      <c r="Y488" s="6"/>
      <c r="Z488" s="6"/>
      <c r="AA488" s="6"/>
      <c r="AB488" s="6">
        <v>209</v>
      </c>
      <c r="AC488" s="6">
        <v>2178</v>
      </c>
      <c r="AD488" s="6">
        <v>107959</v>
      </c>
      <c r="AE488" s="6">
        <v>25777</v>
      </c>
      <c r="AF488" s="6">
        <v>16579</v>
      </c>
    </row>
    <row r="489" spans="1:32" x14ac:dyDescent="0.35">
      <c r="A489" s="1">
        <v>40968</v>
      </c>
      <c r="B489" s="6">
        <v>2925722</v>
      </c>
      <c r="C489" s="6">
        <v>11037</v>
      </c>
      <c r="D489" s="6">
        <v>5200</v>
      </c>
      <c r="E489" s="6">
        <v>2383</v>
      </c>
      <c r="F489" s="6">
        <v>2723318</v>
      </c>
      <c r="G489" s="6">
        <v>2603213</v>
      </c>
      <c r="H489" s="6">
        <v>1661601</v>
      </c>
      <c r="I489" s="6">
        <v>18423</v>
      </c>
      <c r="J489" s="6">
        <v>1565224</v>
      </c>
      <c r="K489" s="6">
        <v>68888</v>
      </c>
      <c r="L489" s="6">
        <v>9066</v>
      </c>
      <c r="M489" s="6">
        <v>16720</v>
      </c>
      <c r="N489" s="6">
        <v>28228</v>
      </c>
      <c r="O489" s="6">
        <v>64782</v>
      </c>
      <c r="P489" s="6">
        <v>600747</v>
      </c>
      <c r="Q489" s="6">
        <v>687885</v>
      </c>
      <c r="R489" s="6">
        <v>263238</v>
      </c>
      <c r="S489" s="6">
        <v>100817</v>
      </c>
      <c r="T489" s="6">
        <v>840795</v>
      </c>
      <c r="U489" s="6">
        <v>114845</v>
      </c>
      <c r="V489" s="6">
        <v>-2319</v>
      </c>
      <c r="W489" s="6">
        <v>0</v>
      </c>
      <c r="X489" s="6">
        <v>7580</v>
      </c>
      <c r="Y489" s="6"/>
      <c r="Z489" s="6"/>
      <c r="AA489" s="6"/>
      <c r="AB489" s="6">
        <v>154</v>
      </c>
      <c r="AC489" s="6">
        <v>2388</v>
      </c>
      <c r="AD489" s="6">
        <v>107763</v>
      </c>
      <c r="AE489" s="6">
        <v>25804</v>
      </c>
      <c r="AF489" s="6">
        <v>15497</v>
      </c>
    </row>
    <row r="490" spans="1:32" x14ac:dyDescent="0.35">
      <c r="A490" s="1">
        <v>40975</v>
      </c>
      <c r="B490" s="6">
        <v>2884747</v>
      </c>
      <c r="C490" s="6">
        <v>11037</v>
      </c>
      <c r="D490" s="6">
        <v>5200</v>
      </c>
      <c r="E490" s="6">
        <v>2362</v>
      </c>
      <c r="F490" s="6">
        <v>2720836</v>
      </c>
      <c r="G490" s="6">
        <v>2599878</v>
      </c>
      <c r="H490" s="6">
        <v>1659279</v>
      </c>
      <c r="I490" s="6">
        <v>18423</v>
      </c>
      <c r="J490" s="6">
        <v>1564429</v>
      </c>
      <c r="K490" s="6">
        <v>67558</v>
      </c>
      <c r="L490" s="6">
        <v>8869</v>
      </c>
      <c r="M490" s="6">
        <v>20587</v>
      </c>
      <c r="N490" s="6">
        <v>24364</v>
      </c>
      <c r="O490" s="6">
        <v>55708</v>
      </c>
      <c r="P490" s="6">
        <v>599626</v>
      </c>
      <c r="Q490" s="6">
        <v>691931</v>
      </c>
      <c r="R490" s="6">
        <v>267063</v>
      </c>
      <c r="S490" s="6">
        <v>99803</v>
      </c>
      <c r="T490" s="6">
        <v>840796</v>
      </c>
      <c r="U490" s="6">
        <v>115835</v>
      </c>
      <c r="V490" s="6">
        <v>-2307</v>
      </c>
      <c r="W490" s="6">
        <v>0</v>
      </c>
      <c r="X490" s="6">
        <v>7430</v>
      </c>
      <c r="Y490" s="6"/>
      <c r="Z490" s="6"/>
      <c r="AA490" s="6"/>
      <c r="AB490" s="6">
        <v>165</v>
      </c>
      <c r="AC490" s="6">
        <v>2385</v>
      </c>
      <c r="AD490" s="6">
        <v>71386</v>
      </c>
      <c r="AE490" s="6">
        <v>25566</v>
      </c>
      <c r="AF490" s="6">
        <v>17178</v>
      </c>
    </row>
    <row r="491" spans="1:32" x14ac:dyDescent="0.35">
      <c r="A491" s="1">
        <v>40982</v>
      </c>
      <c r="B491" s="6">
        <v>2893560</v>
      </c>
      <c r="C491" s="6">
        <v>11037</v>
      </c>
      <c r="D491" s="6">
        <v>5200</v>
      </c>
      <c r="E491" s="6">
        <v>2342</v>
      </c>
      <c r="F491" s="6">
        <v>2736140</v>
      </c>
      <c r="G491" s="6">
        <v>2613456</v>
      </c>
      <c r="H491" s="6">
        <v>1659768</v>
      </c>
      <c r="I491" s="6">
        <v>18423</v>
      </c>
      <c r="J491" s="6">
        <v>1564842</v>
      </c>
      <c r="K491" s="6">
        <v>67558</v>
      </c>
      <c r="L491" s="6">
        <v>8945</v>
      </c>
      <c r="M491" s="6">
        <v>17067</v>
      </c>
      <c r="N491" s="6">
        <v>27886</v>
      </c>
      <c r="O491" s="6">
        <v>55709</v>
      </c>
      <c r="P491" s="6">
        <v>591007</v>
      </c>
      <c r="Q491" s="6">
        <v>697055</v>
      </c>
      <c r="R491" s="6">
        <v>271044</v>
      </c>
      <c r="S491" s="6">
        <v>99803</v>
      </c>
      <c r="T491" s="6">
        <v>853885</v>
      </c>
      <c r="U491" s="6">
        <v>117592</v>
      </c>
      <c r="V491" s="6">
        <v>-2289</v>
      </c>
      <c r="W491" s="6">
        <v>0</v>
      </c>
      <c r="X491" s="6">
        <v>7381</v>
      </c>
      <c r="Y491" s="6"/>
      <c r="Z491" s="6"/>
      <c r="AA491" s="6"/>
      <c r="AB491" s="6">
        <v>226</v>
      </c>
      <c r="AC491" s="6">
        <v>2384</v>
      </c>
      <c r="AD491" s="6">
        <v>64873</v>
      </c>
      <c r="AE491" s="6">
        <v>25064</v>
      </c>
      <c r="AF491" s="6">
        <v>19038</v>
      </c>
    </row>
    <row r="492" spans="1:32" x14ac:dyDescent="0.35">
      <c r="A492" s="1">
        <v>40989</v>
      </c>
      <c r="B492" s="6">
        <v>2892646</v>
      </c>
      <c r="C492" s="6">
        <v>11037</v>
      </c>
      <c r="D492" s="6">
        <v>5200</v>
      </c>
      <c r="E492" s="6">
        <v>2327</v>
      </c>
      <c r="F492" s="6">
        <v>2737615</v>
      </c>
      <c r="G492" s="6">
        <v>2613737</v>
      </c>
      <c r="H492" s="6">
        <v>1663484</v>
      </c>
      <c r="I492" s="6">
        <v>18423</v>
      </c>
      <c r="J492" s="6">
        <v>1567314</v>
      </c>
      <c r="K492" s="6">
        <v>68667</v>
      </c>
      <c r="L492" s="6">
        <v>9081</v>
      </c>
      <c r="M492" s="6">
        <v>16991</v>
      </c>
      <c r="N492" s="6">
        <v>28040</v>
      </c>
      <c r="O492" s="6">
        <v>53727</v>
      </c>
      <c r="P492" s="6">
        <v>581934</v>
      </c>
      <c r="Q492" s="6">
        <v>707665</v>
      </c>
      <c r="R492" s="6">
        <v>275127</v>
      </c>
      <c r="S492" s="6">
        <v>98992</v>
      </c>
      <c r="T492" s="6">
        <v>851260</v>
      </c>
      <c r="U492" s="6">
        <v>118924</v>
      </c>
      <c r="V492" s="6">
        <v>-2345</v>
      </c>
      <c r="W492" s="6">
        <v>0</v>
      </c>
      <c r="X492" s="6">
        <v>7299</v>
      </c>
      <c r="Y492" s="6"/>
      <c r="Z492" s="6"/>
      <c r="AA492" s="6"/>
      <c r="AB492" s="6">
        <v>124</v>
      </c>
      <c r="AC492" s="6">
        <v>2385</v>
      </c>
      <c r="AD492" s="6">
        <v>65593</v>
      </c>
      <c r="AE492" s="6">
        <v>25265</v>
      </c>
      <c r="AF492" s="6">
        <v>19380</v>
      </c>
    </row>
    <row r="493" spans="1:32" x14ac:dyDescent="0.35">
      <c r="A493" s="1">
        <v>40996</v>
      </c>
      <c r="B493" s="6">
        <v>2878137</v>
      </c>
      <c r="C493" s="6">
        <v>11037</v>
      </c>
      <c r="D493" s="6">
        <v>5200</v>
      </c>
      <c r="E493" s="6">
        <v>2319</v>
      </c>
      <c r="F493" s="6">
        <v>2723385</v>
      </c>
      <c r="G493" s="6">
        <v>2598175</v>
      </c>
      <c r="H493" s="6">
        <v>1664911</v>
      </c>
      <c r="I493" s="6">
        <v>18423</v>
      </c>
      <c r="J493" s="6">
        <v>1568664</v>
      </c>
      <c r="K493" s="6">
        <v>68667</v>
      </c>
      <c r="L493" s="6">
        <v>9158</v>
      </c>
      <c r="M493" s="6">
        <v>14488</v>
      </c>
      <c r="N493" s="6">
        <v>30546</v>
      </c>
      <c r="O493" s="6">
        <v>52099</v>
      </c>
      <c r="P493" s="6">
        <v>574954</v>
      </c>
      <c r="Q493" s="6">
        <v>711708</v>
      </c>
      <c r="R493" s="6">
        <v>281117</v>
      </c>
      <c r="S493" s="6">
        <v>96478</v>
      </c>
      <c r="T493" s="6">
        <v>836786</v>
      </c>
      <c r="U493" s="6">
        <v>120476</v>
      </c>
      <c r="V493" s="6">
        <v>-2327</v>
      </c>
      <c r="W493" s="6">
        <v>0</v>
      </c>
      <c r="X493" s="6">
        <v>7061</v>
      </c>
      <c r="Y493" s="6"/>
      <c r="Z493" s="6"/>
      <c r="AA493" s="6"/>
      <c r="AB493" s="6">
        <v>36</v>
      </c>
      <c r="AC493" s="6">
        <v>2383</v>
      </c>
      <c r="AD493" s="6">
        <v>65068</v>
      </c>
      <c r="AE493" s="6">
        <v>25504</v>
      </c>
      <c r="AF493" s="6">
        <v>19482</v>
      </c>
    </row>
    <row r="494" spans="1:32" x14ac:dyDescent="0.35">
      <c r="A494" s="1">
        <v>41003</v>
      </c>
      <c r="B494" s="6">
        <v>2865478</v>
      </c>
      <c r="C494" s="6">
        <v>11037</v>
      </c>
      <c r="D494" s="6">
        <v>5200</v>
      </c>
      <c r="E494" s="6">
        <v>2293</v>
      </c>
      <c r="F494" s="6">
        <v>2729571</v>
      </c>
      <c r="G494" s="6">
        <v>2602642</v>
      </c>
      <c r="H494" s="6">
        <v>1669371</v>
      </c>
      <c r="I494" s="6">
        <v>18423</v>
      </c>
      <c r="J494" s="6">
        <v>1571487</v>
      </c>
      <c r="K494" s="6">
        <v>70014</v>
      </c>
      <c r="L494" s="6">
        <v>9447</v>
      </c>
      <c r="M494" s="6">
        <v>28011</v>
      </c>
      <c r="N494" s="6">
        <v>15684</v>
      </c>
      <c r="O494" s="6">
        <v>54185</v>
      </c>
      <c r="P494" s="6">
        <v>575290</v>
      </c>
      <c r="Q494" s="6">
        <v>711791</v>
      </c>
      <c r="R494" s="6">
        <v>284409</v>
      </c>
      <c r="S494" s="6">
        <v>96478</v>
      </c>
      <c r="T494" s="6">
        <v>836793</v>
      </c>
      <c r="U494" s="6">
        <v>122179</v>
      </c>
      <c r="V494" s="6">
        <v>-2322</v>
      </c>
      <c r="W494" s="6">
        <v>0</v>
      </c>
      <c r="X494" s="6">
        <v>7072</v>
      </c>
      <c r="Y494" s="6"/>
      <c r="Z494" s="6"/>
      <c r="AA494" s="6"/>
      <c r="AB494" s="6">
        <v>-587</v>
      </c>
      <c r="AC494" s="6">
        <v>2352</v>
      </c>
      <c r="AD494" s="6">
        <v>46482</v>
      </c>
      <c r="AE494" s="6">
        <v>25336</v>
      </c>
      <c r="AF494" s="6">
        <v>19998</v>
      </c>
    </row>
    <row r="495" spans="1:32" x14ac:dyDescent="0.35">
      <c r="A495" s="1">
        <v>41010</v>
      </c>
      <c r="B495" s="6">
        <v>2867200</v>
      </c>
      <c r="C495" s="6">
        <v>11037</v>
      </c>
      <c r="D495" s="6">
        <v>5200</v>
      </c>
      <c r="E495" s="6">
        <v>2269</v>
      </c>
      <c r="F495" s="6">
        <v>2742270</v>
      </c>
      <c r="G495" s="6">
        <v>2614364</v>
      </c>
      <c r="H495" s="6">
        <v>1681093</v>
      </c>
      <c r="I495" s="6">
        <v>18423</v>
      </c>
      <c r="J495" s="6">
        <v>1584710</v>
      </c>
      <c r="K495" s="6">
        <v>68754</v>
      </c>
      <c r="L495" s="6">
        <v>9206</v>
      </c>
      <c r="M495" s="6">
        <v>24493</v>
      </c>
      <c r="N495" s="6">
        <v>19204</v>
      </c>
      <c r="O495" s="6">
        <v>52712</v>
      </c>
      <c r="P495" s="6">
        <v>575194</v>
      </c>
      <c r="Q495" s="6">
        <v>721325</v>
      </c>
      <c r="R495" s="6">
        <v>288165</v>
      </c>
      <c r="S495" s="6">
        <v>96478</v>
      </c>
      <c r="T495" s="6">
        <v>836793</v>
      </c>
      <c r="U495" s="6">
        <v>123205</v>
      </c>
      <c r="V495" s="6">
        <v>-2319</v>
      </c>
      <c r="W495" s="6">
        <v>0</v>
      </c>
      <c r="X495" s="6">
        <v>7020</v>
      </c>
      <c r="Y495" s="6"/>
      <c r="Z495" s="6"/>
      <c r="AA495" s="6"/>
      <c r="AB495" s="6">
        <v>166</v>
      </c>
      <c r="AC495" s="6">
        <v>2353</v>
      </c>
      <c r="AD495" s="6">
        <v>32471</v>
      </c>
      <c r="AE495" s="6">
        <v>25558</v>
      </c>
      <c r="AF495" s="6">
        <v>21971</v>
      </c>
    </row>
    <row r="496" spans="1:32" x14ac:dyDescent="0.35">
      <c r="A496" s="1">
        <v>41017</v>
      </c>
      <c r="B496" s="6">
        <v>2875470</v>
      </c>
      <c r="C496" s="6">
        <v>11037</v>
      </c>
      <c r="D496" s="6">
        <v>5200</v>
      </c>
      <c r="E496" s="6">
        <v>2241</v>
      </c>
      <c r="F496" s="6">
        <v>2752268</v>
      </c>
      <c r="G496" s="6">
        <v>2622702</v>
      </c>
      <c r="H496" s="6">
        <v>1672141</v>
      </c>
      <c r="I496" s="6">
        <v>18423</v>
      </c>
      <c r="J496" s="6">
        <v>1577378</v>
      </c>
      <c r="K496" s="6">
        <v>67236</v>
      </c>
      <c r="L496" s="6">
        <v>9104</v>
      </c>
      <c r="M496" s="6">
        <v>17731</v>
      </c>
      <c r="N496" s="6">
        <v>14150</v>
      </c>
      <c r="O496" s="6">
        <v>49600</v>
      </c>
      <c r="P496" s="6">
        <v>566702</v>
      </c>
      <c r="Q496" s="6">
        <v>729715</v>
      </c>
      <c r="R496" s="6">
        <v>294243</v>
      </c>
      <c r="S496" s="6">
        <v>95200</v>
      </c>
      <c r="T496" s="6">
        <v>855361</v>
      </c>
      <c r="U496" s="6">
        <v>124982</v>
      </c>
      <c r="V496" s="6">
        <v>-2365</v>
      </c>
      <c r="W496" s="6">
        <v>0</v>
      </c>
      <c r="X496" s="6">
        <v>6949</v>
      </c>
      <c r="Y496" s="6"/>
      <c r="Z496" s="6"/>
      <c r="AA496" s="6"/>
      <c r="AB496" s="6">
        <v>277</v>
      </c>
      <c r="AC496" s="6">
        <v>2354</v>
      </c>
      <c r="AD496" s="6">
        <v>32371</v>
      </c>
      <c r="AE496" s="6">
        <v>25521</v>
      </c>
      <c r="AF496" s="6">
        <v>22016</v>
      </c>
    </row>
    <row r="497" spans="1:32" x14ac:dyDescent="0.35">
      <c r="A497" s="1">
        <v>41024</v>
      </c>
      <c r="B497" s="6">
        <v>2866561</v>
      </c>
      <c r="C497" s="6">
        <v>11037</v>
      </c>
      <c r="D497" s="6">
        <v>5200</v>
      </c>
      <c r="E497" s="6">
        <v>2233</v>
      </c>
      <c r="F497" s="6">
        <v>2741049</v>
      </c>
      <c r="G497" s="6">
        <v>2610134</v>
      </c>
      <c r="H497" s="6">
        <v>1667766</v>
      </c>
      <c r="I497" s="6">
        <v>18423</v>
      </c>
      <c r="J497" s="6">
        <v>1572925</v>
      </c>
      <c r="K497" s="6">
        <v>67236</v>
      </c>
      <c r="L497" s="6">
        <v>9183</v>
      </c>
      <c r="M497" s="6">
        <v>15227</v>
      </c>
      <c r="N497" s="6">
        <v>16654</v>
      </c>
      <c r="O497" s="6">
        <v>49600</v>
      </c>
      <c r="P497" s="6">
        <v>549453</v>
      </c>
      <c r="Q497" s="6">
        <v>739042</v>
      </c>
      <c r="R497" s="6">
        <v>297790</v>
      </c>
      <c r="S497" s="6">
        <v>94571</v>
      </c>
      <c r="T497" s="6">
        <v>847796</v>
      </c>
      <c r="U497" s="6">
        <v>126667</v>
      </c>
      <c r="V497" s="6">
        <v>-2327</v>
      </c>
      <c r="W497" s="6">
        <v>0</v>
      </c>
      <c r="X497" s="6">
        <v>6575</v>
      </c>
      <c r="Y497" s="6"/>
      <c r="Z497" s="6"/>
      <c r="AA497" s="6"/>
      <c r="AB497" s="6">
        <v>214</v>
      </c>
      <c r="AC497" s="6">
        <v>2353</v>
      </c>
      <c r="AD497" s="6">
        <v>31971</v>
      </c>
      <c r="AE497" s="6">
        <v>25613</v>
      </c>
      <c r="AF497" s="6">
        <v>22061</v>
      </c>
    </row>
    <row r="498" spans="1:32" x14ac:dyDescent="0.35">
      <c r="A498" s="1">
        <v>41031</v>
      </c>
      <c r="B498" s="6">
        <v>2864280</v>
      </c>
      <c r="C498" s="6">
        <v>11037</v>
      </c>
      <c r="D498" s="6">
        <v>5200</v>
      </c>
      <c r="E498" s="6">
        <v>2230</v>
      </c>
      <c r="F498" s="6">
        <v>2742241</v>
      </c>
      <c r="G498" s="6">
        <v>2610021</v>
      </c>
      <c r="H498" s="6">
        <v>1667630</v>
      </c>
      <c r="I498" s="6">
        <v>18423</v>
      </c>
      <c r="J498" s="6">
        <v>1572264</v>
      </c>
      <c r="K498" s="6">
        <v>67666</v>
      </c>
      <c r="L498" s="6">
        <v>9277</v>
      </c>
      <c r="M498" s="6">
        <v>20509</v>
      </c>
      <c r="N498" s="6">
        <v>9922</v>
      </c>
      <c r="O498" s="6">
        <v>51248</v>
      </c>
      <c r="P498" s="6">
        <v>551507</v>
      </c>
      <c r="Q498" s="6">
        <v>732932</v>
      </c>
      <c r="R498" s="6">
        <v>301512</v>
      </c>
      <c r="S498" s="6">
        <v>94571</v>
      </c>
      <c r="T498" s="6">
        <v>847820</v>
      </c>
      <c r="U498" s="6">
        <v>127745</v>
      </c>
      <c r="V498" s="6">
        <v>-2326</v>
      </c>
      <c r="W498" s="6">
        <v>0</v>
      </c>
      <c r="X498" s="6">
        <v>6801</v>
      </c>
      <c r="Y498" s="6"/>
      <c r="Z498" s="6"/>
      <c r="AA498" s="6"/>
      <c r="AB498" s="6">
        <v>286</v>
      </c>
      <c r="AC498" s="6">
        <v>2365</v>
      </c>
      <c r="AD498" s="6">
        <v>27256</v>
      </c>
      <c r="AE498" s="6">
        <v>25788</v>
      </c>
      <c r="AF498" s="6">
        <v>22631</v>
      </c>
    </row>
    <row r="499" spans="1:32" x14ac:dyDescent="0.35">
      <c r="A499" s="1">
        <v>41038</v>
      </c>
      <c r="B499" s="6">
        <v>2864150</v>
      </c>
      <c r="C499" s="6">
        <v>11037</v>
      </c>
      <c r="D499" s="6">
        <v>5200</v>
      </c>
      <c r="E499" s="6">
        <v>2218</v>
      </c>
      <c r="F499" s="6">
        <v>2740989</v>
      </c>
      <c r="G499" s="6">
        <v>2608336</v>
      </c>
      <c r="H499" s="6">
        <v>1665939</v>
      </c>
      <c r="I499" s="6">
        <v>18423</v>
      </c>
      <c r="J499" s="6">
        <v>1572022</v>
      </c>
      <c r="K499" s="6">
        <v>66326</v>
      </c>
      <c r="L499" s="6">
        <v>9168</v>
      </c>
      <c r="M499" s="6">
        <v>16989</v>
      </c>
      <c r="N499" s="6">
        <v>13442</v>
      </c>
      <c r="O499" s="6">
        <v>42608</v>
      </c>
      <c r="P499" s="6">
        <v>549945</v>
      </c>
      <c r="Q499" s="6">
        <v>737699</v>
      </c>
      <c r="R499" s="6">
        <v>305256</v>
      </c>
      <c r="S499" s="6">
        <v>94571</v>
      </c>
      <c r="T499" s="6">
        <v>847826</v>
      </c>
      <c r="U499" s="6">
        <v>128508</v>
      </c>
      <c r="V499" s="6">
        <v>-2316</v>
      </c>
      <c r="W499" s="6">
        <v>0</v>
      </c>
      <c r="X499" s="6">
        <v>6461</v>
      </c>
      <c r="Y499" s="6"/>
      <c r="Z499" s="6"/>
      <c r="AA499" s="6"/>
      <c r="AB499" s="6">
        <v>166</v>
      </c>
      <c r="AC499" s="6">
        <v>2366</v>
      </c>
      <c r="AD499" s="6">
        <v>26656</v>
      </c>
      <c r="AE499" s="6">
        <v>25587</v>
      </c>
      <c r="AF499" s="6">
        <v>24561</v>
      </c>
    </row>
    <row r="500" spans="1:32" x14ac:dyDescent="0.35">
      <c r="A500" s="1">
        <v>41045</v>
      </c>
      <c r="B500" s="6">
        <v>2850984</v>
      </c>
      <c r="C500" s="6">
        <v>11037</v>
      </c>
      <c r="D500" s="6">
        <v>5200</v>
      </c>
      <c r="E500" s="6">
        <v>2199</v>
      </c>
      <c r="F500" s="6">
        <v>2742867</v>
      </c>
      <c r="G500" s="6">
        <v>2609188</v>
      </c>
      <c r="H500" s="6">
        <v>1656793</v>
      </c>
      <c r="I500" s="6">
        <v>18423</v>
      </c>
      <c r="J500" s="6">
        <v>1561325</v>
      </c>
      <c r="K500" s="6">
        <v>67654</v>
      </c>
      <c r="L500" s="6">
        <v>9392</v>
      </c>
      <c r="M500" s="6">
        <v>14643</v>
      </c>
      <c r="N500" s="6">
        <v>11285</v>
      </c>
      <c r="O500" s="6">
        <v>49116</v>
      </c>
      <c r="P500" s="6">
        <v>547665</v>
      </c>
      <c r="Q500" s="6">
        <v>723863</v>
      </c>
      <c r="R500" s="6">
        <v>310222</v>
      </c>
      <c r="S500" s="6">
        <v>94166</v>
      </c>
      <c r="T500" s="6">
        <v>858229</v>
      </c>
      <c r="U500" s="6">
        <v>129601</v>
      </c>
      <c r="V500" s="6">
        <v>-2316</v>
      </c>
      <c r="W500" s="6">
        <v>0</v>
      </c>
      <c r="X500" s="6">
        <v>6393</v>
      </c>
      <c r="Y500" s="6"/>
      <c r="Z500" s="6"/>
      <c r="AA500" s="6"/>
      <c r="AB500" s="6">
        <v>174</v>
      </c>
      <c r="AC500" s="6">
        <v>2367</v>
      </c>
      <c r="AD500" s="6">
        <v>26450</v>
      </c>
      <c r="AE500" s="6">
        <v>25250</v>
      </c>
      <c r="AF500" s="6">
        <v>15611</v>
      </c>
    </row>
    <row r="501" spans="1:32" x14ac:dyDescent="0.35">
      <c r="A501" s="1">
        <v>41052</v>
      </c>
      <c r="B501" s="6">
        <v>2859495</v>
      </c>
      <c r="C501" s="6">
        <v>11037</v>
      </c>
      <c r="D501" s="6">
        <v>5200</v>
      </c>
      <c r="E501" s="6">
        <v>2180</v>
      </c>
      <c r="F501" s="6">
        <v>2749592</v>
      </c>
      <c r="G501" s="6">
        <v>2615062</v>
      </c>
      <c r="H501" s="6">
        <v>1656824</v>
      </c>
      <c r="I501" s="6">
        <v>18423</v>
      </c>
      <c r="J501" s="6">
        <v>1561224</v>
      </c>
      <c r="K501" s="6">
        <v>67654</v>
      </c>
      <c r="L501" s="6">
        <v>9523</v>
      </c>
      <c r="M501" s="6">
        <v>12139</v>
      </c>
      <c r="N501" s="6">
        <v>21995</v>
      </c>
      <c r="O501" s="6">
        <v>36607</v>
      </c>
      <c r="P501" s="6">
        <v>543351</v>
      </c>
      <c r="Q501" s="6">
        <v>730251</v>
      </c>
      <c r="R501" s="6">
        <v>312480</v>
      </c>
      <c r="S501" s="6">
        <v>93252</v>
      </c>
      <c r="T501" s="6">
        <v>864985</v>
      </c>
      <c r="U501" s="6">
        <v>131004</v>
      </c>
      <c r="V501" s="6">
        <v>-2308</v>
      </c>
      <c r="W501" s="6">
        <v>0</v>
      </c>
      <c r="X501" s="6">
        <v>5834</v>
      </c>
      <c r="Y501" s="6"/>
      <c r="Z501" s="6"/>
      <c r="AA501" s="6"/>
      <c r="AB501" s="6">
        <v>162</v>
      </c>
      <c r="AC501" s="6">
        <v>2369</v>
      </c>
      <c r="AD501" s="6">
        <v>26425</v>
      </c>
      <c r="AE501" s="6">
        <v>25223</v>
      </c>
      <c r="AF501" s="6">
        <v>17425</v>
      </c>
    </row>
    <row r="502" spans="1:32" x14ac:dyDescent="0.35">
      <c r="A502" s="1">
        <v>41059</v>
      </c>
      <c r="B502" s="6">
        <v>2842654</v>
      </c>
      <c r="C502" s="6">
        <v>11037</v>
      </c>
      <c r="D502" s="6">
        <v>5200</v>
      </c>
      <c r="E502" s="6">
        <v>2142</v>
      </c>
      <c r="F502" s="6">
        <v>2736908</v>
      </c>
      <c r="G502" s="6">
        <v>2601676</v>
      </c>
      <c r="H502" s="6">
        <v>1656675</v>
      </c>
      <c r="I502" s="6">
        <v>18423</v>
      </c>
      <c r="J502" s="6">
        <v>1560943</v>
      </c>
      <c r="K502" s="6">
        <v>67654</v>
      </c>
      <c r="L502" s="6">
        <v>9655</v>
      </c>
      <c r="M502" s="6">
        <v>16006</v>
      </c>
      <c r="N502" s="6">
        <v>18128</v>
      </c>
      <c r="O502" s="6">
        <v>36607</v>
      </c>
      <c r="P502" s="6">
        <v>545904</v>
      </c>
      <c r="Q502" s="6">
        <v>723850</v>
      </c>
      <c r="R502" s="6">
        <v>316180</v>
      </c>
      <c r="S502" s="6">
        <v>93252</v>
      </c>
      <c r="T502" s="6">
        <v>851750</v>
      </c>
      <c r="U502" s="6">
        <v>132008</v>
      </c>
      <c r="V502" s="6">
        <v>-2286</v>
      </c>
      <c r="W502" s="6">
        <v>0</v>
      </c>
      <c r="X502" s="6">
        <v>5509</v>
      </c>
      <c r="Y502" s="6"/>
      <c r="Z502" s="6"/>
      <c r="AA502" s="6"/>
      <c r="AB502" s="6">
        <v>242</v>
      </c>
      <c r="AC502" s="6">
        <v>2369</v>
      </c>
      <c r="AD502" s="6">
        <v>22168</v>
      </c>
      <c r="AE502" s="6">
        <v>25125</v>
      </c>
      <c r="AF502" s="6">
        <v>17468</v>
      </c>
    </row>
    <row r="503" spans="1:32" x14ac:dyDescent="0.35">
      <c r="A503" s="1">
        <v>41066</v>
      </c>
      <c r="B503" s="6">
        <v>2852018</v>
      </c>
      <c r="C503" s="6">
        <v>11037</v>
      </c>
      <c r="D503" s="6">
        <v>5200</v>
      </c>
      <c r="E503" s="6">
        <v>2135</v>
      </c>
      <c r="F503" s="6">
        <v>2745632</v>
      </c>
      <c r="G503" s="6">
        <v>2609303</v>
      </c>
      <c r="H503" s="6">
        <v>1664292</v>
      </c>
      <c r="I503" s="6">
        <v>18423</v>
      </c>
      <c r="J503" s="6">
        <v>1568495</v>
      </c>
      <c r="K503" s="6">
        <v>67654</v>
      </c>
      <c r="L503" s="6">
        <v>9720</v>
      </c>
      <c r="M503" s="6">
        <v>17145</v>
      </c>
      <c r="N503" s="6">
        <v>20544</v>
      </c>
      <c r="O503" s="6">
        <v>26295</v>
      </c>
      <c r="P503" s="6">
        <v>544049</v>
      </c>
      <c r="Q503" s="6">
        <v>738207</v>
      </c>
      <c r="R503" s="6">
        <v>318053</v>
      </c>
      <c r="S503" s="6">
        <v>93252</v>
      </c>
      <c r="T503" s="6">
        <v>851759</v>
      </c>
      <c r="U503" s="6">
        <v>133126</v>
      </c>
      <c r="V503" s="6">
        <v>-2268</v>
      </c>
      <c r="W503" s="6">
        <v>0</v>
      </c>
      <c r="X503" s="6">
        <v>5471</v>
      </c>
      <c r="Y503" s="6"/>
      <c r="Z503" s="6"/>
      <c r="AA503" s="6"/>
      <c r="AB503" s="6">
        <v>197</v>
      </c>
      <c r="AC503" s="6">
        <v>2361</v>
      </c>
      <c r="AD503" s="6">
        <v>22268</v>
      </c>
      <c r="AE503" s="6">
        <v>25226</v>
      </c>
      <c r="AF503" s="6">
        <v>17923</v>
      </c>
    </row>
    <row r="504" spans="1:32" x14ac:dyDescent="0.35">
      <c r="A504" s="1">
        <v>41073</v>
      </c>
      <c r="B504" s="6">
        <v>2869071</v>
      </c>
      <c r="C504" s="6">
        <v>11037</v>
      </c>
      <c r="D504" s="6">
        <v>5200</v>
      </c>
      <c r="E504" s="6">
        <v>2136</v>
      </c>
      <c r="F504" s="6">
        <v>2759717</v>
      </c>
      <c r="G504" s="6">
        <v>2621345</v>
      </c>
      <c r="H504" s="6">
        <v>1660158</v>
      </c>
      <c r="I504" s="6">
        <v>18423</v>
      </c>
      <c r="J504" s="6">
        <v>1565618</v>
      </c>
      <c r="K504" s="6">
        <v>66570</v>
      </c>
      <c r="L504" s="6">
        <v>9547</v>
      </c>
      <c r="M504" s="6">
        <v>19301</v>
      </c>
      <c r="N504" s="6">
        <v>18388</v>
      </c>
      <c r="O504" s="6">
        <v>26295</v>
      </c>
      <c r="P504" s="6">
        <v>534374</v>
      </c>
      <c r="Q504" s="6">
        <v>738221</v>
      </c>
      <c r="R504" s="6">
        <v>323579</v>
      </c>
      <c r="S504" s="6">
        <v>93252</v>
      </c>
      <c r="T504" s="6">
        <v>867934</v>
      </c>
      <c r="U504" s="6">
        <v>135254</v>
      </c>
      <c r="V504" s="6">
        <v>-2257</v>
      </c>
      <c r="W504" s="6">
        <v>0</v>
      </c>
      <c r="X504" s="6">
        <v>5375</v>
      </c>
      <c r="Y504" s="6"/>
      <c r="Z504" s="6"/>
      <c r="AA504" s="6"/>
      <c r="AB504" s="6">
        <v>140</v>
      </c>
      <c r="AC504" s="6">
        <v>2362</v>
      </c>
      <c r="AD504" s="6">
        <v>23314</v>
      </c>
      <c r="AE504" s="6">
        <v>25259</v>
      </c>
      <c r="AF504" s="6">
        <v>19690</v>
      </c>
    </row>
    <row r="505" spans="1:32" x14ac:dyDescent="0.35">
      <c r="A505" s="1">
        <v>41080</v>
      </c>
      <c r="B505" s="6">
        <v>2870846</v>
      </c>
      <c r="C505" s="6">
        <v>11037</v>
      </c>
      <c r="D505" s="6">
        <v>5200</v>
      </c>
      <c r="E505" s="6">
        <v>2136</v>
      </c>
      <c r="F505" s="6">
        <v>2764642</v>
      </c>
      <c r="G505" s="6">
        <v>2623099</v>
      </c>
      <c r="H505" s="6">
        <v>1663577</v>
      </c>
      <c r="I505" s="6">
        <v>18423</v>
      </c>
      <c r="J505" s="6">
        <v>1567459</v>
      </c>
      <c r="K505" s="6">
        <v>67915</v>
      </c>
      <c r="L505" s="6">
        <v>9780</v>
      </c>
      <c r="M505" s="6">
        <v>13148</v>
      </c>
      <c r="N505" s="6">
        <v>19881</v>
      </c>
      <c r="O505" s="6">
        <v>21354</v>
      </c>
      <c r="P505" s="6">
        <v>532988</v>
      </c>
      <c r="Q505" s="6">
        <v>745173</v>
      </c>
      <c r="R505" s="6">
        <v>331032</v>
      </c>
      <c r="S505" s="6">
        <v>91484</v>
      </c>
      <c r="T505" s="6">
        <v>868038</v>
      </c>
      <c r="U505" s="6">
        <v>138313</v>
      </c>
      <c r="V505" s="6">
        <v>-2193</v>
      </c>
      <c r="W505" s="6">
        <v>0</v>
      </c>
      <c r="X505" s="6">
        <v>5423</v>
      </c>
      <c r="Y505" s="6"/>
      <c r="Z505" s="6"/>
      <c r="AA505" s="6"/>
      <c r="AB505" s="6">
        <v>219</v>
      </c>
      <c r="AC505" s="6">
        <v>2363</v>
      </c>
      <c r="AD505" s="6">
        <v>24215</v>
      </c>
      <c r="AE505" s="6">
        <v>25348</v>
      </c>
      <c r="AF505" s="6">
        <v>20090</v>
      </c>
    </row>
    <row r="506" spans="1:32" x14ac:dyDescent="0.35">
      <c r="A506" s="1">
        <v>41087</v>
      </c>
      <c r="B506" s="6">
        <v>2863547</v>
      </c>
      <c r="C506" s="6">
        <v>11037</v>
      </c>
      <c r="D506" s="6">
        <v>5200</v>
      </c>
      <c r="E506" s="6">
        <v>2135</v>
      </c>
      <c r="F506" s="6">
        <v>2754348</v>
      </c>
      <c r="G506" s="6">
        <v>2612993</v>
      </c>
      <c r="H506" s="6">
        <v>1666530</v>
      </c>
      <c r="I506" s="6">
        <v>18423</v>
      </c>
      <c r="J506" s="6">
        <v>1570357</v>
      </c>
      <c r="K506" s="6">
        <v>67915</v>
      </c>
      <c r="L506" s="6">
        <v>9835</v>
      </c>
      <c r="M506" s="6">
        <v>17015</v>
      </c>
      <c r="N506" s="6">
        <v>16014</v>
      </c>
      <c r="O506" s="6">
        <v>21354</v>
      </c>
      <c r="P506" s="6">
        <v>524628</v>
      </c>
      <c r="Q506" s="6">
        <v>754623</v>
      </c>
      <c r="R506" s="6">
        <v>332895</v>
      </c>
      <c r="S506" s="6">
        <v>91484</v>
      </c>
      <c r="T506" s="6">
        <v>854979</v>
      </c>
      <c r="U506" s="6">
        <v>138649</v>
      </c>
      <c r="V506" s="6">
        <v>-2151</v>
      </c>
      <c r="W506" s="6">
        <v>0</v>
      </c>
      <c r="X506" s="6">
        <v>4858</v>
      </c>
      <c r="Y506" s="6"/>
      <c r="Z506" s="6"/>
      <c r="AA506" s="6"/>
      <c r="AB506" s="6">
        <v>166</v>
      </c>
      <c r="AC506" s="6">
        <v>2364</v>
      </c>
      <c r="AD506" s="6">
        <v>27059</v>
      </c>
      <c r="AE506" s="6">
        <v>25044</v>
      </c>
      <c r="AF506" s="6">
        <v>20318</v>
      </c>
    </row>
    <row r="507" spans="1:32" x14ac:dyDescent="0.35">
      <c r="A507" s="1">
        <v>41094</v>
      </c>
      <c r="B507" s="6">
        <v>2865858</v>
      </c>
      <c r="C507" s="6">
        <v>11037</v>
      </c>
      <c r="D507" s="6">
        <v>5200</v>
      </c>
      <c r="E507" s="6">
        <v>2105</v>
      </c>
      <c r="F507" s="6">
        <v>2754757</v>
      </c>
      <c r="G507" s="6">
        <v>2612889</v>
      </c>
      <c r="H507" s="6">
        <v>1666375</v>
      </c>
      <c r="I507" s="6">
        <v>18423</v>
      </c>
      <c r="J507" s="6">
        <v>1570190</v>
      </c>
      <c r="K507" s="6">
        <v>67915</v>
      </c>
      <c r="L507" s="6">
        <v>9847</v>
      </c>
      <c r="M507" s="6">
        <v>10261</v>
      </c>
      <c r="N507" s="6">
        <v>22584</v>
      </c>
      <c r="O507" s="6">
        <v>20530</v>
      </c>
      <c r="P507" s="6">
        <v>527072</v>
      </c>
      <c r="Q507" s="6">
        <v>749237</v>
      </c>
      <c r="R507" s="6">
        <v>336692</v>
      </c>
      <c r="S507" s="6">
        <v>91484</v>
      </c>
      <c r="T507" s="6">
        <v>855030</v>
      </c>
      <c r="U507" s="6">
        <v>139413</v>
      </c>
      <c r="V507" s="6">
        <v>-2127</v>
      </c>
      <c r="W507" s="6">
        <v>0</v>
      </c>
      <c r="X507" s="6">
        <v>4582</v>
      </c>
      <c r="Y507" s="6"/>
      <c r="Z507" s="6"/>
      <c r="AA507" s="6"/>
      <c r="AB507" s="6">
        <v>268</v>
      </c>
      <c r="AC507" s="6">
        <v>2357</v>
      </c>
      <c r="AD507" s="6">
        <v>27969</v>
      </c>
      <c r="AE507" s="6">
        <v>25232</v>
      </c>
      <c r="AF507" s="6">
        <v>20707</v>
      </c>
    </row>
    <row r="508" spans="1:32" x14ac:dyDescent="0.35">
      <c r="A508" s="1">
        <v>41101</v>
      </c>
      <c r="B508" s="6">
        <v>2866279</v>
      </c>
      <c r="C508" s="6">
        <v>11037</v>
      </c>
      <c r="D508" s="6">
        <v>5200</v>
      </c>
      <c r="E508" s="6">
        <v>2097</v>
      </c>
      <c r="F508" s="6">
        <v>2752053</v>
      </c>
      <c r="G508" s="6">
        <v>2609175</v>
      </c>
      <c r="H508" s="6">
        <v>1662637</v>
      </c>
      <c r="I508" s="6">
        <v>14641</v>
      </c>
      <c r="J508" s="6">
        <v>1568781</v>
      </c>
      <c r="K508" s="6">
        <v>69237</v>
      </c>
      <c r="L508" s="6">
        <v>9978</v>
      </c>
      <c r="M508" s="6">
        <v>14835</v>
      </c>
      <c r="N508" s="6">
        <v>14227</v>
      </c>
      <c r="O508" s="6">
        <v>12603</v>
      </c>
      <c r="P508" s="6">
        <v>527069</v>
      </c>
      <c r="Q508" s="6">
        <v>754329</v>
      </c>
      <c r="R508" s="6">
        <v>339573</v>
      </c>
      <c r="S508" s="6">
        <v>91484</v>
      </c>
      <c r="T508" s="6">
        <v>855054</v>
      </c>
      <c r="U508" s="6">
        <v>140395</v>
      </c>
      <c r="V508" s="6">
        <v>-2107</v>
      </c>
      <c r="W508" s="6">
        <v>0</v>
      </c>
      <c r="X508" s="6">
        <v>4590</v>
      </c>
      <c r="Y508" s="6"/>
      <c r="Z508" s="6"/>
      <c r="AA508" s="6"/>
      <c r="AB508" s="6">
        <v>124</v>
      </c>
      <c r="AC508" s="6">
        <v>2358</v>
      </c>
      <c r="AD508" s="6">
        <v>29708</v>
      </c>
      <c r="AE508" s="6">
        <v>24838</v>
      </c>
      <c r="AF508" s="6">
        <v>22590</v>
      </c>
    </row>
    <row r="509" spans="1:32" x14ac:dyDescent="0.35">
      <c r="A509" s="1">
        <v>41108</v>
      </c>
      <c r="B509" s="6">
        <v>2855807</v>
      </c>
      <c r="C509" s="6">
        <v>11037</v>
      </c>
      <c r="D509" s="6">
        <v>5200</v>
      </c>
      <c r="E509" s="6">
        <v>2103</v>
      </c>
      <c r="F509" s="6">
        <v>2747612</v>
      </c>
      <c r="G509" s="6">
        <v>2602738</v>
      </c>
      <c r="H509" s="6">
        <v>1648694</v>
      </c>
      <c r="I509" s="6">
        <v>8356</v>
      </c>
      <c r="J509" s="6">
        <v>1561338</v>
      </c>
      <c r="K509" s="6">
        <v>69086</v>
      </c>
      <c r="L509" s="6">
        <v>9914</v>
      </c>
      <c r="M509" s="6">
        <v>9995</v>
      </c>
      <c r="N509" s="6">
        <v>12588</v>
      </c>
      <c r="O509" s="6">
        <v>12604</v>
      </c>
      <c r="P509" s="6">
        <v>512408</v>
      </c>
      <c r="Q509" s="6">
        <v>757892</v>
      </c>
      <c r="R509" s="6">
        <v>343207</v>
      </c>
      <c r="S509" s="6">
        <v>91029</v>
      </c>
      <c r="T509" s="6">
        <v>863015</v>
      </c>
      <c r="U509" s="6">
        <v>142374</v>
      </c>
      <c r="V509" s="6">
        <v>-2068</v>
      </c>
      <c r="W509" s="6">
        <v>0</v>
      </c>
      <c r="X509" s="6">
        <v>4568</v>
      </c>
      <c r="Y509" s="6"/>
      <c r="Z509" s="6"/>
      <c r="AA509" s="6"/>
      <c r="AB509" s="6">
        <v>149</v>
      </c>
      <c r="AC509" s="6">
        <v>2359</v>
      </c>
      <c r="AD509" s="6">
        <v>30552</v>
      </c>
      <c r="AE509" s="6">
        <v>24995</v>
      </c>
      <c r="AF509" s="6">
        <v>22745</v>
      </c>
    </row>
    <row r="510" spans="1:32" x14ac:dyDescent="0.35">
      <c r="A510" s="1">
        <v>41115</v>
      </c>
      <c r="B510" s="6">
        <v>2846757</v>
      </c>
      <c r="C510" s="6">
        <v>11037</v>
      </c>
      <c r="D510" s="6">
        <v>5200</v>
      </c>
      <c r="E510" s="6">
        <v>2110</v>
      </c>
      <c r="F510" s="6">
        <v>2740919</v>
      </c>
      <c r="G510" s="6">
        <v>2595823</v>
      </c>
      <c r="H510" s="6">
        <v>1651432</v>
      </c>
      <c r="I510" s="6">
        <v>5938</v>
      </c>
      <c r="J510" s="6">
        <v>1566515</v>
      </c>
      <c r="K510" s="6">
        <v>69086</v>
      </c>
      <c r="L510" s="6">
        <v>9894</v>
      </c>
      <c r="M510" s="6">
        <v>7577</v>
      </c>
      <c r="N510" s="6">
        <v>12588</v>
      </c>
      <c r="O510" s="6">
        <v>12604</v>
      </c>
      <c r="P510" s="6">
        <v>504475</v>
      </c>
      <c r="Q510" s="6">
        <v>767379</v>
      </c>
      <c r="R510" s="6">
        <v>346808</v>
      </c>
      <c r="S510" s="6">
        <v>91029</v>
      </c>
      <c r="T510" s="6">
        <v>853362</v>
      </c>
      <c r="U510" s="6">
        <v>143445</v>
      </c>
      <c r="V510" s="6">
        <v>-2043</v>
      </c>
      <c r="W510" s="6">
        <v>0</v>
      </c>
      <c r="X510" s="6">
        <v>3693</v>
      </c>
      <c r="Y510" s="6"/>
      <c r="Z510" s="6"/>
      <c r="AA510" s="6"/>
      <c r="AB510" s="6">
        <v>147</v>
      </c>
      <c r="AC510" s="6">
        <v>2360</v>
      </c>
      <c r="AD510" s="6">
        <v>27232</v>
      </c>
      <c r="AE510" s="6">
        <v>24945</v>
      </c>
      <c r="AF510" s="6">
        <v>22661</v>
      </c>
    </row>
    <row r="511" spans="1:32" x14ac:dyDescent="0.35">
      <c r="A511" s="1">
        <v>41122</v>
      </c>
      <c r="B511" s="6">
        <v>2851118</v>
      </c>
      <c r="C511" s="6">
        <v>11037</v>
      </c>
      <c r="D511" s="6">
        <v>5200</v>
      </c>
      <c r="E511" s="6">
        <v>2120</v>
      </c>
      <c r="F511" s="6">
        <v>2740207</v>
      </c>
      <c r="G511" s="6">
        <v>2593801</v>
      </c>
      <c r="H511" s="6">
        <v>1649294</v>
      </c>
      <c r="I511" s="6">
        <v>0</v>
      </c>
      <c r="J511" s="6">
        <v>1570336</v>
      </c>
      <c r="K511" s="6">
        <v>69086</v>
      </c>
      <c r="L511" s="6">
        <v>9872</v>
      </c>
      <c r="M511" s="6">
        <v>8206</v>
      </c>
      <c r="N511" s="6">
        <v>4382</v>
      </c>
      <c r="O511" s="6">
        <v>13742</v>
      </c>
      <c r="P511" s="6">
        <v>502093</v>
      </c>
      <c r="Q511" s="6">
        <v>770462</v>
      </c>
      <c r="R511" s="6">
        <v>350409</v>
      </c>
      <c r="S511" s="6">
        <v>91029</v>
      </c>
      <c r="T511" s="6">
        <v>853478</v>
      </c>
      <c r="U511" s="6">
        <v>144732</v>
      </c>
      <c r="V511" s="6">
        <v>-1979</v>
      </c>
      <c r="W511" s="6">
        <v>0</v>
      </c>
      <c r="X511" s="6">
        <v>3653</v>
      </c>
      <c r="Y511" s="6"/>
      <c r="Z511" s="6"/>
      <c r="AA511" s="6"/>
      <c r="AB511" s="6">
        <v>282</v>
      </c>
      <c r="AC511" s="6">
        <v>2352</v>
      </c>
      <c r="AD511" s="6">
        <v>31022</v>
      </c>
      <c r="AE511" s="6">
        <v>25131</v>
      </c>
      <c r="AF511" s="6">
        <v>23396</v>
      </c>
    </row>
    <row r="512" spans="1:32" x14ac:dyDescent="0.35">
      <c r="A512" s="1">
        <v>41129</v>
      </c>
      <c r="B512" s="6">
        <v>2856181</v>
      </c>
      <c r="C512" s="6">
        <v>11037</v>
      </c>
      <c r="D512" s="6">
        <v>5200</v>
      </c>
      <c r="E512" s="6">
        <v>2131</v>
      </c>
      <c r="F512" s="6">
        <v>2744552</v>
      </c>
      <c r="G512" s="6">
        <v>2596938</v>
      </c>
      <c r="H512" s="6">
        <v>1652416</v>
      </c>
      <c r="I512" s="6">
        <v>0</v>
      </c>
      <c r="J512" s="6">
        <v>1573484</v>
      </c>
      <c r="K512" s="6">
        <v>69086</v>
      </c>
      <c r="L512" s="6">
        <v>9846</v>
      </c>
      <c r="M512" s="6">
        <v>8206</v>
      </c>
      <c r="N512" s="6">
        <v>4383</v>
      </c>
      <c r="O512" s="6">
        <v>5942</v>
      </c>
      <c r="P512" s="6">
        <v>502090</v>
      </c>
      <c r="Q512" s="6">
        <v>779572</v>
      </c>
      <c r="R512" s="6">
        <v>352222</v>
      </c>
      <c r="S512" s="6">
        <v>91029</v>
      </c>
      <c r="T512" s="6">
        <v>853493</v>
      </c>
      <c r="U512" s="6">
        <v>145357</v>
      </c>
      <c r="V512" s="6">
        <v>-1975</v>
      </c>
      <c r="W512" s="6">
        <v>600</v>
      </c>
      <c r="X512" s="6">
        <v>3631</v>
      </c>
      <c r="Y512" s="6"/>
      <c r="Z512" s="6"/>
      <c r="AA512" s="6"/>
      <c r="AB512" s="6">
        <v>58</v>
      </c>
      <c r="AC512" s="6">
        <v>2353</v>
      </c>
      <c r="AD512" s="6">
        <v>30022</v>
      </c>
      <c r="AE512" s="6">
        <v>25166</v>
      </c>
      <c r="AF512" s="6">
        <v>25257</v>
      </c>
    </row>
    <row r="513" spans="1:32" x14ac:dyDescent="0.35">
      <c r="A513" s="1">
        <v>41136</v>
      </c>
      <c r="B513" s="6">
        <v>2833317</v>
      </c>
      <c r="C513" s="6">
        <v>11037</v>
      </c>
      <c r="D513" s="6">
        <v>5200</v>
      </c>
      <c r="E513" s="6">
        <v>2143</v>
      </c>
      <c r="F513" s="6">
        <v>2738784</v>
      </c>
      <c r="G513" s="6">
        <v>2589616</v>
      </c>
      <c r="H513" s="6">
        <v>1646360</v>
      </c>
      <c r="I513" s="6">
        <v>0</v>
      </c>
      <c r="J513" s="6">
        <v>1565907</v>
      </c>
      <c r="K513" s="6">
        <v>70435</v>
      </c>
      <c r="L513" s="6">
        <v>10018</v>
      </c>
      <c r="M513" s="6">
        <v>0</v>
      </c>
      <c r="N513" s="6">
        <v>4383</v>
      </c>
      <c r="O513" s="6">
        <v>4813</v>
      </c>
      <c r="P513" s="6">
        <v>513596</v>
      </c>
      <c r="Q513" s="6">
        <v>766034</v>
      </c>
      <c r="R513" s="6">
        <v>357533</v>
      </c>
      <c r="S513" s="6">
        <v>89101</v>
      </c>
      <c r="T513" s="6">
        <v>854155</v>
      </c>
      <c r="U513" s="6">
        <v>147492</v>
      </c>
      <c r="V513" s="6">
        <v>-1931</v>
      </c>
      <c r="W513" s="6">
        <v>0</v>
      </c>
      <c r="X513" s="6">
        <v>3607</v>
      </c>
      <c r="Y513" s="6"/>
      <c r="Z513" s="6"/>
      <c r="AA513" s="6"/>
      <c r="AB513" s="6">
        <v>126</v>
      </c>
      <c r="AC513" s="6">
        <v>2354</v>
      </c>
      <c r="AD513" s="6">
        <v>30005</v>
      </c>
      <c r="AE513" s="6">
        <v>25018</v>
      </c>
      <c r="AF513" s="6">
        <v>14408</v>
      </c>
    </row>
    <row r="514" spans="1:32" x14ac:dyDescent="0.35">
      <c r="A514" s="1">
        <v>41143</v>
      </c>
      <c r="B514" s="6">
        <v>2825661</v>
      </c>
      <c r="C514" s="6">
        <v>11037</v>
      </c>
      <c r="D514" s="6">
        <v>5200</v>
      </c>
      <c r="E514" s="6">
        <v>2158</v>
      </c>
      <c r="F514" s="6">
        <v>2732692</v>
      </c>
      <c r="G514" s="6">
        <v>2583672</v>
      </c>
      <c r="H514" s="6">
        <v>1637152</v>
      </c>
      <c r="I514" s="6">
        <v>0</v>
      </c>
      <c r="J514" s="6">
        <v>1556726</v>
      </c>
      <c r="K514" s="6">
        <v>70435</v>
      </c>
      <c r="L514" s="6">
        <v>9991</v>
      </c>
      <c r="M514" s="6">
        <v>3556</v>
      </c>
      <c r="N514" s="6">
        <v>828</v>
      </c>
      <c r="O514" s="6">
        <v>4812</v>
      </c>
      <c r="P514" s="6">
        <v>497998</v>
      </c>
      <c r="Q514" s="6">
        <v>773527</v>
      </c>
      <c r="R514" s="6">
        <v>356431</v>
      </c>
      <c r="S514" s="6">
        <v>87210</v>
      </c>
      <c r="T514" s="6">
        <v>859310</v>
      </c>
      <c r="U514" s="6">
        <v>148088</v>
      </c>
      <c r="V514" s="6">
        <v>-1916</v>
      </c>
      <c r="W514" s="6">
        <v>0</v>
      </c>
      <c r="X514" s="6">
        <v>2847</v>
      </c>
      <c r="Y514" s="6"/>
      <c r="Z514" s="6"/>
      <c r="AA514" s="6"/>
      <c r="AB514" s="6">
        <v>147</v>
      </c>
      <c r="AC514" s="6">
        <v>2356</v>
      </c>
      <c r="AD514" s="6">
        <v>26484</v>
      </c>
      <c r="AE514" s="6">
        <v>25173</v>
      </c>
      <c r="AF514" s="6">
        <v>16079</v>
      </c>
    </row>
    <row r="515" spans="1:32" x14ac:dyDescent="0.35">
      <c r="A515" s="1">
        <v>41150</v>
      </c>
      <c r="B515" s="6">
        <v>2812806</v>
      </c>
      <c r="C515" s="6">
        <v>11037</v>
      </c>
      <c r="D515" s="6">
        <v>5200</v>
      </c>
      <c r="E515" s="6">
        <v>2150</v>
      </c>
      <c r="F515" s="6">
        <v>2720446</v>
      </c>
      <c r="G515" s="6">
        <v>2570220</v>
      </c>
      <c r="H515" s="6">
        <v>1639413</v>
      </c>
      <c r="I515" s="6">
        <v>0</v>
      </c>
      <c r="J515" s="6">
        <v>1559014</v>
      </c>
      <c r="K515" s="6">
        <v>70435</v>
      </c>
      <c r="L515" s="6">
        <v>9965</v>
      </c>
      <c r="M515" s="6">
        <v>3556</v>
      </c>
      <c r="N515" s="6">
        <v>828</v>
      </c>
      <c r="O515" s="6">
        <v>4812</v>
      </c>
      <c r="P515" s="6">
        <v>490195</v>
      </c>
      <c r="Q515" s="6">
        <v>778166</v>
      </c>
      <c r="R515" s="6">
        <v>361856</v>
      </c>
      <c r="S515" s="6">
        <v>87210</v>
      </c>
      <c r="T515" s="6">
        <v>843597</v>
      </c>
      <c r="U515" s="6">
        <v>149638</v>
      </c>
      <c r="V515" s="6">
        <v>-1832</v>
      </c>
      <c r="W515" s="6">
        <v>0</v>
      </c>
      <c r="X515" s="6">
        <v>2420</v>
      </c>
      <c r="Y515" s="6"/>
      <c r="Z515" s="6"/>
      <c r="AA515" s="6"/>
      <c r="AB515" s="6">
        <v>63</v>
      </c>
      <c r="AC515" s="6">
        <v>2357</v>
      </c>
      <c r="AD515" s="6">
        <v>25683</v>
      </c>
      <c r="AE515" s="6">
        <v>25316</v>
      </c>
      <c r="AF515" s="6">
        <v>16149</v>
      </c>
    </row>
    <row r="516" spans="1:32" x14ac:dyDescent="0.35">
      <c r="A516" s="1">
        <v>41157</v>
      </c>
      <c r="B516" s="6">
        <v>2822169</v>
      </c>
      <c r="C516" s="6">
        <v>11037</v>
      </c>
      <c r="D516" s="6">
        <v>5200</v>
      </c>
      <c r="E516" s="6">
        <v>2135</v>
      </c>
      <c r="F516" s="6">
        <v>2731113</v>
      </c>
      <c r="G516" s="6">
        <v>2579781</v>
      </c>
      <c r="H516" s="6">
        <v>1648862</v>
      </c>
      <c r="I516" s="6">
        <v>0</v>
      </c>
      <c r="J516" s="6">
        <v>1568492</v>
      </c>
      <c r="K516" s="6">
        <v>70435</v>
      </c>
      <c r="L516" s="6">
        <v>9935</v>
      </c>
      <c r="M516" s="6">
        <v>0</v>
      </c>
      <c r="N516" s="6">
        <v>928</v>
      </c>
      <c r="O516" s="6">
        <v>4713</v>
      </c>
      <c r="P516" s="6">
        <v>492051</v>
      </c>
      <c r="Q516" s="6">
        <v>785689</v>
      </c>
      <c r="R516" s="6">
        <v>365481</v>
      </c>
      <c r="S516" s="6">
        <v>87210</v>
      </c>
      <c r="T516" s="6">
        <v>843710</v>
      </c>
      <c r="U516" s="6">
        <v>150654</v>
      </c>
      <c r="V516" s="6">
        <v>-1819</v>
      </c>
      <c r="W516" s="6">
        <v>0</v>
      </c>
      <c r="X516" s="6">
        <v>2497</v>
      </c>
      <c r="Y516" s="6"/>
      <c r="Z516" s="6"/>
      <c r="AA516" s="6"/>
      <c r="AB516" s="6">
        <v>206</v>
      </c>
      <c r="AC516" s="6">
        <v>2349</v>
      </c>
      <c r="AD516" s="6">
        <v>23442</v>
      </c>
      <c r="AE516" s="6">
        <v>25447</v>
      </c>
      <c r="AF516" s="6">
        <v>16826</v>
      </c>
    </row>
    <row r="517" spans="1:32" x14ac:dyDescent="0.35">
      <c r="A517" s="1">
        <v>41164</v>
      </c>
      <c r="B517" s="6">
        <v>2823448</v>
      </c>
      <c r="C517" s="6">
        <v>11037</v>
      </c>
      <c r="D517" s="6">
        <v>5200</v>
      </c>
      <c r="E517" s="6">
        <v>2157</v>
      </c>
      <c r="F517" s="6">
        <v>2734225</v>
      </c>
      <c r="G517" s="6">
        <v>2581790</v>
      </c>
      <c r="H517" s="6">
        <v>1650851</v>
      </c>
      <c r="I517" s="6">
        <v>0</v>
      </c>
      <c r="J517" s="6">
        <v>1569040</v>
      </c>
      <c r="K517" s="6">
        <v>71784</v>
      </c>
      <c r="L517" s="6">
        <v>10027</v>
      </c>
      <c r="M517" s="6">
        <v>0</v>
      </c>
      <c r="N517" s="6">
        <v>928</v>
      </c>
      <c r="O517" s="6">
        <v>992</v>
      </c>
      <c r="P517" s="6">
        <v>487969</v>
      </c>
      <c r="Q517" s="6">
        <v>790418</v>
      </c>
      <c r="R517" s="6">
        <v>370544</v>
      </c>
      <c r="S517" s="6">
        <v>87210</v>
      </c>
      <c r="T517" s="6">
        <v>843730</v>
      </c>
      <c r="U517" s="6">
        <v>152333</v>
      </c>
      <c r="V517" s="6">
        <v>-1766</v>
      </c>
      <c r="W517" s="6">
        <v>0</v>
      </c>
      <c r="X517" s="6">
        <v>1867</v>
      </c>
      <c r="Y517" s="6"/>
      <c r="Z517" s="6"/>
      <c r="AA517" s="6"/>
      <c r="AB517" s="6">
        <v>143</v>
      </c>
      <c r="AC517" s="6">
        <v>2349</v>
      </c>
      <c r="AD517" s="6">
        <v>19446</v>
      </c>
      <c r="AE517" s="6">
        <v>25835</v>
      </c>
      <c r="AF517" s="6">
        <v>18641</v>
      </c>
    </row>
    <row r="518" spans="1:32" x14ac:dyDescent="0.35">
      <c r="A518" s="1">
        <v>41171</v>
      </c>
      <c r="B518" s="6">
        <v>2821574</v>
      </c>
      <c r="C518" s="6">
        <v>11037</v>
      </c>
      <c r="D518" s="6">
        <v>5200</v>
      </c>
      <c r="E518" s="6">
        <v>2177</v>
      </c>
      <c r="F518" s="6">
        <v>2736640</v>
      </c>
      <c r="G518" s="6">
        <v>2583338</v>
      </c>
      <c r="H518" s="6">
        <v>1646098</v>
      </c>
      <c r="I518" s="6">
        <v>0</v>
      </c>
      <c r="J518" s="6">
        <v>1564318</v>
      </c>
      <c r="K518" s="6">
        <v>71784</v>
      </c>
      <c r="L518" s="6">
        <v>9996</v>
      </c>
      <c r="M518" s="6">
        <v>825</v>
      </c>
      <c r="N518" s="6">
        <v>103</v>
      </c>
      <c r="O518" s="6">
        <v>992</v>
      </c>
      <c r="P518" s="6">
        <v>472367</v>
      </c>
      <c r="Q518" s="6">
        <v>799787</v>
      </c>
      <c r="R518" s="6">
        <v>372024</v>
      </c>
      <c r="S518" s="6">
        <v>87098</v>
      </c>
      <c r="T518" s="6">
        <v>850142</v>
      </c>
      <c r="U518" s="6">
        <v>153252</v>
      </c>
      <c r="V518" s="6">
        <v>-1774</v>
      </c>
      <c r="W518" s="6">
        <v>0</v>
      </c>
      <c r="X518" s="6">
        <v>1823</v>
      </c>
      <c r="Y518" s="6"/>
      <c r="Z518" s="6"/>
      <c r="AA518" s="6"/>
      <c r="AB518" s="6">
        <v>137</v>
      </c>
      <c r="AC518" s="6">
        <v>2351</v>
      </c>
      <c r="AD518" s="6">
        <v>14742</v>
      </c>
      <c r="AE518" s="6">
        <v>25940</v>
      </c>
      <c r="AF518" s="6">
        <v>19115</v>
      </c>
    </row>
    <row r="519" spans="1:32" x14ac:dyDescent="0.35">
      <c r="A519" s="1">
        <v>41178</v>
      </c>
      <c r="B519" s="6">
        <v>2804457</v>
      </c>
      <c r="C519" s="6">
        <v>11037</v>
      </c>
      <c r="D519" s="6">
        <v>5200</v>
      </c>
      <c r="E519" s="6">
        <v>2183</v>
      </c>
      <c r="F519" s="6">
        <v>2721216</v>
      </c>
      <c r="G519" s="6">
        <v>2566787</v>
      </c>
      <c r="H519" s="6">
        <v>1648403</v>
      </c>
      <c r="I519" s="6">
        <v>0</v>
      </c>
      <c r="J519" s="6">
        <v>1566654</v>
      </c>
      <c r="K519" s="6">
        <v>71784</v>
      </c>
      <c r="L519" s="6">
        <v>9965</v>
      </c>
      <c r="M519" s="6">
        <v>825</v>
      </c>
      <c r="N519" s="6">
        <v>103</v>
      </c>
      <c r="O519" s="6">
        <v>992</v>
      </c>
      <c r="P519" s="6">
        <v>464564</v>
      </c>
      <c r="Q519" s="6">
        <v>804516</v>
      </c>
      <c r="R519" s="6">
        <v>377403</v>
      </c>
      <c r="S519" s="6">
        <v>83405</v>
      </c>
      <c r="T519" s="6">
        <v>834979</v>
      </c>
      <c r="U519" s="6">
        <v>154427</v>
      </c>
      <c r="V519" s="6">
        <v>-1730</v>
      </c>
      <c r="W519" s="6">
        <v>0</v>
      </c>
      <c r="X519" s="6">
        <v>1732</v>
      </c>
      <c r="Y519" s="6"/>
      <c r="Z519" s="6"/>
      <c r="AA519" s="6"/>
      <c r="AB519" s="6">
        <v>138</v>
      </c>
      <c r="AC519" s="6">
        <v>2350</v>
      </c>
      <c r="AD519" s="6">
        <v>14693</v>
      </c>
      <c r="AE519" s="6">
        <v>25808</v>
      </c>
      <c r="AF519" s="6">
        <v>19173</v>
      </c>
    </row>
    <row r="520" spans="1:32" x14ac:dyDescent="0.35">
      <c r="A520" s="1">
        <v>41185</v>
      </c>
      <c r="B520" s="6">
        <v>2808512</v>
      </c>
      <c r="C520" s="6">
        <v>11037</v>
      </c>
      <c r="D520" s="6">
        <v>5200</v>
      </c>
      <c r="E520" s="6">
        <v>2180</v>
      </c>
      <c r="F520" s="6">
        <v>2726638</v>
      </c>
      <c r="G520" s="6">
        <v>2571341</v>
      </c>
      <c r="H520" s="6">
        <v>1652944</v>
      </c>
      <c r="I520" s="6">
        <v>0</v>
      </c>
      <c r="J520" s="6">
        <v>1571169</v>
      </c>
      <c r="K520" s="6">
        <v>71784</v>
      </c>
      <c r="L520" s="6">
        <v>9991</v>
      </c>
      <c r="M520" s="6">
        <v>0</v>
      </c>
      <c r="N520" s="6">
        <v>485</v>
      </c>
      <c r="O520" s="6">
        <v>611</v>
      </c>
      <c r="P520" s="6">
        <v>461377</v>
      </c>
      <c r="Q520" s="6">
        <v>809358</v>
      </c>
      <c r="R520" s="6">
        <v>381112</v>
      </c>
      <c r="S520" s="6">
        <v>83405</v>
      </c>
      <c r="T520" s="6">
        <v>834992</v>
      </c>
      <c r="U520" s="6">
        <v>155410</v>
      </c>
      <c r="V520" s="6">
        <v>-1685</v>
      </c>
      <c r="W520" s="6">
        <v>0</v>
      </c>
      <c r="X520" s="6">
        <v>1572</v>
      </c>
      <c r="Y520" s="6"/>
      <c r="Z520" s="6"/>
      <c r="AA520" s="6"/>
      <c r="AB520" s="6">
        <v>229</v>
      </c>
      <c r="AC520" s="6">
        <v>2344</v>
      </c>
      <c r="AD520" s="6">
        <v>12551</v>
      </c>
      <c r="AE520" s="6">
        <v>25752</v>
      </c>
      <c r="AF520" s="6">
        <v>19913</v>
      </c>
    </row>
    <row r="521" spans="1:32" x14ac:dyDescent="0.35">
      <c r="A521" s="1">
        <v>41192</v>
      </c>
      <c r="B521" s="6">
        <v>2811623</v>
      </c>
      <c r="C521" s="6">
        <v>11037</v>
      </c>
      <c r="D521" s="6">
        <v>5200</v>
      </c>
      <c r="E521" s="6">
        <v>2174</v>
      </c>
      <c r="F521" s="6">
        <v>2727449</v>
      </c>
      <c r="G521" s="6">
        <v>2571487</v>
      </c>
      <c r="H521" s="6">
        <v>1653737</v>
      </c>
      <c r="I521" s="6">
        <v>0</v>
      </c>
      <c r="J521" s="6">
        <v>1571859</v>
      </c>
      <c r="K521" s="6">
        <v>71784</v>
      </c>
      <c r="L521" s="6">
        <v>10094</v>
      </c>
      <c r="M521" s="6">
        <v>0</v>
      </c>
      <c r="N521" s="6">
        <v>485</v>
      </c>
      <c r="O521" s="6">
        <v>17</v>
      </c>
      <c r="P521" s="6">
        <v>454182</v>
      </c>
      <c r="Q521" s="6">
        <v>814098</v>
      </c>
      <c r="R521" s="6">
        <v>384955</v>
      </c>
      <c r="S521" s="6">
        <v>82746</v>
      </c>
      <c r="T521" s="6">
        <v>835005</v>
      </c>
      <c r="U521" s="6">
        <v>156085</v>
      </c>
      <c r="V521" s="6">
        <v>-1682</v>
      </c>
      <c r="W521" s="6">
        <v>0</v>
      </c>
      <c r="X521" s="6">
        <v>1559</v>
      </c>
      <c r="Y521" s="6"/>
      <c r="Z521" s="6"/>
      <c r="AA521" s="6"/>
      <c r="AB521" s="6">
        <v>201</v>
      </c>
      <c r="AC521" s="6">
        <v>2345</v>
      </c>
      <c r="AD521" s="6">
        <v>12951</v>
      </c>
      <c r="AE521" s="6">
        <v>25779</v>
      </c>
      <c r="AF521" s="6">
        <v>21819</v>
      </c>
    </row>
    <row r="522" spans="1:32" x14ac:dyDescent="0.35">
      <c r="A522" s="1">
        <v>41199</v>
      </c>
      <c r="B522" s="6">
        <v>2846920</v>
      </c>
      <c r="C522" s="6">
        <v>11037</v>
      </c>
      <c r="D522" s="6">
        <v>5200</v>
      </c>
      <c r="E522" s="6">
        <v>2172</v>
      </c>
      <c r="F522" s="6">
        <v>2762502</v>
      </c>
      <c r="G522" s="6">
        <v>2604134</v>
      </c>
      <c r="H522" s="6">
        <v>1659084</v>
      </c>
      <c r="I522" s="6">
        <v>0</v>
      </c>
      <c r="J522" s="6">
        <v>1575696</v>
      </c>
      <c r="K522" s="6">
        <v>73034</v>
      </c>
      <c r="L522" s="6">
        <v>10354</v>
      </c>
      <c r="M522" s="6">
        <v>1</v>
      </c>
      <c r="N522" s="6">
        <v>484</v>
      </c>
      <c r="O522" s="6">
        <v>17</v>
      </c>
      <c r="P522" s="6">
        <v>446394</v>
      </c>
      <c r="Q522" s="6">
        <v>823918</v>
      </c>
      <c r="R522" s="6">
        <v>388270</v>
      </c>
      <c r="S522" s="6">
        <v>82746</v>
      </c>
      <c r="T522" s="6">
        <v>862304</v>
      </c>
      <c r="U522" s="6">
        <v>158555</v>
      </c>
      <c r="V522" s="6">
        <v>-1662</v>
      </c>
      <c r="W522" s="6">
        <v>0</v>
      </c>
      <c r="X522" s="6">
        <v>1475</v>
      </c>
      <c r="Y522" s="6"/>
      <c r="Z522" s="6"/>
      <c r="AA522" s="6"/>
      <c r="AB522" s="6">
        <v>139</v>
      </c>
      <c r="AC522" s="6">
        <v>2347</v>
      </c>
      <c r="AD522" s="6">
        <v>12877</v>
      </c>
      <c r="AE522" s="6">
        <v>25973</v>
      </c>
      <c r="AF522" s="6">
        <v>22182</v>
      </c>
    </row>
    <row r="523" spans="1:32" x14ac:dyDescent="0.35">
      <c r="A523" s="1">
        <v>41206</v>
      </c>
      <c r="B523" s="6">
        <v>2840964</v>
      </c>
      <c r="C523" s="6">
        <v>11037</v>
      </c>
      <c r="D523" s="6">
        <v>5200</v>
      </c>
      <c r="E523" s="6">
        <v>2167</v>
      </c>
      <c r="F523" s="6">
        <v>2756066</v>
      </c>
      <c r="G523" s="6">
        <v>2597339</v>
      </c>
      <c r="H523" s="6">
        <v>1646524</v>
      </c>
      <c r="I523" s="6">
        <v>0</v>
      </c>
      <c r="J523" s="6">
        <v>1564312</v>
      </c>
      <c r="K523" s="6">
        <v>71944</v>
      </c>
      <c r="L523" s="6">
        <v>10269</v>
      </c>
      <c r="M523" s="6">
        <v>1</v>
      </c>
      <c r="N523" s="6">
        <v>484</v>
      </c>
      <c r="O523" s="6">
        <v>17</v>
      </c>
      <c r="P523" s="6">
        <v>429960</v>
      </c>
      <c r="Q523" s="6">
        <v>823944</v>
      </c>
      <c r="R523" s="6">
        <v>392119</v>
      </c>
      <c r="S523" s="6">
        <v>82746</v>
      </c>
      <c r="T523" s="6">
        <v>868069</v>
      </c>
      <c r="U523" s="6">
        <v>159065</v>
      </c>
      <c r="V523" s="6">
        <v>-1650</v>
      </c>
      <c r="W523" s="6">
        <v>0</v>
      </c>
      <c r="X523" s="6">
        <v>1312</v>
      </c>
      <c r="Y523" s="6"/>
      <c r="Z523" s="6"/>
      <c r="AA523" s="6"/>
      <c r="AB523" s="6">
        <v>203</v>
      </c>
      <c r="AC523" s="6">
        <v>2350</v>
      </c>
      <c r="AD523" s="6">
        <v>12177</v>
      </c>
      <c r="AE523" s="6">
        <v>25613</v>
      </c>
      <c r="AF523" s="6">
        <v>23656</v>
      </c>
    </row>
    <row r="524" spans="1:32" x14ac:dyDescent="0.35">
      <c r="A524" s="1">
        <v>41213</v>
      </c>
      <c r="B524" s="6">
        <v>2823137</v>
      </c>
      <c r="C524" s="6">
        <v>11037</v>
      </c>
      <c r="D524" s="6">
        <v>5200</v>
      </c>
      <c r="E524" s="6">
        <v>2154</v>
      </c>
      <c r="F524" s="6">
        <v>2738514</v>
      </c>
      <c r="G524" s="6">
        <v>2579274</v>
      </c>
      <c r="H524" s="6">
        <v>1645334</v>
      </c>
      <c r="I524" s="6">
        <v>0</v>
      </c>
      <c r="J524" s="6">
        <v>1563019</v>
      </c>
      <c r="K524" s="6">
        <v>71944</v>
      </c>
      <c r="L524" s="6">
        <v>10371</v>
      </c>
      <c r="M524" s="6">
        <v>1</v>
      </c>
      <c r="N524" s="6">
        <v>482</v>
      </c>
      <c r="O524" s="6">
        <v>19</v>
      </c>
      <c r="P524" s="6">
        <v>424184</v>
      </c>
      <c r="Q524" s="6">
        <v>826698</v>
      </c>
      <c r="R524" s="6">
        <v>393950</v>
      </c>
      <c r="S524" s="6">
        <v>81902</v>
      </c>
      <c r="T524" s="6">
        <v>852039</v>
      </c>
      <c r="U524" s="6">
        <v>159592</v>
      </c>
      <c r="V524" s="6">
        <v>-1614</v>
      </c>
      <c r="W524" s="6">
        <v>0</v>
      </c>
      <c r="X524" s="6">
        <v>1262</v>
      </c>
      <c r="Y524" s="6"/>
      <c r="Z524" s="6"/>
      <c r="AA524" s="6"/>
      <c r="AB524" s="6">
        <v>128</v>
      </c>
      <c r="AC524" s="6">
        <v>2353</v>
      </c>
      <c r="AD524" s="6">
        <v>12903</v>
      </c>
      <c r="AE524" s="6">
        <v>25620</v>
      </c>
      <c r="AF524" s="6">
        <v>22718</v>
      </c>
    </row>
    <row r="525" spans="1:32" x14ac:dyDescent="0.35">
      <c r="A525" s="1">
        <v>41220</v>
      </c>
      <c r="B525" s="6">
        <v>2830791</v>
      </c>
      <c r="C525" s="6">
        <v>11037</v>
      </c>
      <c r="D525" s="6">
        <v>5200</v>
      </c>
      <c r="E525" s="6">
        <v>2153</v>
      </c>
      <c r="F525" s="6">
        <v>2744933</v>
      </c>
      <c r="G525" s="6">
        <v>2585253</v>
      </c>
      <c r="H525" s="6">
        <v>1651289</v>
      </c>
      <c r="I525" s="6">
        <v>0</v>
      </c>
      <c r="J525" s="6">
        <v>1568888</v>
      </c>
      <c r="K525" s="6">
        <v>71944</v>
      </c>
      <c r="L525" s="6">
        <v>10457</v>
      </c>
      <c r="M525" s="6">
        <v>1</v>
      </c>
      <c r="N525" s="6">
        <v>484</v>
      </c>
      <c r="O525" s="6">
        <v>16</v>
      </c>
      <c r="P525" s="6">
        <v>416524</v>
      </c>
      <c r="Q525" s="6">
        <v>836554</v>
      </c>
      <c r="R525" s="6">
        <v>397710</v>
      </c>
      <c r="S525" s="6">
        <v>81902</v>
      </c>
      <c r="T525" s="6">
        <v>852063</v>
      </c>
      <c r="U525" s="6">
        <v>160131</v>
      </c>
      <c r="V525" s="6">
        <v>-1617</v>
      </c>
      <c r="W525" s="6">
        <v>0</v>
      </c>
      <c r="X525" s="6">
        <v>1166</v>
      </c>
      <c r="Y525" s="6"/>
      <c r="Z525" s="6"/>
      <c r="AA525" s="6"/>
      <c r="AB525" s="6">
        <v>129</v>
      </c>
      <c r="AC525" s="6">
        <v>2343</v>
      </c>
      <c r="AD525" s="6">
        <v>12465</v>
      </c>
      <c r="AE525" s="6">
        <v>25413</v>
      </c>
      <c r="AF525" s="6">
        <v>24608</v>
      </c>
    </row>
    <row r="526" spans="1:32" x14ac:dyDescent="0.35">
      <c r="A526" s="1">
        <v>41227</v>
      </c>
      <c r="B526" s="6">
        <v>2877244</v>
      </c>
      <c r="C526" s="6">
        <v>11037</v>
      </c>
      <c r="D526" s="6">
        <v>5200</v>
      </c>
      <c r="E526" s="6">
        <v>2144</v>
      </c>
      <c r="F526" s="6">
        <v>2789843</v>
      </c>
      <c r="G526" s="6">
        <v>2627755</v>
      </c>
      <c r="H526" s="6">
        <v>1656833</v>
      </c>
      <c r="I526" s="6">
        <v>0</v>
      </c>
      <c r="J526" s="6">
        <v>1572814</v>
      </c>
      <c r="K526" s="6">
        <v>73344</v>
      </c>
      <c r="L526" s="6">
        <v>10676</v>
      </c>
      <c r="M526" s="6">
        <v>1</v>
      </c>
      <c r="N526" s="6">
        <v>484</v>
      </c>
      <c r="O526" s="6">
        <v>16</v>
      </c>
      <c r="P526" s="6">
        <v>418820</v>
      </c>
      <c r="Q526" s="6">
        <v>836409</v>
      </c>
      <c r="R526" s="6">
        <v>401103</v>
      </c>
      <c r="S526" s="6">
        <v>81902</v>
      </c>
      <c r="T526" s="6">
        <v>889020</v>
      </c>
      <c r="U526" s="6">
        <v>162671</v>
      </c>
      <c r="V526" s="6">
        <v>-1599</v>
      </c>
      <c r="W526" s="6">
        <v>0</v>
      </c>
      <c r="X526" s="6">
        <v>1016</v>
      </c>
      <c r="Y526" s="6"/>
      <c r="Z526" s="6"/>
      <c r="AA526" s="6"/>
      <c r="AB526" s="6">
        <v>177</v>
      </c>
      <c r="AC526" s="6">
        <v>2345</v>
      </c>
      <c r="AD526" s="6">
        <v>12121</v>
      </c>
      <c r="AE526" s="6">
        <v>25343</v>
      </c>
      <c r="AF526" s="6">
        <v>26524</v>
      </c>
    </row>
    <row r="527" spans="1:32" x14ac:dyDescent="0.35">
      <c r="A527" s="1">
        <v>41234</v>
      </c>
      <c r="B527" s="6">
        <v>2871161</v>
      </c>
      <c r="C527" s="6">
        <v>11037</v>
      </c>
      <c r="D527" s="6">
        <v>5200</v>
      </c>
      <c r="E527" s="6">
        <v>2101</v>
      </c>
      <c r="F527" s="6">
        <v>2793885</v>
      </c>
      <c r="G527" s="6">
        <v>2630354</v>
      </c>
      <c r="H527" s="6">
        <v>1650489</v>
      </c>
      <c r="I527" s="6">
        <v>0</v>
      </c>
      <c r="J527" s="6">
        <v>1566370</v>
      </c>
      <c r="K527" s="6">
        <v>73344</v>
      </c>
      <c r="L527" s="6">
        <v>10775</v>
      </c>
      <c r="M527" s="6">
        <v>100</v>
      </c>
      <c r="N527" s="6">
        <v>385</v>
      </c>
      <c r="O527" s="6">
        <v>42</v>
      </c>
      <c r="P527" s="6">
        <v>403914</v>
      </c>
      <c r="Q527" s="6">
        <v>844439</v>
      </c>
      <c r="R527" s="6">
        <v>401609</v>
      </c>
      <c r="S527" s="6">
        <v>79283</v>
      </c>
      <c r="T527" s="6">
        <v>900583</v>
      </c>
      <c r="U527" s="6">
        <v>164124</v>
      </c>
      <c r="V527" s="6">
        <v>-1574</v>
      </c>
      <c r="W527" s="6">
        <v>0</v>
      </c>
      <c r="X527" s="6">
        <v>981</v>
      </c>
      <c r="Y527" s="6"/>
      <c r="Z527" s="6"/>
      <c r="AA527" s="6"/>
      <c r="AB527" s="6">
        <v>199</v>
      </c>
      <c r="AC527" s="6">
        <v>2346</v>
      </c>
      <c r="AD527" s="6">
        <v>12252</v>
      </c>
      <c r="AE527" s="6">
        <v>25123</v>
      </c>
      <c r="AF527" s="6">
        <v>16642</v>
      </c>
    </row>
    <row r="528" spans="1:32" x14ac:dyDescent="0.35">
      <c r="A528" s="1">
        <v>41241</v>
      </c>
      <c r="B528" s="6">
        <v>2851362</v>
      </c>
      <c r="C528" s="6">
        <v>11037</v>
      </c>
      <c r="D528" s="6">
        <v>5200</v>
      </c>
      <c r="E528" s="6">
        <v>2097</v>
      </c>
      <c r="F528" s="6">
        <v>2773920</v>
      </c>
      <c r="G528" s="6">
        <v>2609467</v>
      </c>
      <c r="H528" s="6">
        <v>1646645</v>
      </c>
      <c r="I528" s="6">
        <v>0</v>
      </c>
      <c r="J528" s="6">
        <v>1562452</v>
      </c>
      <c r="K528" s="6">
        <v>73344</v>
      </c>
      <c r="L528" s="6">
        <v>10850</v>
      </c>
      <c r="M528" s="6">
        <v>100</v>
      </c>
      <c r="N528" s="6">
        <v>385</v>
      </c>
      <c r="O528" s="6">
        <v>42</v>
      </c>
      <c r="P528" s="6">
        <v>396251</v>
      </c>
      <c r="Q528" s="6">
        <v>844457</v>
      </c>
      <c r="R528" s="6">
        <v>405410</v>
      </c>
      <c r="S528" s="6">
        <v>79283</v>
      </c>
      <c r="T528" s="6">
        <v>883539</v>
      </c>
      <c r="U528" s="6">
        <v>164969</v>
      </c>
      <c r="V528" s="6">
        <v>-1535</v>
      </c>
      <c r="W528" s="6">
        <v>0</v>
      </c>
      <c r="X528" s="6">
        <v>1018</v>
      </c>
      <c r="Y528" s="6"/>
      <c r="Z528" s="6"/>
      <c r="AA528" s="6"/>
      <c r="AB528" s="6">
        <v>125</v>
      </c>
      <c r="AC528" s="6">
        <v>2344</v>
      </c>
      <c r="AD528" s="6">
        <v>12212</v>
      </c>
      <c r="AE528" s="6">
        <v>25313</v>
      </c>
      <c r="AF528" s="6">
        <v>16742</v>
      </c>
    </row>
    <row r="529" spans="1:32" x14ac:dyDescent="0.35">
      <c r="A529" s="1">
        <v>41248</v>
      </c>
      <c r="B529" s="6">
        <v>2859807</v>
      </c>
      <c r="C529" s="6">
        <v>11037</v>
      </c>
      <c r="D529" s="6">
        <v>5200</v>
      </c>
      <c r="E529" s="6">
        <v>2115</v>
      </c>
      <c r="F529" s="6">
        <v>2781845</v>
      </c>
      <c r="G529" s="6">
        <v>2616521</v>
      </c>
      <c r="H529" s="6">
        <v>1653593</v>
      </c>
      <c r="I529" s="6">
        <v>0</v>
      </c>
      <c r="J529" s="6">
        <v>1569379</v>
      </c>
      <c r="K529" s="6">
        <v>73344</v>
      </c>
      <c r="L529" s="6">
        <v>10870</v>
      </c>
      <c r="M529" s="6">
        <v>0</v>
      </c>
      <c r="N529" s="6">
        <v>386</v>
      </c>
      <c r="O529" s="6">
        <v>41</v>
      </c>
      <c r="P529" s="6">
        <v>395447</v>
      </c>
      <c r="Q529" s="6">
        <v>846751</v>
      </c>
      <c r="R529" s="6">
        <v>410968</v>
      </c>
      <c r="S529" s="6">
        <v>79283</v>
      </c>
      <c r="T529" s="6">
        <v>883646</v>
      </c>
      <c r="U529" s="6">
        <v>165898</v>
      </c>
      <c r="V529" s="6">
        <v>-1533</v>
      </c>
      <c r="W529" s="6">
        <v>0</v>
      </c>
      <c r="X529" s="6">
        <v>959</v>
      </c>
      <c r="Y529" s="6"/>
      <c r="Z529" s="6"/>
      <c r="AA529" s="6"/>
      <c r="AB529" s="6">
        <v>117</v>
      </c>
      <c r="AC529" s="6">
        <v>2334</v>
      </c>
      <c r="AD529" s="6">
        <v>12181</v>
      </c>
      <c r="AE529" s="6">
        <v>25404</v>
      </c>
      <c r="AF529" s="6">
        <v>17201</v>
      </c>
    </row>
    <row r="530" spans="1:32" x14ac:dyDescent="0.35">
      <c r="A530" s="1">
        <v>41255</v>
      </c>
      <c r="B530" s="6">
        <v>2917260</v>
      </c>
      <c r="C530" s="6">
        <v>11037</v>
      </c>
      <c r="D530" s="6">
        <v>5200</v>
      </c>
      <c r="E530" s="6">
        <v>2126</v>
      </c>
      <c r="F530" s="6">
        <v>2837313</v>
      </c>
      <c r="G530" s="6">
        <v>2668891</v>
      </c>
      <c r="H530" s="6">
        <v>1660807</v>
      </c>
      <c r="I530" s="6">
        <v>0</v>
      </c>
      <c r="J530" s="6">
        <v>1575114</v>
      </c>
      <c r="K530" s="6">
        <v>74740</v>
      </c>
      <c r="L530" s="6">
        <v>10953</v>
      </c>
      <c r="M530" s="6">
        <v>0</v>
      </c>
      <c r="N530" s="6">
        <v>386</v>
      </c>
      <c r="O530" s="6">
        <v>15</v>
      </c>
      <c r="P530" s="6">
        <v>387879</v>
      </c>
      <c r="Q530" s="6">
        <v>856457</v>
      </c>
      <c r="R530" s="6">
        <v>416069</v>
      </c>
      <c r="S530" s="6">
        <v>79283</v>
      </c>
      <c r="T530" s="6">
        <v>928801</v>
      </c>
      <c r="U530" s="6">
        <v>169123</v>
      </c>
      <c r="V530" s="6">
        <v>-1529</v>
      </c>
      <c r="W530" s="6">
        <v>0</v>
      </c>
      <c r="X530" s="6">
        <v>827</v>
      </c>
      <c r="Y530" s="6"/>
      <c r="Z530" s="6"/>
      <c r="AA530" s="6"/>
      <c r="AB530" s="6">
        <v>111</v>
      </c>
      <c r="AC530" s="6">
        <v>2335</v>
      </c>
      <c r="AD530" s="6">
        <v>12368</v>
      </c>
      <c r="AE530" s="6">
        <v>25269</v>
      </c>
      <c r="AF530" s="6">
        <v>19128</v>
      </c>
    </row>
    <row r="531" spans="1:32" x14ac:dyDescent="0.35">
      <c r="A531" s="1">
        <v>41262</v>
      </c>
      <c r="B531" s="6">
        <v>2920231</v>
      </c>
      <c r="C531" s="6">
        <v>11037</v>
      </c>
      <c r="D531" s="6">
        <v>5200</v>
      </c>
      <c r="E531" s="6">
        <v>2126</v>
      </c>
      <c r="F531" s="6">
        <v>2840337</v>
      </c>
      <c r="G531" s="6">
        <v>2671525</v>
      </c>
      <c r="H531" s="6">
        <v>1658851</v>
      </c>
      <c r="I531" s="6">
        <v>0</v>
      </c>
      <c r="J531" s="6">
        <v>1573166</v>
      </c>
      <c r="K531" s="6">
        <v>74740</v>
      </c>
      <c r="L531" s="6">
        <v>10945</v>
      </c>
      <c r="M531" s="6">
        <v>382</v>
      </c>
      <c r="N531" s="6">
        <v>4</v>
      </c>
      <c r="O531" s="6">
        <v>16</v>
      </c>
      <c r="P531" s="6">
        <v>372692</v>
      </c>
      <c r="Q531" s="6">
        <v>866018</v>
      </c>
      <c r="R531" s="6">
        <v>419739</v>
      </c>
      <c r="S531" s="6">
        <v>79283</v>
      </c>
      <c r="T531" s="6">
        <v>933391</v>
      </c>
      <c r="U531" s="6">
        <v>169493</v>
      </c>
      <c r="V531" s="6">
        <v>-1545</v>
      </c>
      <c r="W531" s="6">
        <v>0</v>
      </c>
      <c r="X531" s="6">
        <v>864</v>
      </c>
      <c r="Y531" s="6"/>
      <c r="Z531" s="6"/>
      <c r="AA531" s="6"/>
      <c r="AB531" s="6">
        <v>133</v>
      </c>
      <c r="AC531" s="6">
        <v>2337</v>
      </c>
      <c r="AD531" s="6">
        <v>11549</v>
      </c>
      <c r="AE531" s="6">
        <v>25348</v>
      </c>
      <c r="AF531" s="6">
        <v>19795</v>
      </c>
    </row>
    <row r="532" spans="1:32" x14ac:dyDescent="0.35">
      <c r="A532" s="1">
        <v>41269</v>
      </c>
      <c r="B532" s="6">
        <v>2907300</v>
      </c>
      <c r="C532" s="6">
        <v>11037</v>
      </c>
      <c r="D532" s="6">
        <v>5200</v>
      </c>
      <c r="E532" s="6">
        <v>2114</v>
      </c>
      <c r="F532" s="6">
        <v>2830070</v>
      </c>
      <c r="G532" s="6">
        <v>2660271</v>
      </c>
      <c r="H532" s="6">
        <v>1656930</v>
      </c>
      <c r="I532" s="6">
        <v>0</v>
      </c>
      <c r="J532" s="6">
        <v>1571252</v>
      </c>
      <c r="K532" s="6">
        <v>74740</v>
      </c>
      <c r="L532" s="6">
        <v>10938</v>
      </c>
      <c r="M532" s="6">
        <v>382</v>
      </c>
      <c r="N532" s="6">
        <v>4</v>
      </c>
      <c r="O532" s="6">
        <v>16</v>
      </c>
      <c r="P532" s="6">
        <v>365270</v>
      </c>
      <c r="Q532" s="6">
        <v>866016</v>
      </c>
      <c r="R532" s="6">
        <v>425241</v>
      </c>
      <c r="S532" s="6">
        <v>76783</v>
      </c>
      <c r="T532" s="6">
        <v>926558</v>
      </c>
      <c r="U532" s="6">
        <v>170744</v>
      </c>
      <c r="V532" s="6">
        <v>-1559</v>
      </c>
      <c r="W532" s="6">
        <v>0</v>
      </c>
      <c r="X532" s="6">
        <v>613</v>
      </c>
      <c r="Y532" s="6"/>
      <c r="Z532" s="6"/>
      <c r="AA532" s="6"/>
      <c r="AB532" s="6">
        <v>146</v>
      </c>
      <c r="AC532" s="6">
        <v>2339</v>
      </c>
      <c r="AD532" s="6">
        <v>8889</v>
      </c>
      <c r="AE532" s="6">
        <v>25149</v>
      </c>
      <c r="AF532" s="6">
        <v>20005</v>
      </c>
    </row>
    <row r="533" spans="1:32" x14ac:dyDescent="0.35">
      <c r="A533" s="1">
        <v>41276</v>
      </c>
      <c r="B533" s="6">
        <v>2917189</v>
      </c>
      <c r="C533" s="6">
        <v>11037</v>
      </c>
      <c r="D533" s="6">
        <v>5200</v>
      </c>
      <c r="E533" s="6">
        <v>2103</v>
      </c>
      <c r="F533" s="6">
        <v>2839495</v>
      </c>
      <c r="G533" s="6">
        <v>2669592</v>
      </c>
      <c r="H533" s="6">
        <v>1666118</v>
      </c>
      <c r="I533" s="6">
        <v>0</v>
      </c>
      <c r="J533" s="6">
        <v>1580472</v>
      </c>
      <c r="K533" s="6">
        <v>74740</v>
      </c>
      <c r="L533" s="6">
        <v>10906</v>
      </c>
      <c r="M533" s="6">
        <v>0</v>
      </c>
      <c r="N533" s="6">
        <v>5</v>
      </c>
      <c r="O533" s="6">
        <v>16</v>
      </c>
      <c r="P533" s="6">
        <v>378474</v>
      </c>
      <c r="Q533" s="6">
        <v>862403</v>
      </c>
      <c r="R533" s="6">
        <v>425221</v>
      </c>
      <c r="S533" s="6">
        <v>76783</v>
      </c>
      <c r="T533" s="6">
        <v>926691</v>
      </c>
      <c r="U533" s="6">
        <v>170880</v>
      </c>
      <c r="V533" s="6">
        <v>-1564</v>
      </c>
      <c r="W533" s="6">
        <v>0</v>
      </c>
      <c r="X533" s="6">
        <v>587</v>
      </c>
      <c r="Y533" s="6"/>
      <c r="Z533" s="6"/>
      <c r="AA533" s="6"/>
      <c r="AB533" s="6">
        <v>187</v>
      </c>
      <c r="AC533" s="6">
        <v>2331</v>
      </c>
      <c r="AD533" s="6">
        <v>8889</v>
      </c>
      <c r="AE533" s="6">
        <v>25002</v>
      </c>
      <c r="AF533" s="6">
        <v>20592</v>
      </c>
    </row>
    <row r="534" spans="1:32" x14ac:dyDescent="0.35">
      <c r="A534" s="1">
        <v>41283</v>
      </c>
      <c r="B534" s="6">
        <v>2928728</v>
      </c>
      <c r="C534" s="6">
        <v>11037</v>
      </c>
      <c r="D534" s="6">
        <v>5200</v>
      </c>
      <c r="E534" s="6">
        <v>2120</v>
      </c>
      <c r="F534" s="6">
        <v>2849274</v>
      </c>
      <c r="G534" s="6">
        <v>2679380</v>
      </c>
      <c r="H534" s="6">
        <v>1676307</v>
      </c>
      <c r="I534" s="6">
        <v>0</v>
      </c>
      <c r="J534" s="6">
        <v>1590752</v>
      </c>
      <c r="K534" s="6">
        <v>74740</v>
      </c>
      <c r="L534" s="6">
        <v>10815</v>
      </c>
      <c r="M534" s="6">
        <v>0</v>
      </c>
      <c r="N534" s="6">
        <v>5</v>
      </c>
      <c r="O534" s="6">
        <v>16</v>
      </c>
      <c r="P534" s="6">
        <v>383562</v>
      </c>
      <c r="Q534" s="6">
        <v>866089</v>
      </c>
      <c r="R534" s="6">
        <v>426635</v>
      </c>
      <c r="S534" s="6">
        <v>76361</v>
      </c>
      <c r="T534" s="6">
        <v>926712</v>
      </c>
      <c r="U534" s="6">
        <v>170933</v>
      </c>
      <c r="V534" s="6">
        <v>-1598</v>
      </c>
      <c r="W534" s="6">
        <v>0</v>
      </c>
      <c r="X534" s="6">
        <v>559</v>
      </c>
      <c r="Y534" s="6"/>
      <c r="Z534" s="6"/>
      <c r="AA534" s="6"/>
      <c r="AB534" s="6">
        <v>152</v>
      </c>
      <c r="AC534" s="6">
        <v>2332</v>
      </c>
      <c r="AD534" s="6">
        <v>8991</v>
      </c>
      <c r="AE534" s="6">
        <v>24710</v>
      </c>
      <c r="AF534" s="6">
        <v>22559</v>
      </c>
    </row>
    <row r="535" spans="1:32" x14ac:dyDescent="0.35">
      <c r="A535" s="1">
        <v>41290</v>
      </c>
      <c r="B535" s="6">
        <v>2963812</v>
      </c>
      <c r="C535" s="6">
        <v>11037</v>
      </c>
      <c r="D535" s="6">
        <v>5200</v>
      </c>
      <c r="E535" s="6">
        <v>2152</v>
      </c>
      <c r="F535" s="6">
        <v>2884259</v>
      </c>
      <c r="G535" s="6">
        <v>2711605</v>
      </c>
      <c r="H535" s="6">
        <v>1688886</v>
      </c>
      <c r="I535" s="6">
        <v>0</v>
      </c>
      <c r="J535" s="6">
        <v>1603423</v>
      </c>
      <c r="K535" s="6">
        <v>74740</v>
      </c>
      <c r="L535" s="6">
        <v>10723</v>
      </c>
      <c r="M535" s="6">
        <v>1</v>
      </c>
      <c r="N535" s="6">
        <v>4</v>
      </c>
      <c r="O535" s="6">
        <v>15</v>
      </c>
      <c r="P535" s="6">
        <v>386821</v>
      </c>
      <c r="Q535" s="6">
        <v>871522</v>
      </c>
      <c r="R535" s="6">
        <v>430521</v>
      </c>
      <c r="S535" s="6">
        <v>75111</v>
      </c>
      <c r="T535" s="6">
        <v>947608</v>
      </c>
      <c r="U535" s="6">
        <v>173681</v>
      </c>
      <c r="V535" s="6">
        <v>-1600</v>
      </c>
      <c r="W535" s="6">
        <v>0</v>
      </c>
      <c r="X535" s="6">
        <v>573</v>
      </c>
      <c r="Y535" s="6"/>
      <c r="Z535" s="6"/>
      <c r="AA535" s="6"/>
      <c r="AB535" s="6">
        <v>173</v>
      </c>
      <c r="AC535" s="6">
        <v>2332</v>
      </c>
      <c r="AD535" s="6">
        <v>8070</v>
      </c>
      <c r="AE535" s="6">
        <v>24868</v>
      </c>
      <c r="AF535" s="6">
        <v>23365</v>
      </c>
    </row>
    <row r="536" spans="1:32" x14ac:dyDescent="0.35">
      <c r="A536" s="1">
        <v>41297</v>
      </c>
      <c r="B536" s="6">
        <v>3011697</v>
      </c>
      <c r="C536" s="6">
        <v>11037</v>
      </c>
      <c r="D536" s="6">
        <v>5200</v>
      </c>
      <c r="E536" s="6">
        <v>2170</v>
      </c>
      <c r="F536" s="6">
        <v>2930753</v>
      </c>
      <c r="G536" s="6">
        <v>2754976</v>
      </c>
      <c r="H536" s="6">
        <v>1696691</v>
      </c>
      <c r="I536" s="6">
        <v>0</v>
      </c>
      <c r="J536" s="6">
        <v>1609819</v>
      </c>
      <c r="K536" s="6">
        <v>76130</v>
      </c>
      <c r="L536" s="6">
        <v>10742</v>
      </c>
      <c r="M536" s="6">
        <v>1</v>
      </c>
      <c r="N536" s="6">
        <v>4</v>
      </c>
      <c r="O536" s="6">
        <v>15</v>
      </c>
      <c r="P536" s="6">
        <v>386809</v>
      </c>
      <c r="Q536" s="6">
        <v>874860</v>
      </c>
      <c r="R536" s="6">
        <v>435001</v>
      </c>
      <c r="S536" s="6">
        <v>75111</v>
      </c>
      <c r="T536" s="6">
        <v>983174</v>
      </c>
      <c r="U536" s="6">
        <v>176846</v>
      </c>
      <c r="V536" s="6">
        <v>-1636</v>
      </c>
      <c r="W536" s="6">
        <v>0</v>
      </c>
      <c r="X536" s="6">
        <v>567</v>
      </c>
      <c r="Y536" s="6"/>
      <c r="Z536" s="6"/>
      <c r="AA536" s="6"/>
      <c r="AB536" s="6">
        <v>280</v>
      </c>
      <c r="AC536" s="6">
        <v>2333</v>
      </c>
      <c r="AD536" s="6">
        <v>8071</v>
      </c>
      <c r="AE536" s="6">
        <v>24897</v>
      </c>
      <c r="AF536" s="6">
        <v>24600</v>
      </c>
    </row>
    <row r="537" spans="1:32" x14ac:dyDescent="0.35">
      <c r="A537" s="1">
        <v>41304</v>
      </c>
      <c r="B537" s="6">
        <v>3008704</v>
      </c>
      <c r="C537" s="6">
        <v>11037</v>
      </c>
      <c r="D537" s="6">
        <v>5200</v>
      </c>
      <c r="E537" s="6">
        <v>2196</v>
      </c>
      <c r="F537" s="6">
        <v>2927416</v>
      </c>
      <c r="G537" s="6">
        <v>2750952</v>
      </c>
      <c r="H537" s="6">
        <v>1710058</v>
      </c>
      <c r="I537" s="6">
        <v>0</v>
      </c>
      <c r="J537" s="6">
        <v>1623279</v>
      </c>
      <c r="K537" s="6">
        <v>76130</v>
      </c>
      <c r="L537" s="6">
        <v>10649</v>
      </c>
      <c r="M537" s="6">
        <v>1</v>
      </c>
      <c r="N537" s="6">
        <v>5</v>
      </c>
      <c r="O537" s="6">
        <v>14</v>
      </c>
      <c r="P537" s="6">
        <v>400314</v>
      </c>
      <c r="Q537" s="6">
        <v>871745</v>
      </c>
      <c r="R537" s="6">
        <v>437977</v>
      </c>
      <c r="S537" s="6">
        <v>75111</v>
      </c>
      <c r="T537" s="6">
        <v>965784</v>
      </c>
      <c r="U537" s="6">
        <v>177551</v>
      </c>
      <c r="V537" s="6">
        <v>-1666</v>
      </c>
      <c r="W537" s="6">
        <v>0</v>
      </c>
      <c r="X537" s="6">
        <v>579</v>
      </c>
      <c r="Y537" s="6"/>
      <c r="Z537" s="6"/>
      <c r="AA537" s="6"/>
      <c r="AB537" s="6">
        <v>117</v>
      </c>
      <c r="AC537" s="6">
        <v>2335</v>
      </c>
      <c r="AD537" s="6">
        <v>8030</v>
      </c>
      <c r="AE537" s="6">
        <v>24873</v>
      </c>
      <c r="AF537" s="6">
        <v>25160</v>
      </c>
    </row>
    <row r="538" spans="1:32" x14ac:dyDescent="0.35">
      <c r="A538" s="1">
        <v>41311</v>
      </c>
      <c r="B538" s="6">
        <v>3014975</v>
      </c>
      <c r="C538" s="6">
        <v>11037</v>
      </c>
      <c r="D538" s="6">
        <v>5200</v>
      </c>
      <c r="E538" s="6">
        <v>2214</v>
      </c>
      <c r="F538" s="6">
        <v>2935694</v>
      </c>
      <c r="G538" s="6">
        <v>2758176</v>
      </c>
      <c r="H538" s="6">
        <v>1717182</v>
      </c>
      <c r="I538" s="6">
        <v>0</v>
      </c>
      <c r="J538" s="6">
        <v>1630467</v>
      </c>
      <c r="K538" s="6">
        <v>76130</v>
      </c>
      <c r="L538" s="6">
        <v>10585</v>
      </c>
      <c r="M538" s="6">
        <v>1</v>
      </c>
      <c r="N538" s="6">
        <v>4</v>
      </c>
      <c r="O538" s="6">
        <v>15</v>
      </c>
      <c r="P538" s="6">
        <v>400305</v>
      </c>
      <c r="Q538" s="6">
        <v>874956</v>
      </c>
      <c r="R538" s="6">
        <v>441899</v>
      </c>
      <c r="S538" s="6">
        <v>75111</v>
      </c>
      <c r="T538" s="6">
        <v>965883</v>
      </c>
      <c r="U538" s="6">
        <v>178684</v>
      </c>
      <c r="V538" s="6">
        <v>-1676</v>
      </c>
      <c r="W538" s="6">
        <v>0</v>
      </c>
      <c r="X538" s="6">
        <v>510</v>
      </c>
      <c r="Y538" s="6"/>
      <c r="Z538" s="6"/>
      <c r="AA538" s="6"/>
      <c r="AB538" s="6">
        <v>610</v>
      </c>
      <c r="AC538" s="6">
        <v>2306</v>
      </c>
      <c r="AD538" s="6">
        <v>5192</v>
      </c>
      <c r="AE538" s="6">
        <v>24563</v>
      </c>
      <c r="AF538" s="6">
        <v>26165</v>
      </c>
    </row>
    <row r="539" spans="1:32" x14ac:dyDescent="0.35">
      <c r="A539" s="1">
        <v>41318</v>
      </c>
      <c r="B539" s="6">
        <v>3074225</v>
      </c>
      <c r="C539" s="6">
        <v>11037</v>
      </c>
      <c r="D539" s="6">
        <v>5200</v>
      </c>
      <c r="E539" s="6">
        <v>2224</v>
      </c>
      <c r="F539" s="6">
        <v>2992990</v>
      </c>
      <c r="G539" s="6">
        <v>2812756</v>
      </c>
      <c r="H539" s="6">
        <v>1728477</v>
      </c>
      <c r="I539" s="6">
        <v>0</v>
      </c>
      <c r="J539" s="6">
        <v>1640398</v>
      </c>
      <c r="K539" s="6">
        <v>77499</v>
      </c>
      <c r="L539" s="6">
        <v>10581</v>
      </c>
      <c r="M539" s="6">
        <v>3</v>
      </c>
      <c r="N539" s="6">
        <v>3</v>
      </c>
      <c r="O539" s="6">
        <v>15</v>
      </c>
      <c r="P539" s="6">
        <v>400297</v>
      </c>
      <c r="Q539" s="6">
        <v>881896</v>
      </c>
      <c r="R539" s="6">
        <v>446263</v>
      </c>
      <c r="S539" s="6">
        <v>74613</v>
      </c>
      <c r="T539" s="6">
        <v>1009666</v>
      </c>
      <c r="U539" s="6">
        <v>181461</v>
      </c>
      <c r="V539" s="6">
        <v>-1676</v>
      </c>
      <c r="W539" s="6">
        <v>0</v>
      </c>
      <c r="X539" s="6">
        <v>449</v>
      </c>
      <c r="Y539" s="6"/>
      <c r="Z539" s="6"/>
      <c r="AA539" s="6"/>
      <c r="AB539" s="6">
        <v>566</v>
      </c>
      <c r="AC539" s="6">
        <v>2307</v>
      </c>
      <c r="AD539" s="6">
        <v>5193</v>
      </c>
      <c r="AE539" s="6">
        <v>24496</v>
      </c>
      <c r="AF539" s="6">
        <v>28222</v>
      </c>
    </row>
    <row r="540" spans="1:32" x14ac:dyDescent="0.35">
      <c r="A540" s="1">
        <v>41325</v>
      </c>
      <c r="B540" s="6">
        <v>3095150</v>
      </c>
      <c r="C540" s="6">
        <v>11037</v>
      </c>
      <c r="D540" s="6">
        <v>5200</v>
      </c>
      <c r="E540" s="6">
        <v>2206</v>
      </c>
      <c r="F540" s="6">
        <v>3026167</v>
      </c>
      <c r="G540" s="6">
        <v>2843781</v>
      </c>
      <c r="H540" s="6">
        <v>1736456</v>
      </c>
      <c r="I540" s="6">
        <v>0</v>
      </c>
      <c r="J540" s="6">
        <v>1648436</v>
      </c>
      <c r="K540" s="6">
        <v>77499</v>
      </c>
      <c r="L540" s="6">
        <v>10521</v>
      </c>
      <c r="M540" s="6">
        <v>1</v>
      </c>
      <c r="N540" s="6">
        <v>4</v>
      </c>
      <c r="O540" s="6">
        <v>14</v>
      </c>
      <c r="P540" s="6">
        <v>416244</v>
      </c>
      <c r="Q540" s="6">
        <v>880077</v>
      </c>
      <c r="R540" s="6">
        <v>440115</v>
      </c>
      <c r="S540" s="6">
        <v>74613</v>
      </c>
      <c r="T540" s="6">
        <v>1032712</v>
      </c>
      <c r="U540" s="6">
        <v>183590</v>
      </c>
      <c r="V540" s="6">
        <v>-1652</v>
      </c>
      <c r="W540" s="6">
        <v>0</v>
      </c>
      <c r="X540" s="6">
        <v>448</v>
      </c>
      <c r="Y540" s="6"/>
      <c r="Z540" s="6"/>
      <c r="AA540" s="6"/>
      <c r="AB540" s="6">
        <v>573</v>
      </c>
      <c r="AC540" s="6">
        <v>2308</v>
      </c>
      <c r="AD540" s="6">
        <v>5192</v>
      </c>
      <c r="AE540" s="6">
        <v>24378</v>
      </c>
      <c r="AF540" s="6">
        <v>16099</v>
      </c>
    </row>
    <row r="541" spans="1:32" x14ac:dyDescent="0.35">
      <c r="A541" s="1">
        <v>41332</v>
      </c>
      <c r="B541" s="6">
        <v>3090600</v>
      </c>
      <c r="C541" s="6">
        <v>11037</v>
      </c>
      <c r="D541" s="6">
        <v>5200</v>
      </c>
      <c r="E541" s="6">
        <v>2186</v>
      </c>
      <c r="F541" s="6">
        <v>3022220</v>
      </c>
      <c r="G541" s="6">
        <v>2839047</v>
      </c>
      <c r="H541" s="6">
        <v>1749545</v>
      </c>
      <c r="I541" s="6">
        <v>0</v>
      </c>
      <c r="J541" s="6">
        <v>1661584</v>
      </c>
      <c r="K541" s="6">
        <v>77499</v>
      </c>
      <c r="L541" s="6">
        <v>10462</v>
      </c>
      <c r="M541" s="6">
        <v>1</v>
      </c>
      <c r="N541" s="6">
        <v>4</v>
      </c>
      <c r="O541" s="6">
        <v>14</v>
      </c>
      <c r="P541" s="6">
        <v>433570</v>
      </c>
      <c r="Q541" s="6">
        <v>872989</v>
      </c>
      <c r="R541" s="6">
        <v>442966</v>
      </c>
      <c r="S541" s="6">
        <v>73588</v>
      </c>
      <c r="T541" s="6">
        <v>1015914</v>
      </c>
      <c r="U541" s="6">
        <v>184443</v>
      </c>
      <c r="V541" s="6">
        <v>-1668</v>
      </c>
      <c r="W541" s="6">
        <v>0</v>
      </c>
      <c r="X541" s="6">
        <v>399</v>
      </c>
      <c r="Y541" s="6"/>
      <c r="Z541" s="6"/>
      <c r="AA541" s="6"/>
      <c r="AB541" s="6">
        <v>574</v>
      </c>
      <c r="AC541" s="6">
        <v>2310</v>
      </c>
      <c r="AD541" s="6">
        <v>4194</v>
      </c>
      <c r="AE541" s="6">
        <v>24292</v>
      </c>
      <c r="AF541" s="6">
        <v>16597</v>
      </c>
    </row>
    <row r="542" spans="1:32" x14ac:dyDescent="0.35">
      <c r="A542" s="1">
        <v>41339</v>
      </c>
      <c r="B542" s="6">
        <v>3108805</v>
      </c>
      <c r="C542" s="6">
        <v>11037</v>
      </c>
      <c r="D542" s="6">
        <v>5200</v>
      </c>
      <c r="E542" s="6">
        <v>2166</v>
      </c>
      <c r="F542" s="6">
        <v>3035591</v>
      </c>
      <c r="G542" s="6">
        <v>2851294</v>
      </c>
      <c r="H542" s="6">
        <v>1761763</v>
      </c>
      <c r="I542" s="6">
        <v>0</v>
      </c>
      <c r="J542" s="6">
        <v>1673761</v>
      </c>
      <c r="K542" s="6">
        <v>77499</v>
      </c>
      <c r="L542" s="6">
        <v>10504</v>
      </c>
      <c r="M542" s="6">
        <v>0</v>
      </c>
      <c r="N542" s="6">
        <v>5</v>
      </c>
      <c r="O542" s="6">
        <v>308</v>
      </c>
      <c r="P542" s="6">
        <v>438296</v>
      </c>
      <c r="Q542" s="6">
        <v>876335</v>
      </c>
      <c r="R542" s="6">
        <v>446819</v>
      </c>
      <c r="S542" s="6">
        <v>73588</v>
      </c>
      <c r="T542" s="6">
        <v>1015943</v>
      </c>
      <c r="U542" s="6">
        <v>185533</v>
      </c>
      <c r="V542" s="6">
        <v>-1638</v>
      </c>
      <c r="W542" s="6">
        <v>0</v>
      </c>
      <c r="X542" s="6">
        <v>400</v>
      </c>
      <c r="Y542" s="6"/>
      <c r="Z542" s="6"/>
      <c r="AA542" s="6"/>
      <c r="AB542" s="6">
        <v>634</v>
      </c>
      <c r="AC542" s="6">
        <v>2300</v>
      </c>
      <c r="AD542" s="6">
        <v>8343</v>
      </c>
      <c r="AE542" s="6">
        <v>23981</v>
      </c>
      <c r="AF542" s="6">
        <v>17676</v>
      </c>
    </row>
    <row r="543" spans="1:32" x14ac:dyDescent="0.35">
      <c r="A543" s="1">
        <v>41346</v>
      </c>
      <c r="B543" s="6">
        <v>3165396</v>
      </c>
      <c r="C543" s="6">
        <v>11037</v>
      </c>
      <c r="D543" s="6">
        <v>5200</v>
      </c>
      <c r="E543" s="6">
        <v>2149</v>
      </c>
      <c r="F543" s="6">
        <v>3090882</v>
      </c>
      <c r="G543" s="6">
        <v>2904443</v>
      </c>
      <c r="H543" s="6">
        <v>1769987</v>
      </c>
      <c r="I543" s="6">
        <v>0</v>
      </c>
      <c r="J543" s="6">
        <v>1680366</v>
      </c>
      <c r="K543" s="6">
        <v>78879</v>
      </c>
      <c r="L543" s="6">
        <v>10742</v>
      </c>
      <c r="M543" s="6">
        <v>0</v>
      </c>
      <c r="N543" s="6">
        <v>5</v>
      </c>
      <c r="O543" s="6">
        <v>308</v>
      </c>
      <c r="P543" s="6">
        <v>438304</v>
      </c>
      <c r="Q543" s="6">
        <v>880024</v>
      </c>
      <c r="R543" s="6">
        <v>451345</v>
      </c>
      <c r="S543" s="6">
        <v>73588</v>
      </c>
      <c r="T543" s="6">
        <v>1060869</v>
      </c>
      <c r="U543" s="6">
        <v>187718</v>
      </c>
      <c r="V543" s="6">
        <v>-1677</v>
      </c>
      <c r="W543" s="6">
        <v>0</v>
      </c>
      <c r="X543" s="6">
        <v>397</v>
      </c>
      <c r="Y543" s="6"/>
      <c r="Z543" s="6"/>
      <c r="AA543" s="6"/>
      <c r="AB543" s="6">
        <v>574</v>
      </c>
      <c r="AC543" s="6">
        <v>2302</v>
      </c>
      <c r="AD543" s="6">
        <v>7988</v>
      </c>
      <c r="AE543" s="6">
        <v>23695</v>
      </c>
      <c r="AF543" s="6">
        <v>19682</v>
      </c>
    </row>
    <row r="544" spans="1:32" x14ac:dyDescent="0.35">
      <c r="A544" s="1">
        <v>41353</v>
      </c>
      <c r="B544" s="6">
        <v>3206888</v>
      </c>
      <c r="C544" s="6">
        <v>11037</v>
      </c>
      <c r="D544" s="6">
        <v>5200</v>
      </c>
      <c r="E544" s="6">
        <v>2120</v>
      </c>
      <c r="F544" s="6">
        <v>3131616</v>
      </c>
      <c r="G544" s="6">
        <v>2942583</v>
      </c>
      <c r="H544" s="6">
        <v>1784652</v>
      </c>
      <c r="I544" s="6">
        <v>0</v>
      </c>
      <c r="J544" s="6">
        <v>1694972</v>
      </c>
      <c r="K544" s="6">
        <v>78879</v>
      </c>
      <c r="L544" s="6">
        <v>10802</v>
      </c>
      <c r="M544" s="6">
        <v>1</v>
      </c>
      <c r="N544" s="6">
        <v>6</v>
      </c>
      <c r="O544" s="6">
        <v>307</v>
      </c>
      <c r="P544" s="6">
        <v>442424</v>
      </c>
      <c r="Q544" s="6">
        <v>887601</v>
      </c>
      <c r="R544" s="6">
        <v>454314</v>
      </c>
      <c r="S544" s="6">
        <v>72423</v>
      </c>
      <c r="T544" s="6">
        <v>1085507</v>
      </c>
      <c r="U544" s="6">
        <v>190307</v>
      </c>
      <c r="V544" s="6">
        <v>-1666</v>
      </c>
      <c r="W544" s="6">
        <v>0</v>
      </c>
      <c r="X544" s="6">
        <v>392</v>
      </c>
      <c r="Y544" s="6"/>
      <c r="Z544" s="6"/>
      <c r="AA544" s="6"/>
      <c r="AB544" s="6">
        <v>497</v>
      </c>
      <c r="AC544" s="6">
        <v>2303</v>
      </c>
      <c r="AD544" s="6">
        <v>7965</v>
      </c>
      <c r="AE544" s="6">
        <v>23746</v>
      </c>
      <c r="AF544" s="6">
        <v>20518</v>
      </c>
    </row>
    <row r="545" spans="1:32" x14ac:dyDescent="0.35">
      <c r="A545" s="1">
        <v>41360</v>
      </c>
      <c r="B545" s="6">
        <v>3202256</v>
      </c>
      <c r="C545" s="6">
        <v>11037</v>
      </c>
      <c r="D545" s="6">
        <v>5200</v>
      </c>
      <c r="E545" s="6">
        <v>2108</v>
      </c>
      <c r="F545" s="6">
        <v>3127108</v>
      </c>
      <c r="G545" s="6">
        <v>2937814</v>
      </c>
      <c r="H545" s="6">
        <v>1794459</v>
      </c>
      <c r="I545" s="6">
        <v>0</v>
      </c>
      <c r="J545" s="6">
        <v>1704719</v>
      </c>
      <c r="K545" s="6">
        <v>78879</v>
      </c>
      <c r="L545" s="6">
        <v>10862</v>
      </c>
      <c r="M545" s="6">
        <v>1</v>
      </c>
      <c r="N545" s="6">
        <v>6</v>
      </c>
      <c r="O545" s="6">
        <v>307</v>
      </c>
      <c r="P545" s="6">
        <v>442432</v>
      </c>
      <c r="Q545" s="6">
        <v>894432</v>
      </c>
      <c r="R545" s="6">
        <v>457282</v>
      </c>
      <c r="S545" s="6">
        <v>72423</v>
      </c>
      <c r="T545" s="6">
        <v>1070932</v>
      </c>
      <c r="U545" s="6">
        <v>190579</v>
      </c>
      <c r="V545" s="6">
        <v>-1671</v>
      </c>
      <c r="W545" s="6">
        <v>0</v>
      </c>
      <c r="X545" s="6">
        <v>385</v>
      </c>
      <c r="Y545" s="6"/>
      <c r="Z545" s="6"/>
      <c r="AA545" s="6"/>
      <c r="AB545" s="6">
        <v>125</v>
      </c>
      <c r="AC545" s="6">
        <v>2303</v>
      </c>
      <c r="AD545" s="6">
        <v>8265</v>
      </c>
      <c r="AE545" s="6">
        <v>23683</v>
      </c>
      <c r="AF545" s="6">
        <v>20539</v>
      </c>
    </row>
    <row r="546" spans="1:32" x14ac:dyDescent="0.35">
      <c r="A546" s="1">
        <v>41367</v>
      </c>
      <c r="B546" s="6">
        <v>3215432</v>
      </c>
      <c r="C546" s="6">
        <v>11037</v>
      </c>
      <c r="D546" s="6">
        <v>5200</v>
      </c>
      <c r="E546" s="6">
        <v>2097</v>
      </c>
      <c r="F546" s="6">
        <v>3139329</v>
      </c>
      <c r="G546" s="6">
        <v>2949036</v>
      </c>
      <c r="H546" s="6">
        <v>1805639</v>
      </c>
      <c r="I546" s="6">
        <v>0</v>
      </c>
      <c r="J546" s="6">
        <v>1715791</v>
      </c>
      <c r="K546" s="6">
        <v>78879</v>
      </c>
      <c r="L546" s="6">
        <v>10969</v>
      </c>
      <c r="M546" s="6">
        <v>1</v>
      </c>
      <c r="N546" s="6">
        <v>6</v>
      </c>
      <c r="O546" s="6">
        <v>308</v>
      </c>
      <c r="P546" s="6">
        <v>462022</v>
      </c>
      <c r="Q546" s="6">
        <v>882819</v>
      </c>
      <c r="R546" s="6">
        <v>460484</v>
      </c>
      <c r="S546" s="6">
        <v>72423</v>
      </c>
      <c r="T546" s="6">
        <v>1070974</v>
      </c>
      <c r="U546" s="6">
        <v>191539</v>
      </c>
      <c r="V546" s="6">
        <v>-1640</v>
      </c>
      <c r="W546" s="6">
        <v>0</v>
      </c>
      <c r="X546" s="6">
        <v>394</v>
      </c>
      <c r="Y546" s="6"/>
      <c r="Z546" s="6"/>
      <c r="AA546" s="6"/>
      <c r="AB546" s="6">
        <v>127</v>
      </c>
      <c r="AC546" s="6">
        <v>2297</v>
      </c>
      <c r="AD546" s="6">
        <v>8056</v>
      </c>
      <c r="AE546" s="6">
        <v>23908</v>
      </c>
      <c r="AF546" s="6">
        <v>21495</v>
      </c>
    </row>
    <row r="547" spans="1:32" x14ac:dyDescent="0.35">
      <c r="A547" s="1">
        <v>41374</v>
      </c>
      <c r="B547" s="6">
        <v>3227762</v>
      </c>
      <c r="C547" s="6">
        <v>11037</v>
      </c>
      <c r="D547" s="6">
        <v>5200</v>
      </c>
      <c r="E547" s="6">
        <v>2081</v>
      </c>
      <c r="F547" s="6">
        <v>3149246</v>
      </c>
      <c r="G547" s="6">
        <v>2957619</v>
      </c>
      <c r="H547" s="6">
        <v>1814482</v>
      </c>
      <c r="I547" s="6">
        <v>0</v>
      </c>
      <c r="J547" s="6">
        <v>1722664</v>
      </c>
      <c r="K547" s="6">
        <v>80278</v>
      </c>
      <c r="L547" s="6">
        <v>11541</v>
      </c>
      <c r="M547" s="6">
        <v>1</v>
      </c>
      <c r="N547" s="6">
        <v>6</v>
      </c>
      <c r="O547" s="6">
        <v>308</v>
      </c>
      <c r="P547" s="6">
        <v>462043</v>
      </c>
      <c r="Q547" s="6">
        <v>886581</v>
      </c>
      <c r="R547" s="6">
        <v>465543</v>
      </c>
      <c r="S547" s="6">
        <v>72053</v>
      </c>
      <c r="T547" s="6">
        <v>1071084</v>
      </c>
      <c r="U547" s="6">
        <v>192839</v>
      </c>
      <c r="V547" s="6">
        <v>-1651</v>
      </c>
      <c r="W547" s="6">
        <v>0</v>
      </c>
      <c r="X547" s="6">
        <v>439</v>
      </c>
      <c r="Y547" s="6"/>
      <c r="Z547" s="6"/>
      <c r="AA547" s="6"/>
      <c r="AB547" s="6">
        <v>108</v>
      </c>
      <c r="AC547" s="6">
        <v>2297</v>
      </c>
      <c r="AD547" s="6">
        <v>8751</v>
      </c>
      <c r="AE547" s="6">
        <v>23471</v>
      </c>
      <c r="AF547" s="6">
        <v>23689</v>
      </c>
    </row>
    <row r="548" spans="1:32" x14ac:dyDescent="0.35">
      <c r="A548" s="1">
        <v>41381</v>
      </c>
      <c r="B548" s="6">
        <v>3295109</v>
      </c>
      <c r="C548" s="6">
        <v>11037</v>
      </c>
      <c r="D548" s="6">
        <v>5200</v>
      </c>
      <c r="E548" s="6">
        <v>2069</v>
      </c>
      <c r="F548" s="6">
        <v>3216627</v>
      </c>
      <c r="G548" s="6">
        <v>3023213</v>
      </c>
      <c r="H548" s="6">
        <v>1825042</v>
      </c>
      <c r="I548" s="6">
        <v>0</v>
      </c>
      <c r="J548" s="6">
        <v>1733049</v>
      </c>
      <c r="K548" s="6">
        <v>80277</v>
      </c>
      <c r="L548" s="6">
        <v>11716</v>
      </c>
      <c r="M548" s="6">
        <v>1</v>
      </c>
      <c r="N548" s="6">
        <v>6</v>
      </c>
      <c r="O548" s="6">
        <v>307</v>
      </c>
      <c r="P548" s="6">
        <v>467645</v>
      </c>
      <c r="Q548" s="6">
        <v>889937</v>
      </c>
      <c r="R548" s="6">
        <v>467146</v>
      </c>
      <c r="S548" s="6">
        <v>72053</v>
      </c>
      <c r="T548" s="6">
        <v>1126119</v>
      </c>
      <c r="U548" s="6">
        <v>194674</v>
      </c>
      <c r="V548" s="6">
        <v>-1664</v>
      </c>
      <c r="W548" s="6">
        <v>0</v>
      </c>
      <c r="X548" s="6">
        <v>404</v>
      </c>
      <c r="Y548" s="6"/>
      <c r="Z548" s="6"/>
      <c r="AA548" s="6"/>
      <c r="AB548" s="6">
        <v>124</v>
      </c>
      <c r="AC548" s="6">
        <v>2300</v>
      </c>
      <c r="AD548" s="6">
        <v>7552</v>
      </c>
      <c r="AE548" s="6">
        <v>23641</v>
      </c>
      <c r="AF548" s="6">
        <v>24675</v>
      </c>
    </row>
    <row r="549" spans="1:32" x14ac:dyDescent="0.35">
      <c r="A549" s="1">
        <v>41388</v>
      </c>
      <c r="B549" s="6">
        <v>3318649</v>
      </c>
      <c r="C549" s="6">
        <v>11037</v>
      </c>
      <c r="D549" s="6">
        <v>5200</v>
      </c>
      <c r="E549" s="6">
        <v>2047</v>
      </c>
      <c r="F549" s="6">
        <v>3239138</v>
      </c>
      <c r="G549" s="6">
        <v>3044287</v>
      </c>
      <c r="H549" s="6">
        <v>1836227</v>
      </c>
      <c r="I549" s="6">
        <v>0</v>
      </c>
      <c r="J549" s="6">
        <v>1744060</v>
      </c>
      <c r="K549" s="6">
        <v>80277</v>
      </c>
      <c r="L549" s="6">
        <v>11891</v>
      </c>
      <c r="M549" s="6">
        <v>1</v>
      </c>
      <c r="N549" s="6">
        <v>6</v>
      </c>
      <c r="O549" s="6">
        <v>307</v>
      </c>
      <c r="P549" s="6">
        <v>467666</v>
      </c>
      <c r="Q549" s="6">
        <v>897077</v>
      </c>
      <c r="R549" s="6">
        <v>471170</v>
      </c>
      <c r="S549" s="6">
        <v>72053</v>
      </c>
      <c r="T549" s="6">
        <v>1136007</v>
      </c>
      <c r="U549" s="6">
        <v>196094</v>
      </c>
      <c r="V549" s="6">
        <v>-1662</v>
      </c>
      <c r="W549" s="6">
        <v>0</v>
      </c>
      <c r="X549" s="6">
        <v>418</v>
      </c>
      <c r="Y549" s="6"/>
      <c r="Z549" s="6"/>
      <c r="AA549" s="6"/>
      <c r="AB549" s="6">
        <v>134</v>
      </c>
      <c r="AC549" s="6">
        <v>2301</v>
      </c>
      <c r="AD549" s="6">
        <v>7552</v>
      </c>
      <c r="AE549" s="6">
        <v>23427</v>
      </c>
      <c r="AF549" s="6">
        <v>25910</v>
      </c>
    </row>
    <row r="550" spans="1:32" x14ac:dyDescent="0.35">
      <c r="A550" s="1">
        <v>41395</v>
      </c>
      <c r="B550" s="6">
        <v>3317194</v>
      </c>
      <c r="C550" s="6">
        <v>11037</v>
      </c>
      <c r="D550" s="6">
        <v>5200</v>
      </c>
      <c r="E550" s="6">
        <v>2039</v>
      </c>
      <c r="F550" s="6">
        <v>3236685</v>
      </c>
      <c r="G550" s="6">
        <v>3041571</v>
      </c>
      <c r="H550" s="6">
        <v>1847983</v>
      </c>
      <c r="I550" s="6">
        <v>0</v>
      </c>
      <c r="J550" s="6">
        <v>1755658</v>
      </c>
      <c r="K550" s="6">
        <v>80277</v>
      </c>
      <c r="L550" s="6">
        <v>12048</v>
      </c>
      <c r="M550" s="6">
        <v>2</v>
      </c>
      <c r="N550" s="6">
        <v>4</v>
      </c>
      <c r="O550" s="6">
        <v>308</v>
      </c>
      <c r="P550" s="6">
        <v>491298</v>
      </c>
      <c r="Q550" s="6">
        <v>882001</v>
      </c>
      <c r="R550" s="6">
        <v>474369</v>
      </c>
      <c r="S550" s="6">
        <v>72053</v>
      </c>
      <c r="T550" s="6">
        <v>1121535</v>
      </c>
      <c r="U550" s="6">
        <v>196344</v>
      </c>
      <c r="V550" s="6">
        <v>-1649</v>
      </c>
      <c r="W550" s="6">
        <v>0</v>
      </c>
      <c r="X550" s="6">
        <v>419</v>
      </c>
      <c r="Y550" s="6"/>
      <c r="Z550" s="6"/>
      <c r="AA550" s="6"/>
      <c r="AB550" s="6">
        <v>591</v>
      </c>
      <c r="AC550" s="6">
        <v>2296</v>
      </c>
      <c r="AD550" s="6">
        <v>8576</v>
      </c>
      <c r="AE550" s="6">
        <v>23850</v>
      </c>
      <c r="AF550" s="6">
        <v>25014</v>
      </c>
    </row>
    <row r="551" spans="1:32" x14ac:dyDescent="0.35">
      <c r="A551" s="1">
        <v>41402</v>
      </c>
      <c r="B551" s="6">
        <v>3324615</v>
      </c>
      <c r="C551" s="6">
        <v>11037</v>
      </c>
      <c r="D551" s="6">
        <v>5200</v>
      </c>
      <c r="E551" s="6">
        <v>2032</v>
      </c>
      <c r="F551" s="6">
        <v>3243553</v>
      </c>
      <c r="G551" s="6">
        <v>3047938</v>
      </c>
      <c r="H551" s="6">
        <v>1854334</v>
      </c>
      <c r="I551" s="6">
        <v>0</v>
      </c>
      <c r="J551" s="6">
        <v>1761954</v>
      </c>
      <c r="K551" s="6">
        <v>80277</v>
      </c>
      <c r="L551" s="6">
        <v>12103</v>
      </c>
      <c r="M551" s="6">
        <v>2</v>
      </c>
      <c r="N551" s="6">
        <v>5</v>
      </c>
      <c r="O551" s="6">
        <v>308</v>
      </c>
      <c r="P551" s="6">
        <v>491305</v>
      </c>
      <c r="Q551" s="6">
        <v>885318</v>
      </c>
      <c r="R551" s="6">
        <v>477396</v>
      </c>
      <c r="S551" s="6">
        <v>72053</v>
      </c>
      <c r="T551" s="6">
        <v>1121552</v>
      </c>
      <c r="U551" s="6">
        <v>196853</v>
      </c>
      <c r="V551" s="6">
        <v>-1657</v>
      </c>
      <c r="W551" s="6">
        <v>0</v>
      </c>
      <c r="X551" s="6">
        <v>418</v>
      </c>
      <c r="Y551" s="6"/>
      <c r="Z551" s="6"/>
      <c r="AA551" s="6"/>
      <c r="AB551" s="6">
        <v>500</v>
      </c>
      <c r="AC551" s="6">
        <v>2296</v>
      </c>
      <c r="AD551" s="6">
        <v>7276</v>
      </c>
      <c r="AE551" s="6">
        <v>23672</v>
      </c>
      <c r="AF551" s="6">
        <v>27145</v>
      </c>
    </row>
    <row r="552" spans="1:32" x14ac:dyDescent="0.35">
      <c r="A552" s="1">
        <v>41409</v>
      </c>
      <c r="B552" s="6">
        <v>3354269</v>
      </c>
      <c r="C552" s="6">
        <v>11037</v>
      </c>
      <c r="D552" s="6">
        <v>5200</v>
      </c>
      <c r="E552" s="6">
        <v>2021</v>
      </c>
      <c r="F552" s="6">
        <v>3284863</v>
      </c>
      <c r="G552" s="6">
        <v>3087056</v>
      </c>
      <c r="H552" s="6">
        <v>1864508</v>
      </c>
      <c r="I552" s="6">
        <v>0</v>
      </c>
      <c r="J552" s="6">
        <v>1770349</v>
      </c>
      <c r="K552" s="6">
        <v>81646</v>
      </c>
      <c r="L552" s="6">
        <v>12513</v>
      </c>
      <c r="M552" s="6">
        <v>0</v>
      </c>
      <c r="N552" s="6">
        <v>5</v>
      </c>
      <c r="O552" s="6">
        <v>308</v>
      </c>
      <c r="P552" s="6">
        <v>516337</v>
      </c>
      <c r="Q552" s="6">
        <v>867351</v>
      </c>
      <c r="R552" s="6">
        <v>480507</v>
      </c>
      <c r="S552" s="6">
        <v>72053</v>
      </c>
      <c r="T552" s="6">
        <v>1150494</v>
      </c>
      <c r="U552" s="6">
        <v>199053</v>
      </c>
      <c r="V552" s="6">
        <v>-1672</v>
      </c>
      <c r="W552" s="6">
        <v>0</v>
      </c>
      <c r="X552" s="6">
        <v>426</v>
      </c>
      <c r="Y552" s="6"/>
      <c r="Z552" s="6"/>
      <c r="AA552" s="6"/>
      <c r="AB552" s="6">
        <v>497</v>
      </c>
      <c r="AC552" s="6">
        <v>2297</v>
      </c>
      <c r="AD552" s="6">
        <v>7276</v>
      </c>
      <c r="AE552" s="6">
        <v>23003</v>
      </c>
      <c r="AF552" s="6">
        <v>16173</v>
      </c>
    </row>
    <row r="553" spans="1:32" x14ac:dyDescent="0.35">
      <c r="A553" s="1">
        <v>41416</v>
      </c>
      <c r="B553" s="6">
        <v>3398713</v>
      </c>
      <c r="C553" s="6">
        <v>11037</v>
      </c>
      <c r="D553" s="6">
        <v>5200</v>
      </c>
      <c r="E553" s="6">
        <v>2001</v>
      </c>
      <c r="F553" s="6">
        <v>3327787</v>
      </c>
      <c r="G553" s="6">
        <v>3127992</v>
      </c>
      <c r="H553" s="6">
        <v>1877154</v>
      </c>
      <c r="I553" s="6">
        <v>0</v>
      </c>
      <c r="J553" s="6">
        <v>1782939</v>
      </c>
      <c r="K553" s="6">
        <v>81646</v>
      </c>
      <c r="L553" s="6">
        <v>12569</v>
      </c>
      <c r="M553" s="6">
        <v>1</v>
      </c>
      <c r="N553" s="6">
        <v>4</v>
      </c>
      <c r="O553" s="6">
        <v>308</v>
      </c>
      <c r="P553" s="6">
        <v>520567</v>
      </c>
      <c r="Q553" s="6">
        <v>871918</v>
      </c>
      <c r="R553" s="6">
        <v>484357</v>
      </c>
      <c r="S553" s="6">
        <v>72053</v>
      </c>
      <c r="T553" s="6">
        <v>1178785</v>
      </c>
      <c r="U553" s="6">
        <v>201100</v>
      </c>
      <c r="V553" s="6">
        <v>-1694</v>
      </c>
      <c r="W553" s="6">
        <v>0</v>
      </c>
      <c r="X553" s="6">
        <v>389</v>
      </c>
      <c r="Y553" s="6"/>
      <c r="Z553" s="6"/>
      <c r="AA553" s="6"/>
      <c r="AB553" s="6">
        <v>435</v>
      </c>
      <c r="AC553" s="6">
        <v>2302</v>
      </c>
      <c r="AD553" s="6">
        <v>7277</v>
      </c>
      <c r="AE553" s="6">
        <v>22917</v>
      </c>
      <c r="AF553" s="6">
        <v>17854</v>
      </c>
    </row>
    <row r="554" spans="1:32" x14ac:dyDescent="0.35">
      <c r="A554" s="1">
        <v>41423</v>
      </c>
      <c r="B554" s="6">
        <v>3385128</v>
      </c>
      <c r="C554" s="6">
        <v>11037</v>
      </c>
      <c r="D554" s="6">
        <v>5200</v>
      </c>
      <c r="E554" s="6">
        <v>1966</v>
      </c>
      <c r="F554" s="6">
        <v>3318900</v>
      </c>
      <c r="G554" s="6">
        <v>3119382</v>
      </c>
      <c r="H554" s="6">
        <v>1883559</v>
      </c>
      <c r="I554" s="6">
        <v>0</v>
      </c>
      <c r="J554" s="6">
        <v>1789288</v>
      </c>
      <c r="K554" s="6">
        <v>81646</v>
      </c>
      <c r="L554" s="6">
        <v>12624</v>
      </c>
      <c r="M554" s="6">
        <v>1</v>
      </c>
      <c r="N554" s="6">
        <v>4</v>
      </c>
      <c r="O554" s="6">
        <v>308</v>
      </c>
      <c r="P554" s="6">
        <v>520574</v>
      </c>
      <c r="Q554" s="6">
        <v>875579</v>
      </c>
      <c r="R554" s="6">
        <v>487094</v>
      </c>
      <c r="S554" s="6">
        <v>70890</v>
      </c>
      <c r="T554" s="6">
        <v>1164934</v>
      </c>
      <c r="U554" s="6">
        <v>200824</v>
      </c>
      <c r="V554" s="6">
        <v>-1724</v>
      </c>
      <c r="W554" s="6">
        <v>0</v>
      </c>
      <c r="X554" s="6">
        <v>418</v>
      </c>
      <c r="Y554" s="6"/>
      <c r="Z554" s="6"/>
      <c r="AA554" s="6"/>
      <c r="AB554" s="6">
        <v>515</v>
      </c>
      <c r="AC554" s="6">
        <v>2304</v>
      </c>
      <c r="AD554" s="6">
        <v>1771</v>
      </c>
      <c r="AE554" s="6">
        <v>23238</v>
      </c>
      <c r="AF554" s="6">
        <v>18299</v>
      </c>
    </row>
    <row r="555" spans="1:32" x14ac:dyDescent="0.35">
      <c r="A555" s="1">
        <v>41430</v>
      </c>
      <c r="B555" s="6">
        <v>3400183</v>
      </c>
      <c r="C555" s="6">
        <v>11037</v>
      </c>
      <c r="D555" s="6">
        <v>5200</v>
      </c>
      <c r="E555" s="6">
        <v>1968</v>
      </c>
      <c r="F555" s="6">
        <v>3333238</v>
      </c>
      <c r="G555" s="6">
        <v>3133890</v>
      </c>
      <c r="H555" s="6">
        <v>1898010</v>
      </c>
      <c r="I555" s="6">
        <v>0</v>
      </c>
      <c r="J555" s="6">
        <v>1803740</v>
      </c>
      <c r="K555" s="6">
        <v>81646</v>
      </c>
      <c r="L555" s="6">
        <v>12624</v>
      </c>
      <c r="M555" s="6">
        <v>1</v>
      </c>
      <c r="N555" s="6">
        <v>4</v>
      </c>
      <c r="O555" s="6">
        <v>343</v>
      </c>
      <c r="P555" s="6">
        <v>544480</v>
      </c>
      <c r="Q555" s="6">
        <v>863091</v>
      </c>
      <c r="R555" s="6">
        <v>490091</v>
      </c>
      <c r="S555" s="6">
        <v>70890</v>
      </c>
      <c r="T555" s="6">
        <v>1164991</v>
      </c>
      <c r="U555" s="6">
        <v>200922</v>
      </c>
      <c r="V555" s="6">
        <v>-1902</v>
      </c>
      <c r="W555" s="6">
        <v>0</v>
      </c>
      <c r="X555" s="6">
        <v>327</v>
      </c>
      <c r="Y555" s="6"/>
      <c r="Z555" s="6"/>
      <c r="AA555" s="6"/>
      <c r="AB555" s="6">
        <v>87</v>
      </c>
      <c r="AC555" s="6">
        <v>2297</v>
      </c>
      <c r="AD555" s="6">
        <v>1771</v>
      </c>
      <c r="AE555" s="6">
        <v>23558</v>
      </c>
      <c r="AF555" s="6">
        <v>19129</v>
      </c>
    </row>
    <row r="556" spans="1:32" x14ac:dyDescent="0.35">
      <c r="A556" s="1">
        <v>41437</v>
      </c>
      <c r="B556" s="6">
        <v>3410842</v>
      </c>
      <c r="C556" s="6">
        <v>11037</v>
      </c>
      <c r="D556" s="6">
        <v>5200</v>
      </c>
      <c r="E556" s="6">
        <v>1979</v>
      </c>
      <c r="F556" s="6">
        <v>3341220</v>
      </c>
      <c r="G556" s="6">
        <v>3141976</v>
      </c>
      <c r="H556" s="6">
        <v>1906079</v>
      </c>
      <c r="I556" s="6">
        <v>0</v>
      </c>
      <c r="J556" s="6">
        <v>1810417</v>
      </c>
      <c r="K556" s="6">
        <v>83026</v>
      </c>
      <c r="L556" s="6">
        <v>12636</v>
      </c>
      <c r="M556" s="6">
        <v>1</v>
      </c>
      <c r="N556" s="6">
        <v>4</v>
      </c>
      <c r="O556" s="6">
        <v>343</v>
      </c>
      <c r="P556" s="6">
        <v>544477</v>
      </c>
      <c r="Q556" s="6">
        <v>866763</v>
      </c>
      <c r="R556" s="6">
        <v>494490</v>
      </c>
      <c r="S556" s="6">
        <v>70890</v>
      </c>
      <c r="T556" s="6">
        <v>1165008</v>
      </c>
      <c r="U556" s="6">
        <v>200925</v>
      </c>
      <c r="V556" s="6">
        <v>-2062</v>
      </c>
      <c r="W556" s="6">
        <v>0</v>
      </c>
      <c r="X556" s="6">
        <v>380</v>
      </c>
      <c r="Y556" s="6"/>
      <c r="Z556" s="6"/>
      <c r="AA556" s="6"/>
      <c r="AB556" s="6">
        <v>92</v>
      </c>
      <c r="AC556" s="6">
        <v>2299</v>
      </c>
      <c r="AD556" s="6">
        <v>1771</v>
      </c>
      <c r="AE556" s="6">
        <v>24222</v>
      </c>
      <c r="AF556" s="6">
        <v>21231</v>
      </c>
    </row>
    <row r="557" spans="1:32" x14ac:dyDescent="0.35">
      <c r="A557" s="1">
        <v>41444</v>
      </c>
      <c r="B557" s="6">
        <v>3470530</v>
      </c>
      <c r="C557" s="6">
        <v>11037</v>
      </c>
      <c r="D557" s="6">
        <v>5200</v>
      </c>
      <c r="E557" s="6">
        <v>1985</v>
      </c>
      <c r="F557" s="6">
        <v>3399902</v>
      </c>
      <c r="G557" s="6">
        <v>3198344</v>
      </c>
      <c r="H557" s="6">
        <v>1918706</v>
      </c>
      <c r="I557" s="6">
        <v>0</v>
      </c>
      <c r="J557" s="6">
        <v>1823067</v>
      </c>
      <c r="K557" s="6">
        <v>83026</v>
      </c>
      <c r="L557" s="6">
        <v>12612</v>
      </c>
      <c r="M557" s="6">
        <v>1</v>
      </c>
      <c r="N557" s="6">
        <v>3</v>
      </c>
      <c r="O557" s="6">
        <v>343</v>
      </c>
      <c r="P557" s="6">
        <v>547248</v>
      </c>
      <c r="Q557" s="6">
        <v>872792</v>
      </c>
      <c r="R557" s="6">
        <v>498318</v>
      </c>
      <c r="S557" s="6">
        <v>70658</v>
      </c>
      <c r="T557" s="6">
        <v>1208981</v>
      </c>
      <c r="U557" s="6">
        <v>203318</v>
      </c>
      <c r="V557" s="6">
        <v>-2123</v>
      </c>
      <c r="W557" s="6">
        <v>0</v>
      </c>
      <c r="X557" s="6">
        <v>364</v>
      </c>
      <c r="Y557" s="6"/>
      <c r="Z557" s="6"/>
      <c r="AA557" s="6"/>
      <c r="AB557" s="6">
        <v>115</v>
      </c>
      <c r="AC557" s="6">
        <v>2299</v>
      </c>
      <c r="AD557" s="6">
        <v>1772</v>
      </c>
      <c r="AE557" s="6">
        <v>24292</v>
      </c>
      <c r="AF557" s="6">
        <v>22142</v>
      </c>
    </row>
    <row r="558" spans="1:32" x14ac:dyDescent="0.35">
      <c r="A558" s="1">
        <v>41451</v>
      </c>
      <c r="B558" s="6">
        <v>3478672</v>
      </c>
      <c r="C558" s="6">
        <v>11037</v>
      </c>
      <c r="D558" s="6">
        <v>5200</v>
      </c>
      <c r="E558" s="6">
        <v>1980</v>
      </c>
      <c r="F558" s="6">
        <v>3409037</v>
      </c>
      <c r="G558" s="6">
        <v>3207189</v>
      </c>
      <c r="H558" s="6">
        <v>1928416</v>
      </c>
      <c r="I558" s="6">
        <v>0</v>
      </c>
      <c r="J558" s="6">
        <v>1832800</v>
      </c>
      <c r="K558" s="6">
        <v>83026</v>
      </c>
      <c r="L558" s="6">
        <v>12589</v>
      </c>
      <c r="M558" s="6">
        <v>1</v>
      </c>
      <c r="N558" s="6">
        <v>3</v>
      </c>
      <c r="O558" s="6">
        <v>343</v>
      </c>
      <c r="P558" s="6">
        <v>547245</v>
      </c>
      <c r="Q558" s="6">
        <v>879602</v>
      </c>
      <c r="R558" s="6">
        <v>501221</v>
      </c>
      <c r="S558" s="6">
        <v>70658</v>
      </c>
      <c r="T558" s="6">
        <v>1208116</v>
      </c>
      <c r="U558" s="6">
        <v>203783</v>
      </c>
      <c r="V558" s="6">
        <v>-2320</v>
      </c>
      <c r="W558" s="6">
        <v>0</v>
      </c>
      <c r="X558" s="6">
        <v>384</v>
      </c>
      <c r="Y558" s="6"/>
      <c r="Z558" s="6"/>
      <c r="AA558" s="6"/>
      <c r="AB558" s="6">
        <v>108</v>
      </c>
      <c r="AC558" s="6">
        <v>2299</v>
      </c>
      <c r="AD558" s="6">
        <v>1480</v>
      </c>
      <c r="AE558" s="6">
        <v>23642</v>
      </c>
      <c r="AF558" s="6">
        <v>22105</v>
      </c>
    </row>
    <row r="559" spans="1:32" x14ac:dyDescent="0.35">
      <c r="A559" s="1">
        <v>41458</v>
      </c>
      <c r="B559" s="6">
        <v>3492742</v>
      </c>
      <c r="C559" s="6">
        <v>11037</v>
      </c>
      <c r="D559" s="6">
        <v>5200</v>
      </c>
      <c r="E559" s="6">
        <v>1962</v>
      </c>
      <c r="F559" s="6">
        <v>3421819</v>
      </c>
      <c r="G559" s="6">
        <v>3219993</v>
      </c>
      <c r="H559" s="6">
        <v>1942678</v>
      </c>
      <c r="I559" s="6">
        <v>0</v>
      </c>
      <c r="J559" s="6">
        <v>1847054</v>
      </c>
      <c r="K559" s="6">
        <v>83026</v>
      </c>
      <c r="L559" s="6">
        <v>12598</v>
      </c>
      <c r="M559" s="6">
        <v>1</v>
      </c>
      <c r="N559" s="6">
        <v>4</v>
      </c>
      <c r="O559" s="6">
        <v>342</v>
      </c>
      <c r="P559" s="6">
        <v>567212</v>
      </c>
      <c r="Q559" s="6">
        <v>870969</v>
      </c>
      <c r="R559" s="6">
        <v>504149</v>
      </c>
      <c r="S559" s="6">
        <v>69180</v>
      </c>
      <c r="T559" s="6">
        <v>1208136</v>
      </c>
      <c r="U559" s="6">
        <v>203877</v>
      </c>
      <c r="V559" s="6">
        <v>-2415</v>
      </c>
      <c r="W559" s="6">
        <v>0</v>
      </c>
      <c r="X559" s="6">
        <v>364</v>
      </c>
      <c r="Y559" s="6"/>
      <c r="Z559" s="6"/>
      <c r="AA559" s="6"/>
      <c r="AB559" s="6">
        <v>104</v>
      </c>
      <c r="AC559" s="6">
        <v>2291</v>
      </c>
      <c r="AD559" s="6">
        <v>1679</v>
      </c>
      <c r="AE559" s="6">
        <v>23414</v>
      </c>
      <c r="AF559" s="6">
        <v>23456</v>
      </c>
    </row>
    <row r="560" spans="1:32" x14ac:dyDescent="0.35">
      <c r="A560" s="1">
        <v>41465</v>
      </c>
      <c r="B560" s="6">
        <v>3504095</v>
      </c>
      <c r="C560" s="6">
        <v>11037</v>
      </c>
      <c r="D560" s="6">
        <v>5200</v>
      </c>
      <c r="E560" s="6">
        <v>1968</v>
      </c>
      <c r="F560" s="6">
        <v>3431675</v>
      </c>
      <c r="G560" s="6">
        <v>3229861</v>
      </c>
      <c r="H560" s="6">
        <v>1952529</v>
      </c>
      <c r="I560" s="6">
        <v>0</v>
      </c>
      <c r="J560" s="6">
        <v>1856872</v>
      </c>
      <c r="K560" s="6">
        <v>83026</v>
      </c>
      <c r="L560" s="6">
        <v>12631</v>
      </c>
      <c r="M560" s="6">
        <v>1</v>
      </c>
      <c r="N560" s="6">
        <v>4</v>
      </c>
      <c r="O560" s="6">
        <v>342</v>
      </c>
      <c r="P560" s="6">
        <v>569878</v>
      </c>
      <c r="Q560" s="6">
        <v>876672</v>
      </c>
      <c r="R560" s="6">
        <v>505632</v>
      </c>
      <c r="S560" s="6">
        <v>69180</v>
      </c>
      <c r="T560" s="6">
        <v>1208152</v>
      </c>
      <c r="U560" s="6">
        <v>203957</v>
      </c>
      <c r="V560" s="6">
        <v>-2511</v>
      </c>
      <c r="W560" s="6">
        <v>0</v>
      </c>
      <c r="X560" s="6">
        <v>369</v>
      </c>
      <c r="Y560" s="6"/>
      <c r="Z560" s="6"/>
      <c r="AA560" s="6"/>
      <c r="AB560" s="6">
        <v>95</v>
      </c>
      <c r="AC560" s="6">
        <v>2294</v>
      </c>
      <c r="AD560" s="6">
        <v>1479</v>
      </c>
      <c r="AE560" s="6">
        <v>23216</v>
      </c>
      <c r="AF560" s="6">
        <v>25363</v>
      </c>
    </row>
    <row r="561" spans="1:32" x14ac:dyDescent="0.35">
      <c r="A561" s="1">
        <v>41472</v>
      </c>
      <c r="B561" s="6">
        <v>3537861</v>
      </c>
      <c r="C561" s="6">
        <v>11037</v>
      </c>
      <c r="D561" s="6">
        <v>5200</v>
      </c>
      <c r="E561" s="6">
        <v>1978</v>
      </c>
      <c r="F561" s="6">
        <v>3464688</v>
      </c>
      <c r="G561" s="6">
        <v>3262730</v>
      </c>
      <c r="H561" s="6">
        <v>1961671</v>
      </c>
      <c r="I561" s="6">
        <v>0</v>
      </c>
      <c r="J561" s="6">
        <v>1864405</v>
      </c>
      <c r="K561" s="6">
        <v>84406</v>
      </c>
      <c r="L561" s="6">
        <v>12860</v>
      </c>
      <c r="M561" s="6">
        <v>1</v>
      </c>
      <c r="N561" s="6">
        <v>3</v>
      </c>
      <c r="O561" s="6">
        <v>342</v>
      </c>
      <c r="P561" s="6">
        <v>570934</v>
      </c>
      <c r="Q561" s="6">
        <v>879318</v>
      </c>
      <c r="R561" s="6">
        <v>511073</v>
      </c>
      <c r="S561" s="6">
        <v>66521</v>
      </c>
      <c r="T561" s="6">
        <v>1234537</v>
      </c>
      <c r="U561" s="6">
        <v>204508</v>
      </c>
      <c r="V561" s="6">
        <v>-2913</v>
      </c>
      <c r="W561" s="6">
        <v>0</v>
      </c>
      <c r="X561" s="6">
        <v>365</v>
      </c>
      <c r="Y561" s="6"/>
      <c r="Z561" s="6"/>
      <c r="AA561" s="6"/>
      <c r="AB561" s="6">
        <v>110</v>
      </c>
      <c r="AC561" s="6">
        <v>2294</v>
      </c>
      <c r="AD561" s="6">
        <v>1479</v>
      </c>
      <c r="AE561" s="6">
        <v>23524</v>
      </c>
      <c r="AF561" s="6">
        <v>25783</v>
      </c>
    </row>
    <row r="562" spans="1:32" x14ac:dyDescent="0.35">
      <c r="A562" s="1">
        <v>41479</v>
      </c>
      <c r="B562" s="6">
        <v>3574574</v>
      </c>
      <c r="C562" s="6">
        <v>11037</v>
      </c>
      <c r="D562" s="6">
        <v>5200</v>
      </c>
      <c r="E562" s="6">
        <v>1973</v>
      </c>
      <c r="F562" s="6">
        <v>3499482</v>
      </c>
      <c r="G562" s="6">
        <v>3297452</v>
      </c>
      <c r="H562" s="6">
        <v>1970003</v>
      </c>
      <c r="I562" s="6">
        <v>0</v>
      </c>
      <c r="J562" s="6">
        <v>1872698</v>
      </c>
      <c r="K562" s="6">
        <v>84406</v>
      </c>
      <c r="L562" s="6">
        <v>12899</v>
      </c>
      <c r="M562" s="6">
        <v>1</v>
      </c>
      <c r="N562" s="6">
        <v>3</v>
      </c>
      <c r="O562" s="6">
        <v>342</v>
      </c>
      <c r="P562" s="6">
        <v>570939</v>
      </c>
      <c r="Q562" s="6">
        <v>886154</v>
      </c>
      <c r="R562" s="6">
        <v>512565</v>
      </c>
      <c r="S562" s="6">
        <v>66521</v>
      </c>
      <c r="T562" s="6">
        <v>1260928</v>
      </c>
      <c r="U562" s="6">
        <v>204717</v>
      </c>
      <c r="V562" s="6">
        <v>-3031</v>
      </c>
      <c r="W562" s="6">
        <v>0</v>
      </c>
      <c r="X562" s="6">
        <v>344</v>
      </c>
      <c r="Y562" s="6"/>
      <c r="Z562" s="6"/>
      <c r="AA562" s="6"/>
      <c r="AB562" s="6">
        <v>91</v>
      </c>
      <c r="AC562" s="6">
        <v>2296</v>
      </c>
      <c r="AD562" s="6">
        <v>1480</v>
      </c>
      <c r="AE562" s="6">
        <v>23623</v>
      </c>
      <c r="AF562" s="6">
        <v>27624</v>
      </c>
    </row>
    <row r="563" spans="1:32" x14ac:dyDescent="0.35">
      <c r="A563" s="1">
        <v>41486</v>
      </c>
      <c r="B563" s="6">
        <v>3571797</v>
      </c>
      <c r="C563" s="6">
        <v>11037</v>
      </c>
      <c r="D563" s="6">
        <v>5200</v>
      </c>
      <c r="E563" s="6">
        <v>1969</v>
      </c>
      <c r="F563" s="6">
        <v>3497090</v>
      </c>
      <c r="G563" s="6">
        <v>3295892</v>
      </c>
      <c r="H563" s="6">
        <v>1982407</v>
      </c>
      <c r="I563" s="6">
        <v>0</v>
      </c>
      <c r="J563" s="6">
        <v>1885063</v>
      </c>
      <c r="K563" s="6">
        <v>84406</v>
      </c>
      <c r="L563" s="6">
        <v>12938</v>
      </c>
      <c r="M563" s="6">
        <v>0</v>
      </c>
      <c r="N563" s="6">
        <v>3</v>
      </c>
      <c r="O563" s="6">
        <v>382</v>
      </c>
      <c r="P563" s="6">
        <v>595418</v>
      </c>
      <c r="Q563" s="6">
        <v>869614</v>
      </c>
      <c r="R563" s="6">
        <v>516990</v>
      </c>
      <c r="S563" s="6">
        <v>66521</v>
      </c>
      <c r="T563" s="6">
        <v>1246964</v>
      </c>
      <c r="U563" s="6">
        <v>204101</v>
      </c>
      <c r="V563" s="6">
        <v>-3222</v>
      </c>
      <c r="W563" s="6">
        <v>0</v>
      </c>
      <c r="X563" s="6">
        <v>320</v>
      </c>
      <c r="Y563" s="6"/>
      <c r="Z563" s="6"/>
      <c r="AA563" s="6"/>
      <c r="AB563" s="6">
        <v>105</v>
      </c>
      <c r="AC563" s="6">
        <v>2296</v>
      </c>
      <c r="AD563" s="6">
        <v>1479</v>
      </c>
      <c r="AE563" s="6">
        <v>23872</v>
      </c>
      <c r="AF563" s="6">
        <v>26905</v>
      </c>
    </row>
    <row r="564" spans="1:32" x14ac:dyDescent="0.35">
      <c r="A564" s="1">
        <v>41493</v>
      </c>
      <c r="B564" s="6">
        <v>3585359</v>
      </c>
      <c r="C564" s="6">
        <v>11037</v>
      </c>
      <c r="D564" s="6">
        <v>5200</v>
      </c>
      <c r="E564" s="6">
        <v>1981</v>
      </c>
      <c r="F564" s="6">
        <v>3507751</v>
      </c>
      <c r="G564" s="6">
        <v>3306860</v>
      </c>
      <c r="H564" s="6">
        <v>1993375</v>
      </c>
      <c r="I564" s="6">
        <v>0</v>
      </c>
      <c r="J564" s="6">
        <v>1895978</v>
      </c>
      <c r="K564" s="6">
        <v>84406</v>
      </c>
      <c r="L564" s="6">
        <v>12991</v>
      </c>
      <c r="M564" s="6">
        <v>0</v>
      </c>
      <c r="N564" s="6">
        <v>4</v>
      </c>
      <c r="O564" s="6">
        <v>381</v>
      </c>
      <c r="P564" s="6">
        <v>599758</v>
      </c>
      <c r="Q564" s="6">
        <v>874709</v>
      </c>
      <c r="R564" s="6">
        <v>518522</v>
      </c>
      <c r="S564" s="6">
        <v>66521</v>
      </c>
      <c r="T564" s="6">
        <v>1246964</v>
      </c>
      <c r="U564" s="6">
        <v>203894</v>
      </c>
      <c r="V564" s="6">
        <v>-3322</v>
      </c>
      <c r="W564" s="6">
        <v>0</v>
      </c>
      <c r="X564" s="6">
        <v>319</v>
      </c>
      <c r="Y564" s="6"/>
      <c r="Z564" s="6"/>
      <c r="AA564" s="6"/>
      <c r="AB564" s="6">
        <v>680</v>
      </c>
      <c r="AC564" s="6">
        <v>2289</v>
      </c>
      <c r="AD564" s="6">
        <v>1479</v>
      </c>
      <c r="AE564" s="6">
        <v>24073</v>
      </c>
      <c r="AF564" s="6">
        <v>29100</v>
      </c>
    </row>
    <row r="565" spans="1:32" x14ac:dyDescent="0.35">
      <c r="A565" s="1">
        <v>41500</v>
      </c>
      <c r="B565" s="6">
        <v>3646323</v>
      </c>
      <c r="C565" s="6">
        <v>11037</v>
      </c>
      <c r="D565" s="6">
        <v>5200</v>
      </c>
      <c r="E565" s="6">
        <v>1989</v>
      </c>
      <c r="F565" s="6">
        <v>3567170</v>
      </c>
      <c r="G565" s="6">
        <v>3366637</v>
      </c>
      <c r="H565" s="6">
        <v>2001093</v>
      </c>
      <c r="I565" s="6">
        <v>0</v>
      </c>
      <c r="J565" s="6">
        <v>1902201</v>
      </c>
      <c r="K565" s="6">
        <v>85819</v>
      </c>
      <c r="L565" s="6">
        <v>13074</v>
      </c>
      <c r="M565" s="6">
        <v>0</v>
      </c>
      <c r="N565" s="6">
        <v>4</v>
      </c>
      <c r="O565" s="6">
        <v>381</v>
      </c>
      <c r="P565" s="6">
        <v>622371</v>
      </c>
      <c r="Q565" s="6">
        <v>855332</v>
      </c>
      <c r="R565" s="6">
        <v>523005</v>
      </c>
      <c r="S565" s="6">
        <v>65713</v>
      </c>
      <c r="T565" s="6">
        <v>1299831</v>
      </c>
      <c r="U565" s="6">
        <v>204069</v>
      </c>
      <c r="V565" s="6">
        <v>-3900</v>
      </c>
      <c r="W565" s="6">
        <v>0</v>
      </c>
      <c r="X565" s="6">
        <v>364</v>
      </c>
      <c r="Y565" s="6"/>
      <c r="Z565" s="6"/>
      <c r="AA565" s="6"/>
      <c r="AB565" s="6">
        <v>108</v>
      </c>
      <c r="AC565" s="6">
        <v>2289</v>
      </c>
      <c r="AD565" s="6">
        <v>1479</v>
      </c>
      <c r="AE565" s="6">
        <v>23853</v>
      </c>
      <c r="AF565" s="6">
        <v>31431</v>
      </c>
    </row>
    <row r="566" spans="1:32" x14ac:dyDescent="0.35">
      <c r="A566" s="1">
        <v>41507</v>
      </c>
      <c r="B566" s="6">
        <v>3645668</v>
      </c>
      <c r="C566" s="6">
        <v>11037</v>
      </c>
      <c r="D566" s="6">
        <v>5200</v>
      </c>
      <c r="E566" s="6">
        <v>1997</v>
      </c>
      <c r="F566" s="6">
        <v>3581080</v>
      </c>
      <c r="G566" s="6">
        <v>3381070</v>
      </c>
      <c r="H566" s="6">
        <v>2012169</v>
      </c>
      <c r="I566" s="6">
        <v>0</v>
      </c>
      <c r="J566" s="6">
        <v>1913222</v>
      </c>
      <c r="K566" s="6">
        <v>85819</v>
      </c>
      <c r="L566" s="6">
        <v>13128</v>
      </c>
      <c r="M566" s="6">
        <v>1</v>
      </c>
      <c r="N566" s="6">
        <v>4</v>
      </c>
      <c r="O566" s="6">
        <v>382</v>
      </c>
      <c r="P566" s="6">
        <v>622376</v>
      </c>
      <c r="Q566" s="6">
        <v>871934</v>
      </c>
      <c r="R566" s="6">
        <v>517472</v>
      </c>
      <c r="S566" s="6">
        <v>65713</v>
      </c>
      <c r="T566" s="6">
        <v>1303189</v>
      </c>
      <c r="U566" s="6">
        <v>204100</v>
      </c>
      <c r="V566" s="6">
        <v>-4368</v>
      </c>
      <c r="W566" s="6">
        <v>0</v>
      </c>
      <c r="X566" s="6">
        <v>278</v>
      </c>
      <c r="Y566" s="6"/>
      <c r="Z566" s="6"/>
      <c r="AA566" s="6"/>
      <c r="AB566" s="6">
        <v>108</v>
      </c>
      <c r="AC566" s="6">
        <v>2290</v>
      </c>
      <c r="AD566" s="6">
        <v>317</v>
      </c>
      <c r="AE566" s="6">
        <v>24025</v>
      </c>
      <c r="AF566" s="6">
        <v>17841</v>
      </c>
    </row>
    <row r="567" spans="1:32" x14ac:dyDescent="0.35">
      <c r="A567" s="1">
        <v>41514</v>
      </c>
      <c r="B567" s="6">
        <v>3644456</v>
      </c>
      <c r="C567" s="6">
        <v>11037</v>
      </c>
      <c r="D567" s="6">
        <v>5200</v>
      </c>
      <c r="E567" s="6">
        <v>1992</v>
      </c>
      <c r="F567" s="6">
        <v>3579559</v>
      </c>
      <c r="G567" s="6">
        <v>3380664</v>
      </c>
      <c r="H567" s="6">
        <v>2023610</v>
      </c>
      <c r="I567" s="6">
        <v>0</v>
      </c>
      <c r="J567" s="6">
        <v>1924609</v>
      </c>
      <c r="K567" s="6">
        <v>85819</v>
      </c>
      <c r="L567" s="6">
        <v>13181</v>
      </c>
      <c r="M567" s="6">
        <v>1</v>
      </c>
      <c r="N567" s="6">
        <v>4</v>
      </c>
      <c r="O567" s="6">
        <v>382</v>
      </c>
      <c r="P567" s="6">
        <v>627563</v>
      </c>
      <c r="Q567" s="6">
        <v>875158</v>
      </c>
      <c r="R567" s="6">
        <v>520501</v>
      </c>
      <c r="S567" s="6">
        <v>65713</v>
      </c>
      <c r="T567" s="6">
        <v>1291341</v>
      </c>
      <c r="U567" s="6">
        <v>203509</v>
      </c>
      <c r="V567" s="6">
        <v>-4899</v>
      </c>
      <c r="W567" s="6">
        <v>0</v>
      </c>
      <c r="X567" s="6">
        <v>285</v>
      </c>
      <c r="Y567" s="6"/>
      <c r="Z567" s="6"/>
      <c r="AA567" s="6"/>
      <c r="AB567" s="6">
        <v>86</v>
      </c>
      <c r="AC567" s="6">
        <v>2291</v>
      </c>
      <c r="AD567" s="6">
        <v>321</v>
      </c>
      <c r="AE567" s="6">
        <v>23982</v>
      </c>
      <c r="AF567" s="6">
        <v>18217</v>
      </c>
    </row>
    <row r="568" spans="1:32" x14ac:dyDescent="0.35">
      <c r="A568" s="1">
        <v>41521</v>
      </c>
      <c r="B568" s="6">
        <v>3654182</v>
      </c>
      <c r="C568" s="6">
        <v>11037</v>
      </c>
      <c r="D568" s="6">
        <v>5200</v>
      </c>
      <c r="E568" s="6">
        <v>1983</v>
      </c>
      <c r="F568" s="6">
        <v>3588619</v>
      </c>
      <c r="G568" s="6">
        <v>3390398</v>
      </c>
      <c r="H568" s="6">
        <v>2033290</v>
      </c>
      <c r="I568" s="6">
        <v>0</v>
      </c>
      <c r="J568" s="6">
        <v>1934262</v>
      </c>
      <c r="K568" s="6">
        <v>85819</v>
      </c>
      <c r="L568" s="6">
        <v>13209</v>
      </c>
      <c r="M568" s="6">
        <v>0</v>
      </c>
      <c r="N568" s="6">
        <v>5</v>
      </c>
      <c r="O568" s="6">
        <v>385</v>
      </c>
      <c r="P568" s="6">
        <v>646497</v>
      </c>
      <c r="Q568" s="6">
        <v>864316</v>
      </c>
      <c r="R568" s="6">
        <v>522087</v>
      </c>
      <c r="S568" s="6">
        <v>65713</v>
      </c>
      <c r="T568" s="6">
        <v>1291395</v>
      </c>
      <c r="U568" s="6">
        <v>203308</v>
      </c>
      <c r="V568" s="6">
        <v>-5365</v>
      </c>
      <c r="W568" s="6">
        <v>0</v>
      </c>
      <c r="X568" s="6">
        <v>277</v>
      </c>
      <c r="Y568" s="6"/>
      <c r="Z568" s="6"/>
      <c r="AA568" s="6"/>
      <c r="AB568" s="6">
        <v>157</v>
      </c>
      <c r="AC568" s="6">
        <v>2283</v>
      </c>
      <c r="AD568" s="6">
        <v>317</v>
      </c>
      <c r="AE568" s="6">
        <v>23673</v>
      </c>
      <c r="AF568" s="6">
        <v>19139</v>
      </c>
    </row>
    <row r="569" spans="1:32" x14ac:dyDescent="0.35">
      <c r="A569" s="1">
        <v>41528</v>
      </c>
      <c r="B569" s="6">
        <v>3662035</v>
      </c>
      <c r="C569" s="6">
        <v>11037</v>
      </c>
      <c r="D569" s="6">
        <v>5200</v>
      </c>
      <c r="E569" s="6">
        <v>1992</v>
      </c>
      <c r="F569" s="6">
        <v>3594279</v>
      </c>
      <c r="G569" s="6">
        <v>3396782</v>
      </c>
      <c r="H569" s="6">
        <v>2041088</v>
      </c>
      <c r="I569" s="6">
        <v>0</v>
      </c>
      <c r="J569" s="6">
        <v>1940567</v>
      </c>
      <c r="K569" s="6">
        <v>87209</v>
      </c>
      <c r="L569" s="6">
        <v>13312</v>
      </c>
      <c r="M569" s="6">
        <v>0</v>
      </c>
      <c r="N569" s="6">
        <v>5</v>
      </c>
      <c r="O569" s="6">
        <v>385</v>
      </c>
      <c r="P569" s="6">
        <v>646632</v>
      </c>
      <c r="Q569" s="6">
        <v>867686</v>
      </c>
      <c r="R569" s="6">
        <v>526379</v>
      </c>
      <c r="S569" s="6">
        <v>64216</v>
      </c>
      <c r="T569" s="6">
        <v>1291478</v>
      </c>
      <c r="U569" s="6">
        <v>203087</v>
      </c>
      <c r="V569" s="6">
        <v>-5867</v>
      </c>
      <c r="W569" s="6">
        <v>0</v>
      </c>
      <c r="X569" s="6">
        <v>277</v>
      </c>
      <c r="Y569" s="6"/>
      <c r="Z569" s="6"/>
      <c r="AA569" s="6"/>
      <c r="AB569" s="6">
        <v>125</v>
      </c>
      <c r="AC569" s="6">
        <v>2284</v>
      </c>
      <c r="AD569" s="6">
        <v>320</v>
      </c>
      <c r="AE569" s="6">
        <v>23726</v>
      </c>
      <c r="AF569" s="6">
        <v>21376</v>
      </c>
    </row>
    <row r="570" spans="1:32" x14ac:dyDescent="0.35">
      <c r="A570" s="1">
        <v>41535</v>
      </c>
      <c r="B570" s="6">
        <v>3722192</v>
      </c>
      <c r="C570" s="6">
        <v>11037</v>
      </c>
      <c r="D570" s="6">
        <v>5200</v>
      </c>
      <c r="E570" s="6">
        <v>2001</v>
      </c>
      <c r="F570" s="6">
        <v>3653418</v>
      </c>
      <c r="G570" s="6">
        <v>3455478</v>
      </c>
      <c r="H570" s="6">
        <v>2052055</v>
      </c>
      <c r="I570" s="6">
        <v>0</v>
      </c>
      <c r="J570" s="6">
        <v>1951525</v>
      </c>
      <c r="K570" s="6">
        <v>87209</v>
      </c>
      <c r="L570" s="6">
        <v>13321</v>
      </c>
      <c r="M570" s="6">
        <v>2</v>
      </c>
      <c r="N570" s="6">
        <v>4</v>
      </c>
      <c r="O570" s="6">
        <v>385</v>
      </c>
      <c r="P570" s="6">
        <v>646633</v>
      </c>
      <c r="Q570" s="6">
        <v>874742</v>
      </c>
      <c r="R570" s="6">
        <v>530290</v>
      </c>
      <c r="S570" s="6">
        <v>63652</v>
      </c>
      <c r="T570" s="6">
        <v>1339771</v>
      </c>
      <c r="U570" s="6">
        <v>204077</v>
      </c>
      <c r="V570" s="6">
        <v>-6439</v>
      </c>
      <c r="W570" s="6">
        <v>0</v>
      </c>
      <c r="X570" s="6">
        <v>302</v>
      </c>
      <c r="Y570" s="6"/>
      <c r="Z570" s="6"/>
      <c r="AA570" s="6"/>
      <c r="AB570" s="6">
        <v>124</v>
      </c>
      <c r="AC570" s="6">
        <v>2286</v>
      </c>
      <c r="AD570" s="6">
        <v>262</v>
      </c>
      <c r="AE570" s="6">
        <v>23880</v>
      </c>
      <c r="AF570" s="6">
        <v>22288</v>
      </c>
    </row>
    <row r="571" spans="1:32" x14ac:dyDescent="0.35">
      <c r="A571" s="1">
        <v>41542</v>
      </c>
      <c r="B571" s="6">
        <v>3734018</v>
      </c>
      <c r="C571" s="6">
        <v>11037</v>
      </c>
      <c r="D571" s="6">
        <v>5200</v>
      </c>
      <c r="E571" s="6">
        <v>1999</v>
      </c>
      <c r="F571" s="6">
        <v>3665089</v>
      </c>
      <c r="G571" s="6">
        <v>3467660</v>
      </c>
      <c r="H571" s="6">
        <v>2062004</v>
      </c>
      <c r="I571" s="6">
        <v>0</v>
      </c>
      <c r="J571" s="6">
        <v>1961465</v>
      </c>
      <c r="K571" s="6">
        <v>87209</v>
      </c>
      <c r="L571" s="6">
        <v>13330</v>
      </c>
      <c r="M571" s="6">
        <v>2</v>
      </c>
      <c r="N571" s="6">
        <v>4</v>
      </c>
      <c r="O571" s="6">
        <v>385</v>
      </c>
      <c r="P571" s="6">
        <v>646634</v>
      </c>
      <c r="Q571" s="6">
        <v>881740</v>
      </c>
      <c r="R571" s="6">
        <v>533240</v>
      </c>
      <c r="S571" s="6">
        <v>63652</v>
      </c>
      <c r="T571" s="6">
        <v>1342004</v>
      </c>
      <c r="U571" s="6">
        <v>204083</v>
      </c>
      <c r="V571" s="6">
        <v>-6922</v>
      </c>
      <c r="W571" s="6">
        <v>0</v>
      </c>
      <c r="X571" s="6">
        <v>268</v>
      </c>
      <c r="Y571" s="6"/>
      <c r="Z571" s="6"/>
      <c r="AA571" s="6"/>
      <c r="AB571" s="6">
        <v>93</v>
      </c>
      <c r="AC571" s="6">
        <v>2290</v>
      </c>
      <c r="AD571" s="6">
        <v>263</v>
      </c>
      <c r="AE571" s="6">
        <v>24122</v>
      </c>
      <c r="AF571" s="6">
        <v>22234</v>
      </c>
    </row>
    <row r="572" spans="1:32" x14ac:dyDescent="0.35">
      <c r="A572" s="1">
        <v>41549</v>
      </c>
      <c r="B572" s="6">
        <v>3747387</v>
      </c>
      <c r="C572" s="6">
        <v>11037</v>
      </c>
      <c r="D572" s="6">
        <v>5200</v>
      </c>
      <c r="E572" s="6">
        <v>2005</v>
      </c>
      <c r="F572" s="6">
        <v>3676879</v>
      </c>
      <c r="G572" s="6">
        <v>3479712</v>
      </c>
      <c r="H572" s="6">
        <v>2076927</v>
      </c>
      <c r="I572" s="6">
        <v>0</v>
      </c>
      <c r="J572" s="6">
        <v>1976374</v>
      </c>
      <c r="K572" s="6">
        <v>87209</v>
      </c>
      <c r="L572" s="6">
        <v>13345</v>
      </c>
      <c r="M572" s="6">
        <v>0</v>
      </c>
      <c r="N572" s="6">
        <v>4</v>
      </c>
      <c r="O572" s="6">
        <v>385</v>
      </c>
      <c r="P572" s="6">
        <v>659494</v>
      </c>
      <c r="Q572" s="6">
        <v>880754</v>
      </c>
      <c r="R572" s="6">
        <v>536289</v>
      </c>
      <c r="S572" s="6">
        <v>60652</v>
      </c>
      <c r="T572" s="6">
        <v>1342133</v>
      </c>
      <c r="U572" s="6">
        <v>204187</v>
      </c>
      <c r="V572" s="6">
        <v>-7275</v>
      </c>
      <c r="W572" s="6">
        <v>0</v>
      </c>
      <c r="X572" s="6">
        <v>254</v>
      </c>
      <c r="Y572" s="6"/>
      <c r="Z572" s="6"/>
      <c r="AA572" s="6"/>
      <c r="AB572" s="6">
        <v>86</v>
      </c>
      <c r="AC572" s="6">
        <v>2283</v>
      </c>
      <c r="AD572" s="6">
        <v>511</v>
      </c>
      <c r="AE572" s="6">
        <v>24384</v>
      </c>
      <c r="AF572" s="6">
        <v>23311</v>
      </c>
    </row>
    <row r="573" spans="1:32" x14ac:dyDescent="0.35">
      <c r="A573" s="1">
        <v>41556</v>
      </c>
      <c r="B573" s="6">
        <v>3758663</v>
      </c>
      <c r="C573" s="6">
        <v>11037</v>
      </c>
      <c r="D573" s="6">
        <v>5200</v>
      </c>
      <c r="E573" s="6">
        <v>2000</v>
      </c>
      <c r="F573" s="6">
        <v>3686200</v>
      </c>
      <c r="G573" s="6">
        <v>3489552</v>
      </c>
      <c r="H573" s="6">
        <v>2086741</v>
      </c>
      <c r="I573" s="6">
        <v>0</v>
      </c>
      <c r="J573" s="6">
        <v>1986161</v>
      </c>
      <c r="K573" s="6">
        <v>87209</v>
      </c>
      <c r="L573" s="6">
        <v>13372</v>
      </c>
      <c r="M573" s="6">
        <v>0</v>
      </c>
      <c r="N573" s="6">
        <v>4</v>
      </c>
      <c r="O573" s="6">
        <v>385</v>
      </c>
      <c r="P573" s="6">
        <v>659498</v>
      </c>
      <c r="Q573" s="6">
        <v>887608</v>
      </c>
      <c r="R573" s="6">
        <v>539246</v>
      </c>
      <c r="S573" s="6">
        <v>60652</v>
      </c>
      <c r="T573" s="6">
        <v>1342159</v>
      </c>
      <c r="U573" s="6">
        <v>204039</v>
      </c>
      <c r="V573" s="6">
        <v>-7636</v>
      </c>
      <c r="W573" s="6">
        <v>0</v>
      </c>
      <c r="X573" s="6">
        <v>246</v>
      </c>
      <c r="Y573" s="6"/>
      <c r="Z573" s="6"/>
      <c r="AA573" s="6"/>
      <c r="AB573" s="6">
        <v>151</v>
      </c>
      <c r="AC573" s="6">
        <v>2284</v>
      </c>
      <c r="AD573" s="6">
        <v>186</v>
      </c>
      <c r="AE573" s="6">
        <v>24237</v>
      </c>
      <c r="AF573" s="6">
        <v>25678</v>
      </c>
    </row>
    <row r="574" spans="1:32" x14ac:dyDescent="0.35">
      <c r="A574" s="1">
        <v>41563</v>
      </c>
      <c r="B574" s="6">
        <v>3813599</v>
      </c>
      <c r="C574" s="6">
        <v>11037</v>
      </c>
      <c r="D574" s="6">
        <v>5200</v>
      </c>
      <c r="E574" s="6">
        <v>1985</v>
      </c>
      <c r="F574" s="6">
        <v>3740535</v>
      </c>
      <c r="G574" s="6">
        <v>3542947</v>
      </c>
      <c r="H574" s="6">
        <v>2095034</v>
      </c>
      <c r="I574" s="6">
        <v>0</v>
      </c>
      <c r="J574" s="6">
        <v>1992923</v>
      </c>
      <c r="K574" s="6">
        <v>88589</v>
      </c>
      <c r="L574" s="6">
        <v>13522</v>
      </c>
      <c r="M574" s="6">
        <v>1</v>
      </c>
      <c r="N574" s="6">
        <v>3</v>
      </c>
      <c r="O574" s="6">
        <v>385</v>
      </c>
      <c r="P574" s="6">
        <v>662721</v>
      </c>
      <c r="Q574" s="6">
        <v>889601</v>
      </c>
      <c r="R574" s="6">
        <v>542323</v>
      </c>
      <c r="S574" s="6">
        <v>60165</v>
      </c>
      <c r="T574" s="6">
        <v>1387748</v>
      </c>
      <c r="U574" s="6">
        <v>205223</v>
      </c>
      <c r="V574" s="6">
        <v>-7888</v>
      </c>
      <c r="W574" s="6">
        <v>0</v>
      </c>
      <c r="X574" s="6">
        <v>252</v>
      </c>
      <c r="Y574" s="6"/>
      <c r="Z574" s="6"/>
      <c r="AA574" s="6"/>
      <c r="AB574" s="6">
        <v>101</v>
      </c>
      <c r="AC574" s="6">
        <v>2285</v>
      </c>
      <c r="AD574" s="6">
        <v>272</v>
      </c>
      <c r="AE574" s="6">
        <v>24051</v>
      </c>
      <c r="AF574" s="6">
        <v>26443</v>
      </c>
    </row>
    <row r="575" spans="1:32" x14ac:dyDescent="0.35">
      <c r="A575" s="1">
        <v>41570</v>
      </c>
      <c r="B575" s="6">
        <v>3839033</v>
      </c>
      <c r="C575" s="6">
        <v>11037</v>
      </c>
      <c r="D575" s="6">
        <v>5200</v>
      </c>
      <c r="E575" s="6">
        <v>1974</v>
      </c>
      <c r="F575" s="6">
        <v>3763803</v>
      </c>
      <c r="G575" s="6">
        <v>3566226</v>
      </c>
      <c r="H575" s="6">
        <v>2106475</v>
      </c>
      <c r="I575" s="6">
        <v>0</v>
      </c>
      <c r="J575" s="6">
        <v>2004336</v>
      </c>
      <c r="K575" s="6">
        <v>88589</v>
      </c>
      <c r="L575" s="6">
        <v>13549</v>
      </c>
      <c r="M575" s="6">
        <v>1</v>
      </c>
      <c r="N575" s="6">
        <v>4</v>
      </c>
      <c r="O575" s="6">
        <v>384</v>
      </c>
      <c r="P575" s="6">
        <v>662725</v>
      </c>
      <c r="Q575" s="6">
        <v>896444</v>
      </c>
      <c r="R575" s="6">
        <v>546917</v>
      </c>
      <c r="S575" s="6">
        <v>59080</v>
      </c>
      <c r="T575" s="6">
        <v>1400671</v>
      </c>
      <c r="U575" s="6">
        <v>205606</v>
      </c>
      <c r="V575" s="6">
        <v>-8268</v>
      </c>
      <c r="W575" s="6">
        <v>0</v>
      </c>
      <c r="X575" s="6">
        <v>239</v>
      </c>
      <c r="Y575" s="6"/>
      <c r="Z575" s="6"/>
      <c r="AA575" s="6"/>
      <c r="AB575" s="6">
        <v>93</v>
      </c>
      <c r="AC575" s="6">
        <v>2288</v>
      </c>
      <c r="AD575" s="6">
        <v>272</v>
      </c>
      <c r="AE575" s="6">
        <v>24531</v>
      </c>
      <c r="AF575" s="6">
        <v>28146</v>
      </c>
    </row>
    <row r="576" spans="1:32" x14ac:dyDescent="0.35">
      <c r="A576" s="1">
        <v>41577</v>
      </c>
      <c r="B576" s="6">
        <v>3843396</v>
      </c>
      <c r="C576" s="6">
        <v>11037</v>
      </c>
      <c r="D576" s="6">
        <v>5200</v>
      </c>
      <c r="E576" s="6">
        <v>1973</v>
      </c>
      <c r="F576" s="6">
        <v>3767799</v>
      </c>
      <c r="G576" s="6">
        <v>3570518</v>
      </c>
      <c r="H576" s="6">
        <v>2117750</v>
      </c>
      <c r="I576" s="6">
        <v>0</v>
      </c>
      <c r="J576" s="6">
        <v>2015584</v>
      </c>
      <c r="K576" s="6">
        <v>88589</v>
      </c>
      <c r="L576" s="6">
        <v>13577</v>
      </c>
      <c r="M576" s="6">
        <v>1</v>
      </c>
      <c r="N576" s="6">
        <v>4</v>
      </c>
      <c r="O576" s="6">
        <v>384</v>
      </c>
      <c r="P576" s="6">
        <v>685278</v>
      </c>
      <c r="Q576" s="6">
        <v>882128</v>
      </c>
      <c r="R576" s="6">
        <v>549955</v>
      </c>
      <c r="S576" s="6">
        <v>59080</v>
      </c>
      <c r="T576" s="6">
        <v>1393687</v>
      </c>
      <c r="U576" s="6">
        <v>205484</v>
      </c>
      <c r="V576" s="6">
        <v>-8415</v>
      </c>
      <c r="W576" s="6">
        <v>0</v>
      </c>
      <c r="X576" s="6">
        <v>212</v>
      </c>
      <c r="Y576" s="6"/>
      <c r="Z576" s="6"/>
      <c r="AA576" s="6"/>
      <c r="AB576" s="6">
        <v>101</v>
      </c>
      <c r="AC576" s="6">
        <v>2298</v>
      </c>
      <c r="AD576" s="6">
        <v>272</v>
      </c>
      <c r="AE576" s="6">
        <v>24432</v>
      </c>
      <c r="AF576" s="6">
        <v>28574</v>
      </c>
    </row>
    <row r="577" spans="1:32" x14ac:dyDescent="0.35">
      <c r="A577" s="1">
        <v>41584</v>
      </c>
      <c r="B577" s="6">
        <v>3851623</v>
      </c>
      <c r="C577" s="6">
        <v>11037</v>
      </c>
      <c r="D577" s="6">
        <v>5200</v>
      </c>
      <c r="E577" s="6">
        <v>1971</v>
      </c>
      <c r="F577" s="6">
        <v>3775499</v>
      </c>
      <c r="G577" s="6">
        <v>3578326</v>
      </c>
      <c r="H577" s="6">
        <v>2125552</v>
      </c>
      <c r="I577" s="6">
        <v>0</v>
      </c>
      <c r="J577" s="6">
        <v>2023358</v>
      </c>
      <c r="K577" s="6">
        <v>88589</v>
      </c>
      <c r="L577" s="6">
        <v>13605</v>
      </c>
      <c r="M577" s="6">
        <v>1</v>
      </c>
      <c r="N577" s="6">
        <v>4</v>
      </c>
      <c r="O577" s="6">
        <v>384</v>
      </c>
      <c r="P577" s="6">
        <v>685280</v>
      </c>
      <c r="Q577" s="6">
        <v>885851</v>
      </c>
      <c r="R577" s="6">
        <v>554032</v>
      </c>
      <c r="S577" s="6">
        <v>59080</v>
      </c>
      <c r="T577" s="6">
        <v>1393694</v>
      </c>
      <c r="U577" s="6">
        <v>205680</v>
      </c>
      <c r="V577" s="6">
        <v>-8689</v>
      </c>
      <c r="W577" s="6">
        <v>0</v>
      </c>
      <c r="X577" s="6">
        <v>181</v>
      </c>
      <c r="Y577" s="6"/>
      <c r="Z577" s="6"/>
      <c r="AA577" s="6"/>
      <c r="AB577" s="6">
        <v>92</v>
      </c>
      <c r="AC577" s="6">
        <v>2284</v>
      </c>
      <c r="AD577" s="6">
        <v>272</v>
      </c>
      <c r="AE577" s="6">
        <v>24129</v>
      </c>
      <c r="AF577" s="6">
        <v>29428</v>
      </c>
    </row>
    <row r="578" spans="1:32" x14ac:dyDescent="0.35">
      <c r="A578" s="1">
        <v>41591</v>
      </c>
      <c r="B578" s="6">
        <v>3907424</v>
      </c>
      <c r="C578" s="6">
        <v>11037</v>
      </c>
      <c r="D578" s="6">
        <v>5200</v>
      </c>
      <c r="E578" s="6">
        <v>1967</v>
      </c>
      <c r="F578" s="6">
        <v>3828962</v>
      </c>
      <c r="G578" s="6">
        <v>3630670</v>
      </c>
      <c r="H578" s="6">
        <v>2137037</v>
      </c>
      <c r="I578" s="6">
        <v>0</v>
      </c>
      <c r="J578" s="6">
        <v>2034815</v>
      </c>
      <c r="K578" s="6">
        <v>88589</v>
      </c>
      <c r="L578" s="6">
        <v>13633</v>
      </c>
      <c r="M578" s="6">
        <v>1</v>
      </c>
      <c r="N578" s="6">
        <v>4</v>
      </c>
      <c r="O578" s="6">
        <v>384</v>
      </c>
      <c r="P578" s="6">
        <v>688281</v>
      </c>
      <c r="Q578" s="6">
        <v>891277</v>
      </c>
      <c r="R578" s="6">
        <v>557090</v>
      </c>
      <c r="S578" s="6">
        <v>59080</v>
      </c>
      <c r="T578" s="6">
        <v>1434553</v>
      </c>
      <c r="U578" s="6">
        <v>207149</v>
      </c>
      <c r="V578" s="6">
        <v>-9034</v>
      </c>
      <c r="W578" s="6">
        <v>0</v>
      </c>
      <c r="X578" s="6">
        <v>177</v>
      </c>
      <c r="Y578" s="6"/>
      <c r="Z578" s="6"/>
      <c r="AA578" s="6"/>
      <c r="AB578" s="6">
        <v>125</v>
      </c>
      <c r="AC578" s="6">
        <v>2286</v>
      </c>
      <c r="AD578" s="6">
        <v>272</v>
      </c>
      <c r="AE578" s="6">
        <v>23983</v>
      </c>
      <c r="AF578" s="6">
        <v>31881</v>
      </c>
    </row>
    <row r="579" spans="1:32" x14ac:dyDescent="0.35">
      <c r="A579" s="1">
        <v>41598</v>
      </c>
      <c r="B579" s="6">
        <v>3906620</v>
      </c>
      <c r="C579" s="6">
        <v>11037</v>
      </c>
      <c r="D579" s="6">
        <v>5200</v>
      </c>
      <c r="E579" s="6">
        <v>1961</v>
      </c>
      <c r="F579" s="6">
        <v>3841026</v>
      </c>
      <c r="G579" s="6">
        <v>3643215</v>
      </c>
      <c r="H579" s="6">
        <v>2150957</v>
      </c>
      <c r="I579" s="6">
        <v>0</v>
      </c>
      <c r="J579" s="6">
        <v>2047265</v>
      </c>
      <c r="K579" s="6">
        <v>89979</v>
      </c>
      <c r="L579" s="6">
        <v>13713</v>
      </c>
      <c r="M579" s="6">
        <v>1</v>
      </c>
      <c r="N579" s="6">
        <v>3</v>
      </c>
      <c r="O579" s="6">
        <v>472</v>
      </c>
      <c r="P579" s="6">
        <v>721540</v>
      </c>
      <c r="Q579" s="6">
        <v>867998</v>
      </c>
      <c r="R579" s="6">
        <v>560944</v>
      </c>
      <c r="S579" s="6">
        <v>58372</v>
      </c>
      <c r="T579" s="6">
        <v>1433886</v>
      </c>
      <c r="U579" s="6">
        <v>207412</v>
      </c>
      <c r="V579" s="6">
        <v>-9766</v>
      </c>
      <c r="W579" s="6">
        <v>0</v>
      </c>
      <c r="X579" s="6">
        <v>166</v>
      </c>
      <c r="Y579" s="6"/>
      <c r="Z579" s="6"/>
      <c r="AA579" s="6"/>
      <c r="AB579" s="6">
        <v>86</v>
      </c>
      <c r="AC579" s="6">
        <v>2288</v>
      </c>
      <c r="AD579" s="6">
        <v>273</v>
      </c>
      <c r="AE579" s="6">
        <v>23913</v>
      </c>
      <c r="AF579" s="6">
        <v>19124</v>
      </c>
    </row>
    <row r="580" spans="1:32" x14ac:dyDescent="0.35">
      <c r="A580" s="1">
        <v>41605</v>
      </c>
      <c r="B580" s="6">
        <v>3925876</v>
      </c>
      <c r="C580" s="6">
        <v>11037</v>
      </c>
      <c r="D580" s="6">
        <v>5200</v>
      </c>
      <c r="E580" s="6">
        <v>1926</v>
      </c>
      <c r="F580" s="6">
        <v>3859536</v>
      </c>
      <c r="G580" s="6">
        <v>3661892</v>
      </c>
      <c r="H580" s="6">
        <v>2163666</v>
      </c>
      <c r="I580" s="6">
        <v>0</v>
      </c>
      <c r="J580" s="6">
        <v>2059942</v>
      </c>
      <c r="K580" s="6">
        <v>89979</v>
      </c>
      <c r="L580" s="6">
        <v>13745</v>
      </c>
      <c r="M580" s="6">
        <v>1</v>
      </c>
      <c r="N580" s="6">
        <v>3</v>
      </c>
      <c r="O580" s="6">
        <v>472</v>
      </c>
      <c r="P580" s="6">
        <v>726355</v>
      </c>
      <c r="Q580" s="6">
        <v>871174</v>
      </c>
      <c r="R580" s="6">
        <v>565661</v>
      </c>
      <c r="S580" s="6">
        <v>58372</v>
      </c>
      <c r="T580" s="6">
        <v>1439854</v>
      </c>
      <c r="U580" s="6">
        <v>207686</v>
      </c>
      <c r="V580" s="6">
        <v>-10214</v>
      </c>
      <c r="W580" s="6">
        <v>0</v>
      </c>
      <c r="X580" s="6">
        <v>172</v>
      </c>
      <c r="Y580" s="6"/>
      <c r="Z580" s="6"/>
      <c r="AA580" s="6"/>
      <c r="AB580" s="6">
        <v>89</v>
      </c>
      <c r="AC580" s="6">
        <v>2294</v>
      </c>
      <c r="AD580" s="6">
        <v>272</v>
      </c>
      <c r="AE580" s="6">
        <v>23844</v>
      </c>
      <c r="AF580" s="6">
        <v>19966</v>
      </c>
    </row>
    <row r="581" spans="1:32" x14ac:dyDescent="0.35">
      <c r="A581" s="1">
        <v>41612</v>
      </c>
      <c r="B581" s="6">
        <v>3932626</v>
      </c>
      <c r="C581" s="6">
        <v>11037</v>
      </c>
      <c r="D581" s="6">
        <v>5200</v>
      </c>
      <c r="E581" s="6">
        <v>1926</v>
      </c>
      <c r="F581" s="6">
        <v>3865541</v>
      </c>
      <c r="G581" s="6">
        <v>3668024</v>
      </c>
      <c r="H581" s="6">
        <v>2169788</v>
      </c>
      <c r="I581" s="6">
        <v>0</v>
      </c>
      <c r="J581" s="6">
        <v>2066090</v>
      </c>
      <c r="K581" s="6">
        <v>89979</v>
      </c>
      <c r="L581" s="6">
        <v>13719</v>
      </c>
      <c r="M581" s="6">
        <v>0</v>
      </c>
      <c r="N581" s="6">
        <v>298</v>
      </c>
      <c r="O581" s="6">
        <v>177</v>
      </c>
      <c r="P581" s="6">
        <v>742894</v>
      </c>
      <c r="Q581" s="6">
        <v>858356</v>
      </c>
      <c r="R581" s="6">
        <v>568064</v>
      </c>
      <c r="S581" s="6">
        <v>58372</v>
      </c>
      <c r="T581" s="6">
        <v>1439864</v>
      </c>
      <c r="U581" s="6">
        <v>207768</v>
      </c>
      <c r="V581" s="6">
        <v>-10412</v>
      </c>
      <c r="W581" s="6">
        <v>0</v>
      </c>
      <c r="X581" s="6">
        <v>161</v>
      </c>
      <c r="Y581" s="6"/>
      <c r="Z581" s="6"/>
      <c r="AA581" s="6"/>
      <c r="AB581" s="6">
        <v>94</v>
      </c>
      <c r="AC581" s="6">
        <v>2284</v>
      </c>
      <c r="AD581" s="6">
        <v>272</v>
      </c>
      <c r="AE581" s="6">
        <v>23806</v>
      </c>
      <c r="AF581" s="6">
        <v>20753</v>
      </c>
    </row>
    <row r="582" spans="1:32" x14ac:dyDescent="0.35">
      <c r="A582" s="1">
        <v>41619</v>
      </c>
      <c r="B582" s="6">
        <v>3993955</v>
      </c>
      <c r="C582" s="6">
        <v>11037</v>
      </c>
      <c r="D582" s="6">
        <v>5200</v>
      </c>
      <c r="E582" s="6">
        <v>1947</v>
      </c>
      <c r="F582" s="6">
        <v>3923984</v>
      </c>
      <c r="G582" s="6">
        <v>3725907</v>
      </c>
      <c r="H582" s="6">
        <v>2185719</v>
      </c>
      <c r="I582" s="6">
        <v>0</v>
      </c>
      <c r="J582" s="6">
        <v>2080640</v>
      </c>
      <c r="K582" s="6">
        <v>91379</v>
      </c>
      <c r="L582" s="6">
        <v>13700</v>
      </c>
      <c r="M582" s="6">
        <v>0</v>
      </c>
      <c r="N582" s="6">
        <v>298</v>
      </c>
      <c r="O582" s="6">
        <v>177</v>
      </c>
      <c r="P582" s="6">
        <v>748015</v>
      </c>
      <c r="Q582" s="6">
        <v>864707</v>
      </c>
      <c r="R582" s="6">
        <v>572522</v>
      </c>
      <c r="S582" s="6">
        <v>57221</v>
      </c>
      <c r="T582" s="6">
        <v>1482966</v>
      </c>
      <c r="U582" s="6">
        <v>209015</v>
      </c>
      <c r="V582" s="6">
        <v>-11111</v>
      </c>
      <c r="W582" s="6">
        <v>0</v>
      </c>
      <c r="X582" s="6">
        <v>173</v>
      </c>
      <c r="Y582" s="6"/>
      <c r="Z582" s="6"/>
      <c r="AA582" s="6"/>
      <c r="AB582" s="6">
        <v>94</v>
      </c>
      <c r="AC582" s="6">
        <v>2284</v>
      </c>
      <c r="AD582" s="6">
        <v>272</v>
      </c>
      <c r="AE582" s="6">
        <v>24079</v>
      </c>
      <c r="AF582" s="6">
        <v>23344</v>
      </c>
    </row>
    <row r="583" spans="1:32" x14ac:dyDescent="0.35">
      <c r="A583" s="1">
        <v>41626</v>
      </c>
      <c r="B583" s="6">
        <v>4008062</v>
      </c>
      <c r="C583" s="6">
        <v>11037</v>
      </c>
      <c r="D583" s="6">
        <v>5200</v>
      </c>
      <c r="E583" s="6">
        <v>1964</v>
      </c>
      <c r="F583" s="6">
        <v>3937271</v>
      </c>
      <c r="G583" s="6">
        <v>3739919</v>
      </c>
      <c r="H583" s="6">
        <v>2197292</v>
      </c>
      <c r="I583" s="6">
        <v>0</v>
      </c>
      <c r="J583" s="6">
        <v>2092274</v>
      </c>
      <c r="K583" s="6">
        <v>91379</v>
      </c>
      <c r="L583" s="6">
        <v>13639</v>
      </c>
      <c r="M583" s="6">
        <v>1</v>
      </c>
      <c r="N583" s="6">
        <v>297</v>
      </c>
      <c r="O583" s="6">
        <v>177</v>
      </c>
      <c r="P583" s="6">
        <v>748008</v>
      </c>
      <c r="Q583" s="6">
        <v>871606</v>
      </c>
      <c r="R583" s="6">
        <v>577203</v>
      </c>
      <c r="S583" s="6">
        <v>57221</v>
      </c>
      <c r="T583" s="6">
        <v>1485407</v>
      </c>
      <c r="U583" s="6">
        <v>208882</v>
      </c>
      <c r="V583" s="6">
        <v>-11711</v>
      </c>
      <c r="W583" s="6">
        <v>0</v>
      </c>
      <c r="X583" s="6">
        <v>181</v>
      </c>
      <c r="Y583" s="6"/>
      <c r="Z583" s="6"/>
      <c r="AA583" s="6"/>
      <c r="AB583" s="6">
        <v>99</v>
      </c>
      <c r="AC583" s="6">
        <v>2287</v>
      </c>
      <c r="AD583" s="6">
        <v>273</v>
      </c>
      <c r="AE583" s="6">
        <v>23976</v>
      </c>
      <c r="AF583" s="6">
        <v>24243</v>
      </c>
    </row>
    <row r="584" spans="1:32" x14ac:dyDescent="0.35">
      <c r="A584" s="1">
        <v>41633</v>
      </c>
      <c r="B584" s="6">
        <v>4032575</v>
      </c>
      <c r="C584" s="6">
        <v>11037</v>
      </c>
      <c r="D584" s="6">
        <v>5200</v>
      </c>
      <c r="E584" s="6">
        <v>1963</v>
      </c>
      <c r="F584" s="6">
        <v>3959914</v>
      </c>
      <c r="G584" s="6">
        <v>3762993</v>
      </c>
      <c r="H584" s="6">
        <v>2208829</v>
      </c>
      <c r="I584" s="6">
        <v>0</v>
      </c>
      <c r="J584" s="6">
        <v>2103872</v>
      </c>
      <c r="K584" s="6">
        <v>91379</v>
      </c>
      <c r="L584" s="6">
        <v>13578</v>
      </c>
      <c r="M584" s="6">
        <v>1</v>
      </c>
      <c r="N584" s="6">
        <v>297</v>
      </c>
      <c r="O584" s="6">
        <v>177</v>
      </c>
      <c r="P584" s="6">
        <v>750641</v>
      </c>
      <c r="Q584" s="6">
        <v>877403</v>
      </c>
      <c r="R584" s="6">
        <v>580310</v>
      </c>
      <c r="S584" s="6">
        <v>57221</v>
      </c>
      <c r="T584" s="6">
        <v>1496943</v>
      </c>
      <c r="U584" s="6">
        <v>209102</v>
      </c>
      <c r="V584" s="6">
        <v>-12372</v>
      </c>
      <c r="W584" s="6">
        <v>0</v>
      </c>
      <c r="X584" s="6">
        <v>192</v>
      </c>
      <c r="Y584" s="6"/>
      <c r="Z584" s="6"/>
      <c r="AA584" s="6"/>
      <c r="AB584" s="6">
        <v>161</v>
      </c>
      <c r="AC584" s="6">
        <v>2290</v>
      </c>
      <c r="AD584" s="6">
        <v>273</v>
      </c>
      <c r="AE584" s="6">
        <v>23786</v>
      </c>
      <c r="AF584" s="6">
        <v>26216</v>
      </c>
    </row>
    <row r="585" spans="1:32" x14ac:dyDescent="0.35">
      <c r="A585" s="1">
        <v>41640</v>
      </c>
      <c r="B585" s="6">
        <v>4023640</v>
      </c>
      <c r="C585" s="6">
        <v>11037</v>
      </c>
      <c r="D585" s="6">
        <v>5200</v>
      </c>
      <c r="E585" s="6">
        <v>1955</v>
      </c>
      <c r="F585" s="6">
        <v>3952587</v>
      </c>
      <c r="G585" s="6">
        <v>3756158</v>
      </c>
      <c r="H585" s="6">
        <v>2208775</v>
      </c>
      <c r="I585" s="6">
        <v>0</v>
      </c>
      <c r="J585" s="6">
        <v>2103871</v>
      </c>
      <c r="K585" s="6">
        <v>91379</v>
      </c>
      <c r="L585" s="6">
        <v>13525</v>
      </c>
      <c r="M585" s="6">
        <v>0</v>
      </c>
      <c r="N585" s="6">
        <v>298</v>
      </c>
      <c r="O585" s="6">
        <v>176</v>
      </c>
      <c r="P585" s="6">
        <v>763329</v>
      </c>
      <c r="Q585" s="6">
        <v>864700</v>
      </c>
      <c r="R585" s="6">
        <v>580272</v>
      </c>
      <c r="S585" s="6">
        <v>57221</v>
      </c>
      <c r="T585" s="6">
        <v>1490162</v>
      </c>
      <c r="U585" s="6">
        <v>208610</v>
      </c>
      <c r="V585" s="6">
        <v>-12352</v>
      </c>
      <c r="W585" s="6">
        <v>0</v>
      </c>
      <c r="X585" s="6">
        <v>171</v>
      </c>
      <c r="Y585" s="6"/>
      <c r="Z585" s="6"/>
      <c r="AA585" s="6"/>
      <c r="AB585" s="6">
        <v>165</v>
      </c>
      <c r="AC585" s="6">
        <v>2289</v>
      </c>
      <c r="AD585" s="6">
        <v>272</v>
      </c>
      <c r="AE585" s="6">
        <v>23821</v>
      </c>
      <c r="AF585" s="6">
        <v>24579</v>
      </c>
    </row>
    <row r="586" spans="1:32" x14ac:dyDescent="0.35">
      <c r="A586" s="1">
        <v>41647</v>
      </c>
      <c r="B586" s="6">
        <v>4028185</v>
      </c>
      <c r="C586" s="6">
        <v>11037</v>
      </c>
      <c r="D586" s="6">
        <v>5200</v>
      </c>
      <c r="E586" s="6">
        <v>1969</v>
      </c>
      <c r="F586" s="6">
        <v>3954476</v>
      </c>
      <c r="G586" s="6">
        <v>3758748</v>
      </c>
      <c r="H586" s="6">
        <v>2212924</v>
      </c>
      <c r="I586" s="6">
        <v>0</v>
      </c>
      <c r="J586" s="6">
        <v>2108075</v>
      </c>
      <c r="K586" s="6">
        <v>91379</v>
      </c>
      <c r="L586" s="6">
        <v>13470</v>
      </c>
      <c r="M586" s="6">
        <v>0</v>
      </c>
      <c r="N586" s="6">
        <v>298</v>
      </c>
      <c r="O586" s="6">
        <v>176</v>
      </c>
      <c r="P586" s="6">
        <v>763322</v>
      </c>
      <c r="Q586" s="6">
        <v>867504</v>
      </c>
      <c r="R586" s="6">
        <v>581624</v>
      </c>
      <c r="S586" s="6">
        <v>55657</v>
      </c>
      <c r="T586" s="6">
        <v>1490167</v>
      </c>
      <c r="U586" s="6">
        <v>208249</v>
      </c>
      <c r="V586" s="6">
        <v>-12642</v>
      </c>
      <c r="W586" s="6">
        <v>0</v>
      </c>
      <c r="X586" s="6">
        <v>121</v>
      </c>
      <c r="Y586" s="6"/>
      <c r="Z586" s="6"/>
      <c r="AA586" s="6"/>
      <c r="AB586" s="6">
        <v>132</v>
      </c>
      <c r="AC586" s="6">
        <v>2286</v>
      </c>
      <c r="AD586" s="6">
        <v>259</v>
      </c>
      <c r="AE586" s="6">
        <v>23641</v>
      </c>
      <c r="AF586" s="6">
        <v>27451</v>
      </c>
    </row>
    <row r="587" spans="1:32" x14ac:dyDescent="0.35">
      <c r="A587" s="1">
        <v>41654</v>
      </c>
      <c r="B587" s="6">
        <v>4071528</v>
      </c>
      <c r="C587" s="6">
        <v>11037</v>
      </c>
      <c r="D587" s="6">
        <v>5200</v>
      </c>
      <c r="E587" s="6">
        <v>1987</v>
      </c>
      <c r="F587" s="6">
        <v>3997192</v>
      </c>
      <c r="G587" s="6">
        <v>3801068</v>
      </c>
      <c r="H587" s="6">
        <v>2220953</v>
      </c>
      <c r="I587" s="6">
        <v>0</v>
      </c>
      <c r="J587" s="6">
        <v>2114894</v>
      </c>
      <c r="K587" s="6">
        <v>92615</v>
      </c>
      <c r="L587" s="6">
        <v>13444</v>
      </c>
      <c r="M587" s="6">
        <v>0</v>
      </c>
      <c r="N587" s="6">
        <v>299</v>
      </c>
      <c r="O587" s="6">
        <v>176</v>
      </c>
      <c r="P587" s="6">
        <v>765246</v>
      </c>
      <c r="Q587" s="6">
        <v>868862</v>
      </c>
      <c r="R587" s="6">
        <v>586370</v>
      </c>
      <c r="S587" s="6">
        <v>54911</v>
      </c>
      <c r="T587" s="6">
        <v>1525204</v>
      </c>
      <c r="U587" s="6">
        <v>209068</v>
      </c>
      <c r="V587" s="6">
        <v>-13059</v>
      </c>
      <c r="W587" s="6">
        <v>0</v>
      </c>
      <c r="X587" s="6">
        <v>115</v>
      </c>
      <c r="Y587" s="6"/>
      <c r="Z587" s="6"/>
      <c r="AA587" s="6"/>
      <c r="AB587" s="6">
        <v>105</v>
      </c>
      <c r="AC587" s="6">
        <v>2286</v>
      </c>
      <c r="AD587" s="6">
        <v>259</v>
      </c>
      <c r="AE587" s="6">
        <v>23700</v>
      </c>
      <c r="AF587" s="6">
        <v>28027</v>
      </c>
    </row>
    <row r="588" spans="1:32" x14ac:dyDescent="0.35">
      <c r="A588" s="1">
        <v>41661</v>
      </c>
      <c r="B588" s="6">
        <v>4097914</v>
      </c>
      <c r="C588" s="6">
        <v>11037</v>
      </c>
      <c r="D588" s="6">
        <v>5200</v>
      </c>
      <c r="E588" s="6">
        <v>2000</v>
      </c>
      <c r="F588" s="6">
        <v>4021633</v>
      </c>
      <c r="G588" s="6">
        <v>3825808</v>
      </c>
      <c r="H588" s="6">
        <v>2231430</v>
      </c>
      <c r="I588" s="6">
        <v>0</v>
      </c>
      <c r="J588" s="6">
        <v>2125420</v>
      </c>
      <c r="K588" s="6">
        <v>92615</v>
      </c>
      <c r="L588" s="6">
        <v>13395</v>
      </c>
      <c r="M588" s="6">
        <v>1</v>
      </c>
      <c r="N588" s="6">
        <v>298</v>
      </c>
      <c r="O588" s="6">
        <v>176</v>
      </c>
      <c r="P588" s="6">
        <v>767716</v>
      </c>
      <c r="Q588" s="6">
        <v>874124</v>
      </c>
      <c r="R588" s="6">
        <v>589115</v>
      </c>
      <c r="S588" s="6">
        <v>54911</v>
      </c>
      <c r="T588" s="6">
        <v>1539467</v>
      </c>
      <c r="U588" s="6">
        <v>209225</v>
      </c>
      <c r="V588" s="6">
        <v>-13521</v>
      </c>
      <c r="W588" s="6">
        <v>0</v>
      </c>
      <c r="X588" s="6">
        <v>121</v>
      </c>
      <c r="Y588" s="6"/>
      <c r="Z588" s="6"/>
      <c r="AA588" s="6"/>
      <c r="AB588" s="6">
        <v>200</v>
      </c>
      <c r="AC588" s="6">
        <v>2286</v>
      </c>
      <c r="AD588" s="6">
        <v>260</v>
      </c>
      <c r="AE588" s="6">
        <v>23643</v>
      </c>
      <c r="AF588" s="6">
        <v>29917</v>
      </c>
    </row>
    <row r="589" spans="1:32" x14ac:dyDescent="0.35">
      <c r="A589" s="1">
        <v>41668</v>
      </c>
      <c r="B589" s="6">
        <v>4102138</v>
      </c>
      <c r="C589" s="6">
        <v>11037</v>
      </c>
      <c r="D589" s="6">
        <v>5200</v>
      </c>
      <c r="E589" s="6">
        <v>2019</v>
      </c>
      <c r="F589" s="6">
        <v>4025133</v>
      </c>
      <c r="G589" s="6">
        <v>3830311</v>
      </c>
      <c r="H589" s="6">
        <v>2243176</v>
      </c>
      <c r="I589" s="6">
        <v>0</v>
      </c>
      <c r="J589" s="6">
        <v>2137215</v>
      </c>
      <c r="K589" s="6">
        <v>92615</v>
      </c>
      <c r="L589" s="6">
        <v>13346</v>
      </c>
      <c r="M589" s="6">
        <v>1</v>
      </c>
      <c r="N589" s="6">
        <v>298</v>
      </c>
      <c r="O589" s="6">
        <v>176</v>
      </c>
      <c r="P589" s="6">
        <v>767709</v>
      </c>
      <c r="Q589" s="6">
        <v>883213</v>
      </c>
      <c r="R589" s="6">
        <v>591779</v>
      </c>
      <c r="S589" s="6">
        <v>54911</v>
      </c>
      <c r="T589" s="6">
        <v>1532224</v>
      </c>
      <c r="U589" s="6">
        <v>208782</v>
      </c>
      <c r="V589" s="6">
        <v>-14086</v>
      </c>
      <c r="W589" s="6">
        <v>0</v>
      </c>
      <c r="X589" s="6">
        <v>127</v>
      </c>
      <c r="Y589" s="6"/>
      <c r="Z589" s="6"/>
      <c r="AA589" s="6"/>
      <c r="AB589" s="6">
        <v>144</v>
      </c>
      <c r="AC589" s="6">
        <v>2286</v>
      </c>
      <c r="AD589" s="6">
        <v>261</v>
      </c>
      <c r="AE589" s="6">
        <v>23961</v>
      </c>
      <c r="AF589" s="6">
        <v>30326</v>
      </c>
    </row>
    <row r="590" spans="1:32" x14ac:dyDescent="0.35">
      <c r="A590" s="1">
        <v>41675</v>
      </c>
      <c r="B590" s="6">
        <v>4109285</v>
      </c>
      <c r="C590" s="6">
        <v>11037</v>
      </c>
      <c r="D590" s="6">
        <v>5200</v>
      </c>
      <c r="E590" s="6">
        <v>2037</v>
      </c>
      <c r="F590" s="6">
        <v>4030962</v>
      </c>
      <c r="G590" s="6">
        <v>3836615</v>
      </c>
      <c r="H590" s="6">
        <v>2252973</v>
      </c>
      <c r="I590" s="6">
        <v>0</v>
      </c>
      <c r="J590" s="6">
        <v>2147028</v>
      </c>
      <c r="K590" s="6">
        <v>92615</v>
      </c>
      <c r="L590" s="6">
        <v>13331</v>
      </c>
      <c r="M590" s="6">
        <v>1</v>
      </c>
      <c r="N590" s="6">
        <v>298</v>
      </c>
      <c r="O590" s="6">
        <v>175</v>
      </c>
      <c r="P590" s="6">
        <v>778072</v>
      </c>
      <c r="Q590" s="6">
        <v>880024</v>
      </c>
      <c r="R590" s="6">
        <v>594404</v>
      </c>
      <c r="S590" s="6">
        <v>51411</v>
      </c>
      <c r="T590" s="6">
        <v>1532231</v>
      </c>
      <c r="U590" s="6">
        <v>208632</v>
      </c>
      <c r="V590" s="6">
        <v>-14389</v>
      </c>
      <c r="W590" s="6">
        <v>0</v>
      </c>
      <c r="X590" s="6">
        <v>103</v>
      </c>
      <c r="Y590" s="6"/>
      <c r="Z590" s="6"/>
      <c r="AA590" s="6"/>
      <c r="AB590" s="6">
        <v>125</v>
      </c>
      <c r="AC590" s="6">
        <v>2280</v>
      </c>
      <c r="AD590" s="6">
        <v>359</v>
      </c>
      <c r="AE590" s="6">
        <v>23880</v>
      </c>
      <c r="AF590" s="6">
        <v>31633</v>
      </c>
    </row>
    <row r="591" spans="1:32" x14ac:dyDescent="0.35">
      <c r="A591" s="1">
        <v>41682</v>
      </c>
      <c r="B591" s="6">
        <v>4119474</v>
      </c>
      <c r="C591" s="6">
        <v>11037</v>
      </c>
      <c r="D591" s="6">
        <v>5200</v>
      </c>
      <c r="E591" s="6">
        <v>2051</v>
      </c>
      <c r="F591" s="6">
        <v>4038618</v>
      </c>
      <c r="G591" s="6">
        <v>3844752</v>
      </c>
      <c r="H591" s="6">
        <v>2261099</v>
      </c>
      <c r="I591" s="6">
        <v>0</v>
      </c>
      <c r="J591" s="6">
        <v>2154170</v>
      </c>
      <c r="K591" s="6">
        <v>93583</v>
      </c>
      <c r="L591" s="6">
        <v>13347</v>
      </c>
      <c r="M591" s="6">
        <v>1</v>
      </c>
      <c r="N591" s="6">
        <v>298</v>
      </c>
      <c r="O591" s="6">
        <v>175</v>
      </c>
      <c r="P591" s="6">
        <v>778071</v>
      </c>
      <c r="Q591" s="6">
        <v>885261</v>
      </c>
      <c r="R591" s="6">
        <v>597294</v>
      </c>
      <c r="S591" s="6">
        <v>51411</v>
      </c>
      <c r="T591" s="6">
        <v>1532242</v>
      </c>
      <c r="U591" s="6">
        <v>208533</v>
      </c>
      <c r="V591" s="6">
        <v>-14768</v>
      </c>
      <c r="W591" s="6">
        <v>0</v>
      </c>
      <c r="X591" s="6">
        <v>101</v>
      </c>
      <c r="Y591" s="6"/>
      <c r="Z591" s="6"/>
      <c r="AA591" s="6"/>
      <c r="AB591" s="6">
        <v>77</v>
      </c>
      <c r="AC591" s="6">
        <v>2279</v>
      </c>
      <c r="AD591" s="6">
        <v>360</v>
      </c>
      <c r="AE591" s="6">
        <v>23862</v>
      </c>
      <c r="AF591" s="6">
        <v>34217</v>
      </c>
    </row>
    <row r="592" spans="1:32" x14ac:dyDescent="0.35">
      <c r="A592" s="1">
        <v>41689</v>
      </c>
      <c r="B592" s="6">
        <v>4149224</v>
      </c>
      <c r="C592" s="6">
        <v>11037</v>
      </c>
      <c r="D592" s="6">
        <v>5200</v>
      </c>
      <c r="E592" s="6">
        <v>2039</v>
      </c>
      <c r="F592" s="6">
        <v>4082363</v>
      </c>
      <c r="G592" s="6">
        <v>3887969</v>
      </c>
      <c r="H592" s="6">
        <v>2267872</v>
      </c>
      <c r="I592" s="6">
        <v>0</v>
      </c>
      <c r="J592" s="6">
        <v>2160945</v>
      </c>
      <c r="K592" s="6">
        <v>93583</v>
      </c>
      <c r="L592" s="6">
        <v>13344</v>
      </c>
      <c r="M592" s="6">
        <v>295</v>
      </c>
      <c r="N592" s="6">
        <v>3</v>
      </c>
      <c r="O592" s="6">
        <v>177</v>
      </c>
      <c r="P592" s="6">
        <v>819714</v>
      </c>
      <c r="Q592" s="6">
        <v>847898</v>
      </c>
      <c r="R592" s="6">
        <v>599784</v>
      </c>
      <c r="S592" s="6">
        <v>51411</v>
      </c>
      <c r="T592" s="6">
        <v>1568686</v>
      </c>
      <c r="U592" s="6">
        <v>209440</v>
      </c>
      <c r="V592" s="6">
        <v>-15148</v>
      </c>
      <c r="W592" s="6">
        <v>0</v>
      </c>
      <c r="X592" s="6">
        <v>101</v>
      </c>
      <c r="Y592" s="6"/>
      <c r="Z592" s="6"/>
      <c r="AA592" s="6"/>
      <c r="AB592" s="6">
        <v>117</v>
      </c>
      <c r="AC592" s="6">
        <v>2282</v>
      </c>
      <c r="AD592" s="6">
        <v>360</v>
      </c>
      <c r="AE592" s="6">
        <v>24065</v>
      </c>
      <c r="AF592" s="6">
        <v>19990</v>
      </c>
    </row>
    <row r="593" spans="1:32" x14ac:dyDescent="0.35">
      <c r="A593" s="1">
        <v>41696</v>
      </c>
      <c r="B593" s="6">
        <v>4159972</v>
      </c>
      <c r="C593" s="6">
        <v>11037</v>
      </c>
      <c r="D593" s="6">
        <v>5200</v>
      </c>
      <c r="E593" s="6">
        <v>2020</v>
      </c>
      <c r="F593" s="6">
        <v>4093568</v>
      </c>
      <c r="G593" s="6">
        <v>3899733</v>
      </c>
      <c r="H593" s="6">
        <v>2278256</v>
      </c>
      <c r="I593" s="6">
        <v>0</v>
      </c>
      <c r="J593" s="6">
        <v>2171331</v>
      </c>
      <c r="K593" s="6">
        <v>93583</v>
      </c>
      <c r="L593" s="6">
        <v>13342</v>
      </c>
      <c r="M593" s="6">
        <v>295</v>
      </c>
      <c r="N593" s="6">
        <v>3</v>
      </c>
      <c r="O593" s="6">
        <v>177</v>
      </c>
      <c r="P593" s="6">
        <v>819714</v>
      </c>
      <c r="Q593" s="6">
        <v>855792</v>
      </c>
      <c r="R593" s="6">
        <v>602274</v>
      </c>
      <c r="S593" s="6">
        <v>51411</v>
      </c>
      <c r="T593" s="6">
        <v>1570067</v>
      </c>
      <c r="U593" s="6">
        <v>209312</v>
      </c>
      <c r="V593" s="6">
        <v>-15577</v>
      </c>
      <c r="W593" s="6">
        <v>0</v>
      </c>
      <c r="X593" s="6">
        <v>100</v>
      </c>
      <c r="Y593" s="6"/>
      <c r="Z593" s="6"/>
      <c r="AA593" s="6"/>
      <c r="AB593" s="6">
        <v>108</v>
      </c>
      <c r="AC593" s="6">
        <v>2283</v>
      </c>
      <c r="AD593" s="6">
        <v>360</v>
      </c>
      <c r="AE593" s="6">
        <v>23959</v>
      </c>
      <c r="AF593" s="6">
        <v>19665</v>
      </c>
    </row>
    <row r="594" spans="1:32" x14ac:dyDescent="0.35">
      <c r="A594" s="1">
        <v>41703</v>
      </c>
      <c r="B594" s="6">
        <v>4171762</v>
      </c>
      <c r="C594" s="6">
        <v>11037</v>
      </c>
      <c r="D594" s="6">
        <v>5200</v>
      </c>
      <c r="E594" s="6">
        <v>1989</v>
      </c>
      <c r="F594" s="6">
        <v>4103247</v>
      </c>
      <c r="G594" s="6">
        <v>3909982</v>
      </c>
      <c r="H594" s="6">
        <v>2288453</v>
      </c>
      <c r="I594" s="6">
        <v>0</v>
      </c>
      <c r="J594" s="6">
        <v>2181439</v>
      </c>
      <c r="K594" s="6">
        <v>93608</v>
      </c>
      <c r="L594" s="6">
        <v>13406</v>
      </c>
      <c r="M594" s="6">
        <v>0</v>
      </c>
      <c r="N594" s="6">
        <v>40</v>
      </c>
      <c r="O594" s="6">
        <v>141</v>
      </c>
      <c r="P594" s="6">
        <v>828156</v>
      </c>
      <c r="Q594" s="6">
        <v>854054</v>
      </c>
      <c r="R594" s="6">
        <v>606062</v>
      </c>
      <c r="S594" s="6">
        <v>51411</v>
      </c>
      <c r="T594" s="6">
        <v>1570119</v>
      </c>
      <c r="U594" s="6">
        <v>209115</v>
      </c>
      <c r="V594" s="6">
        <v>-15951</v>
      </c>
      <c r="W594" s="6">
        <v>0</v>
      </c>
      <c r="X594" s="6">
        <v>101</v>
      </c>
      <c r="Y594" s="6"/>
      <c r="Z594" s="6"/>
      <c r="AA594" s="6"/>
      <c r="AB594" s="6">
        <v>99</v>
      </c>
      <c r="AC594" s="6">
        <v>2274</v>
      </c>
      <c r="AD594" s="6">
        <v>458</v>
      </c>
      <c r="AE594" s="6">
        <v>24036</v>
      </c>
      <c r="AF594" s="6">
        <v>21649</v>
      </c>
    </row>
    <row r="595" spans="1:32" x14ac:dyDescent="0.35">
      <c r="A595" s="1">
        <v>41710</v>
      </c>
      <c r="B595" s="6">
        <v>4181361</v>
      </c>
      <c r="C595" s="6">
        <v>11037</v>
      </c>
      <c r="D595" s="6">
        <v>5200</v>
      </c>
      <c r="E595" s="6">
        <v>1967</v>
      </c>
      <c r="F595" s="6">
        <v>4110098</v>
      </c>
      <c r="G595" s="6">
        <v>3917478</v>
      </c>
      <c r="H595" s="6">
        <v>2295938</v>
      </c>
      <c r="I595" s="6">
        <v>0</v>
      </c>
      <c r="J595" s="6">
        <v>2188835</v>
      </c>
      <c r="K595" s="6">
        <v>93608</v>
      </c>
      <c r="L595" s="6">
        <v>13495</v>
      </c>
      <c r="M595" s="6">
        <v>0</v>
      </c>
      <c r="N595" s="6">
        <v>40</v>
      </c>
      <c r="O595" s="6">
        <v>141</v>
      </c>
      <c r="P595" s="6">
        <v>828168</v>
      </c>
      <c r="Q595" s="6">
        <v>859084</v>
      </c>
      <c r="R595" s="6">
        <v>608506</v>
      </c>
      <c r="S595" s="6">
        <v>51411</v>
      </c>
      <c r="T595" s="6">
        <v>1570129</v>
      </c>
      <c r="U595" s="6">
        <v>208797</v>
      </c>
      <c r="V595" s="6">
        <v>-16282</v>
      </c>
      <c r="W595" s="6">
        <v>0</v>
      </c>
      <c r="X595" s="6">
        <v>104</v>
      </c>
      <c r="Y595" s="6"/>
      <c r="Z595" s="6"/>
      <c r="AA595" s="6"/>
      <c r="AB595" s="6">
        <v>91</v>
      </c>
      <c r="AC595" s="6">
        <v>2275</v>
      </c>
      <c r="AD595" s="6">
        <v>457</v>
      </c>
      <c r="AE595" s="6">
        <v>24186</v>
      </c>
      <c r="AF595" s="6">
        <v>24275</v>
      </c>
    </row>
    <row r="596" spans="1:32" x14ac:dyDescent="0.35">
      <c r="A596" s="1">
        <v>41717</v>
      </c>
      <c r="B596" s="6">
        <v>4222081</v>
      </c>
      <c r="C596" s="6">
        <v>11037</v>
      </c>
      <c r="D596" s="6">
        <v>5200</v>
      </c>
      <c r="E596" s="6">
        <v>1953</v>
      </c>
      <c r="F596" s="6">
        <v>4149745</v>
      </c>
      <c r="G596" s="6">
        <v>3956122</v>
      </c>
      <c r="H596" s="6">
        <v>2305795</v>
      </c>
      <c r="I596" s="6">
        <v>0</v>
      </c>
      <c r="J596" s="6">
        <v>2197425</v>
      </c>
      <c r="K596" s="6">
        <v>94565</v>
      </c>
      <c r="L596" s="6">
        <v>13805</v>
      </c>
      <c r="M596" s="6">
        <v>1</v>
      </c>
      <c r="N596" s="6">
        <v>38</v>
      </c>
      <c r="O596" s="6">
        <v>142</v>
      </c>
      <c r="P596" s="6">
        <v>831917</v>
      </c>
      <c r="Q596" s="6">
        <v>861640</v>
      </c>
      <c r="R596" s="6">
        <v>612055</v>
      </c>
      <c r="S596" s="6">
        <v>47343</v>
      </c>
      <c r="T596" s="6">
        <v>1602984</v>
      </c>
      <c r="U596" s="6">
        <v>209957</v>
      </c>
      <c r="V596" s="6">
        <v>-16456</v>
      </c>
      <c r="W596" s="6">
        <v>0</v>
      </c>
      <c r="X596" s="6">
        <v>122</v>
      </c>
      <c r="Y596" s="6"/>
      <c r="Z596" s="6"/>
      <c r="AA596" s="6"/>
      <c r="AB596" s="6">
        <v>85</v>
      </c>
      <c r="AC596" s="6">
        <v>2276</v>
      </c>
      <c r="AD596" s="6">
        <v>458</v>
      </c>
      <c r="AE596" s="6">
        <v>24301</v>
      </c>
      <c r="AF596" s="6">
        <v>25250</v>
      </c>
    </row>
    <row r="597" spans="1:32" x14ac:dyDescent="0.35">
      <c r="A597" s="1">
        <v>41724</v>
      </c>
      <c r="B597" s="6">
        <v>4226971</v>
      </c>
      <c r="C597" s="6">
        <v>11037</v>
      </c>
      <c r="D597" s="6">
        <v>5200</v>
      </c>
      <c r="E597" s="6">
        <v>1938</v>
      </c>
      <c r="F597" s="6">
        <v>4155253</v>
      </c>
      <c r="G597" s="6">
        <v>3961985</v>
      </c>
      <c r="H597" s="6">
        <v>2311539</v>
      </c>
      <c r="I597" s="6">
        <v>0</v>
      </c>
      <c r="J597" s="6">
        <v>2203078</v>
      </c>
      <c r="K597" s="6">
        <v>94565</v>
      </c>
      <c r="L597" s="6">
        <v>13896</v>
      </c>
      <c r="M597" s="6">
        <v>1</v>
      </c>
      <c r="N597" s="6">
        <v>38</v>
      </c>
      <c r="O597" s="6">
        <v>142</v>
      </c>
      <c r="P597" s="6">
        <v>831930</v>
      </c>
      <c r="Q597" s="6">
        <v>864279</v>
      </c>
      <c r="R597" s="6">
        <v>615148</v>
      </c>
      <c r="S597" s="6">
        <v>47343</v>
      </c>
      <c r="T597" s="6">
        <v>1603104</v>
      </c>
      <c r="U597" s="6">
        <v>209946</v>
      </c>
      <c r="V597" s="6">
        <v>-16783</v>
      </c>
      <c r="W597" s="6">
        <v>0</v>
      </c>
      <c r="X597" s="6">
        <v>105</v>
      </c>
      <c r="Y597" s="6"/>
      <c r="Z597" s="6"/>
      <c r="AA597" s="6"/>
      <c r="AB597" s="6">
        <v>91</v>
      </c>
      <c r="AC597" s="6">
        <v>2276</v>
      </c>
      <c r="AD597" s="6">
        <v>459</v>
      </c>
      <c r="AE597" s="6">
        <v>24101</v>
      </c>
      <c r="AF597" s="6">
        <v>24841</v>
      </c>
    </row>
    <row r="598" spans="1:32" x14ac:dyDescent="0.35">
      <c r="A598" s="1">
        <v>41731</v>
      </c>
      <c r="B598" s="6">
        <v>4236441</v>
      </c>
      <c r="C598" s="6">
        <v>11037</v>
      </c>
      <c r="D598" s="6">
        <v>5200</v>
      </c>
      <c r="E598" s="6">
        <v>1939</v>
      </c>
      <c r="F598" s="6">
        <v>4163692</v>
      </c>
      <c r="G598" s="6">
        <v>3971104</v>
      </c>
      <c r="H598" s="6">
        <v>2320653</v>
      </c>
      <c r="I598" s="6">
        <v>0</v>
      </c>
      <c r="J598" s="6">
        <v>2212100</v>
      </c>
      <c r="K598" s="6">
        <v>94565</v>
      </c>
      <c r="L598" s="6">
        <v>13987</v>
      </c>
      <c r="M598" s="6">
        <v>0</v>
      </c>
      <c r="N598" s="6">
        <v>39</v>
      </c>
      <c r="O598" s="6">
        <v>142</v>
      </c>
      <c r="P598" s="6">
        <v>849904</v>
      </c>
      <c r="Q598" s="6">
        <v>853179</v>
      </c>
      <c r="R598" s="6">
        <v>617389</v>
      </c>
      <c r="S598" s="6">
        <v>47343</v>
      </c>
      <c r="T598" s="6">
        <v>1603108</v>
      </c>
      <c r="U598" s="6">
        <v>209648</v>
      </c>
      <c r="V598" s="6">
        <v>-17157</v>
      </c>
      <c r="W598" s="6">
        <v>0</v>
      </c>
      <c r="X598" s="6">
        <v>97</v>
      </c>
      <c r="Y598" s="6"/>
      <c r="Z598" s="6"/>
      <c r="AA598" s="6"/>
      <c r="AB598" s="6">
        <v>125</v>
      </c>
      <c r="AC598" s="6">
        <v>2269</v>
      </c>
      <c r="AD598" s="6">
        <v>407</v>
      </c>
      <c r="AE598" s="6">
        <v>24013</v>
      </c>
      <c r="AF598" s="6">
        <v>25985</v>
      </c>
    </row>
    <row r="599" spans="1:32" x14ac:dyDescent="0.35">
      <c r="A599" s="1">
        <v>41738</v>
      </c>
      <c r="B599" s="6">
        <v>4244188</v>
      </c>
      <c r="C599" s="6">
        <v>11037</v>
      </c>
      <c r="D599" s="6">
        <v>5200</v>
      </c>
      <c r="E599" s="6">
        <v>1929</v>
      </c>
      <c r="F599" s="6">
        <v>4168780</v>
      </c>
      <c r="G599" s="6">
        <v>3976536</v>
      </c>
      <c r="H599" s="6">
        <v>2326085</v>
      </c>
      <c r="I599" s="6">
        <v>0</v>
      </c>
      <c r="J599" s="6">
        <v>2216485</v>
      </c>
      <c r="K599" s="6">
        <v>95389</v>
      </c>
      <c r="L599" s="6">
        <v>14211</v>
      </c>
      <c r="M599" s="6">
        <v>0</v>
      </c>
      <c r="N599" s="6">
        <v>39</v>
      </c>
      <c r="O599" s="6">
        <v>142</v>
      </c>
      <c r="P599" s="6">
        <v>849917</v>
      </c>
      <c r="Q599" s="6">
        <v>855478</v>
      </c>
      <c r="R599" s="6">
        <v>620510</v>
      </c>
      <c r="S599" s="6">
        <v>47343</v>
      </c>
      <c r="T599" s="6">
        <v>1603108</v>
      </c>
      <c r="U599" s="6">
        <v>209489</v>
      </c>
      <c r="V599" s="6">
        <v>-17344</v>
      </c>
      <c r="W599" s="6">
        <v>0</v>
      </c>
      <c r="X599" s="6">
        <v>99</v>
      </c>
      <c r="Y599" s="6"/>
      <c r="Z599" s="6"/>
      <c r="AA599" s="6"/>
      <c r="AB599" s="6">
        <v>98</v>
      </c>
      <c r="AC599" s="6">
        <v>2269</v>
      </c>
      <c r="AD599" s="6">
        <v>407</v>
      </c>
      <c r="AE599" s="6">
        <v>24176</v>
      </c>
      <c r="AF599" s="6">
        <v>28528</v>
      </c>
    </row>
    <row r="600" spans="1:32" x14ac:dyDescent="0.35">
      <c r="A600" s="1">
        <v>41745</v>
      </c>
      <c r="B600" s="6">
        <v>4283967</v>
      </c>
      <c r="C600" s="6">
        <v>11037</v>
      </c>
      <c r="D600" s="6">
        <v>5200</v>
      </c>
      <c r="E600" s="6">
        <v>1923</v>
      </c>
      <c r="F600" s="6">
        <v>4207933</v>
      </c>
      <c r="G600" s="6">
        <v>4015215</v>
      </c>
      <c r="H600" s="6">
        <v>2335991</v>
      </c>
      <c r="I600" s="6">
        <v>0</v>
      </c>
      <c r="J600" s="6">
        <v>2226297</v>
      </c>
      <c r="K600" s="6">
        <v>95389</v>
      </c>
      <c r="L600" s="6">
        <v>14305</v>
      </c>
      <c r="M600" s="6">
        <v>1</v>
      </c>
      <c r="N600" s="6">
        <v>38</v>
      </c>
      <c r="O600" s="6">
        <v>143</v>
      </c>
      <c r="P600" s="6">
        <v>853151</v>
      </c>
      <c r="Q600" s="6">
        <v>859981</v>
      </c>
      <c r="R600" s="6">
        <v>622677</v>
      </c>
      <c r="S600" s="6">
        <v>46594</v>
      </c>
      <c r="T600" s="6">
        <v>1632629</v>
      </c>
      <c r="U600" s="6">
        <v>210119</v>
      </c>
      <c r="V600" s="6">
        <v>-17504</v>
      </c>
      <c r="W600" s="6">
        <v>0</v>
      </c>
      <c r="X600" s="6">
        <v>104</v>
      </c>
      <c r="Y600" s="6"/>
      <c r="Z600" s="6"/>
      <c r="AA600" s="6"/>
      <c r="AB600" s="6">
        <v>109</v>
      </c>
      <c r="AC600" s="6">
        <v>2271</v>
      </c>
      <c r="AD600" s="6">
        <v>407</v>
      </c>
      <c r="AE600" s="6">
        <v>24143</v>
      </c>
      <c r="AF600" s="6">
        <v>29180</v>
      </c>
    </row>
    <row r="601" spans="1:32" x14ac:dyDescent="0.35">
      <c r="A601" s="1">
        <v>41752</v>
      </c>
      <c r="B601" s="6">
        <v>4296339</v>
      </c>
      <c r="C601" s="6">
        <v>11037</v>
      </c>
      <c r="D601" s="6">
        <v>5200</v>
      </c>
      <c r="E601" s="6">
        <v>1903</v>
      </c>
      <c r="F601" s="6">
        <v>4218422</v>
      </c>
      <c r="G601" s="6">
        <v>4025867</v>
      </c>
      <c r="H601" s="6">
        <v>2341768</v>
      </c>
      <c r="I601" s="6">
        <v>0</v>
      </c>
      <c r="J601" s="6">
        <v>2231979</v>
      </c>
      <c r="K601" s="6">
        <v>95389</v>
      </c>
      <c r="L601" s="6">
        <v>14399</v>
      </c>
      <c r="M601" s="6">
        <v>1</v>
      </c>
      <c r="N601" s="6">
        <v>38</v>
      </c>
      <c r="O601" s="6">
        <v>143</v>
      </c>
      <c r="P601" s="6">
        <v>856629</v>
      </c>
      <c r="Q601" s="6">
        <v>860175</v>
      </c>
      <c r="R601" s="6">
        <v>624781</v>
      </c>
      <c r="S601" s="6">
        <v>44965</v>
      </c>
      <c r="T601" s="6">
        <v>1639134</v>
      </c>
      <c r="U601" s="6">
        <v>210075</v>
      </c>
      <c r="V601" s="6">
        <v>-17626</v>
      </c>
      <c r="W601" s="6">
        <v>0</v>
      </c>
      <c r="X601" s="6">
        <v>106</v>
      </c>
      <c r="Y601" s="6"/>
      <c r="Z601" s="6"/>
      <c r="AA601" s="6"/>
      <c r="AB601" s="6">
        <v>91</v>
      </c>
      <c r="AC601" s="6">
        <v>2272</v>
      </c>
      <c r="AD601" s="6">
        <v>407</v>
      </c>
      <c r="AE601" s="6">
        <v>24140</v>
      </c>
      <c r="AF601" s="6">
        <v>31105</v>
      </c>
    </row>
    <row r="602" spans="1:32" x14ac:dyDescent="0.35">
      <c r="A602" s="1">
        <v>41759</v>
      </c>
      <c r="B602" s="6">
        <v>4296049</v>
      </c>
      <c r="C602" s="6">
        <v>11037</v>
      </c>
      <c r="D602" s="6">
        <v>5200</v>
      </c>
      <c r="E602" s="6">
        <v>1897</v>
      </c>
      <c r="F602" s="6">
        <v>4219277</v>
      </c>
      <c r="G602" s="6">
        <v>4027112</v>
      </c>
      <c r="H602" s="6">
        <v>2350272</v>
      </c>
      <c r="I602" s="6">
        <v>0</v>
      </c>
      <c r="J602" s="6">
        <v>2240389</v>
      </c>
      <c r="K602" s="6">
        <v>95389</v>
      </c>
      <c r="L602" s="6">
        <v>14494</v>
      </c>
      <c r="M602" s="6">
        <v>0</v>
      </c>
      <c r="N602" s="6">
        <v>37</v>
      </c>
      <c r="O602" s="6">
        <v>593</v>
      </c>
      <c r="P602" s="6">
        <v>876120</v>
      </c>
      <c r="Q602" s="6">
        <v>847034</v>
      </c>
      <c r="R602" s="6">
        <v>626487</v>
      </c>
      <c r="S602" s="6">
        <v>44965</v>
      </c>
      <c r="T602" s="6">
        <v>1631875</v>
      </c>
      <c r="U602" s="6">
        <v>209747</v>
      </c>
      <c r="V602" s="6">
        <v>-17703</v>
      </c>
      <c r="W602" s="6">
        <v>0</v>
      </c>
      <c r="X602" s="6">
        <v>121</v>
      </c>
      <c r="Y602" s="6"/>
      <c r="Z602" s="6"/>
      <c r="AA602" s="6"/>
      <c r="AB602" s="6">
        <v>92</v>
      </c>
      <c r="AC602" s="6">
        <v>2274</v>
      </c>
      <c r="AD602" s="6">
        <v>300</v>
      </c>
      <c r="AE602" s="6">
        <v>24225</v>
      </c>
      <c r="AF602" s="6">
        <v>29917</v>
      </c>
    </row>
    <row r="603" spans="1:32" x14ac:dyDescent="0.35">
      <c r="A603" s="1">
        <v>41766</v>
      </c>
      <c r="B603" s="6">
        <v>4303143</v>
      </c>
      <c r="C603" s="6">
        <v>11037</v>
      </c>
      <c r="D603" s="6">
        <v>5200</v>
      </c>
      <c r="E603" s="6">
        <v>1901</v>
      </c>
      <c r="F603" s="6">
        <v>4223621</v>
      </c>
      <c r="G603" s="6">
        <v>4031756</v>
      </c>
      <c r="H603" s="6">
        <v>2354916</v>
      </c>
      <c r="I603" s="6">
        <v>0</v>
      </c>
      <c r="J603" s="6">
        <v>2244873</v>
      </c>
      <c r="K603" s="6">
        <v>95389</v>
      </c>
      <c r="L603" s="6">
        <v>14654</v>
      </c>
      <c r="M603" s="6">
        <v>0</v>
      </c>
      <c r="N603" s="6">
        <v>77</v>
      </c>
      <c r="O603" s="6">
        <v>553</v>
      </c>
      <c r="P603" s="6">
        <v>876141</v>
      </c>
      <c r="Q603" s="6">
        <v>849559</v>
      </c>
      <c r="R603" s="6">
        <v>628585</v>
      </c>
      <c r="S603" s="6">
        <v>44965</v>
      </c>
      <c r="T603" s="6">
        <v>1631875</v>
      </c>
      <c r="U603" s="6">
        <v>209492</v>
      </c>
      <c r="V603" s="6">
        <v>-17785</v>
      </c>
      <c r="W603" s="6">
        <v>0</v>
      </c>
      <c r="X603" s="6">
        <v>158</v>
      </c>
      <c r="Y603" s="6"/>
      <c r="Z603" s="6"/>
      <c r="AA603" s="6"/>
      <c r="AB603" s="6">
        <v>75</v>
      </c>
      <c r="AC603" s="6">
        <v>2266</v>
      </c>
      <c r="AD603" s="6">
        <v>300</v>
      </c>
      <c r="AE603" s="6">
        <v>24305</v>
      </c>
      <c r="AF603" s="6">
        <v>32607</v>
      </c>
    </row>
    <row r="604" spans="1:32" x14ac:dyDescent="0.35">
      <c r="A604" s="1">
        <v>41773</v>
      </c>
      <c r="B604" s="6">
        <v>4336649</v>
      </c>
      <c r="C604" s="6">
        <v>11037</v>
      </c>
      <c r="D604" s="6">
        <v>5200</v>
      </c>
      <c r="E604" s="6">
        <v>1916</v>
      </c>
      <c r="F604" s="6">
        <v>4254596</v>
      </c>
      <c r="G604" s="6">
        <v>4062323</v>
      </c>
      <c r="H604" s="6">
        <v>2361328</v>
      </c>
      <c r="I604" s="6">
        <v>0</v>
      </c>
      <c r="J604" s="6">
        <v>2250372</v>
      </c>
      <c r="K604" s="6">
        <v>96068</v>
      </c>
      <c r="L604" s="6">
        <v>14888</v>
      </c>
      <c r="M604" s="6">
        <v>0</v>
      </c>
      <c r="N604" s="6">
        <v>77</v>
      </c>
      <c r="O604" s="6">
        <v>553</v>
      </c>
      <c r="P604" s="6">
        <v>910075</v>
      </c>
      <c r="Q604" s="6">
        <v>820137</v>
      </c>
      <c r="R604" s="6">
        <v>630485</v>
      </c>
      <c r="S604" s="6">
        <v>44965</v>
      </c>
      <c r="T604" s="6">
        <v>1656030</v>
      </c>
      <c r="U604" s="6">
        <v>210009</v>
      </c>
      <c r="V604" s="6">
        <v>-17864</v>
      </c>
      <c r="W604" s="6">
        <v>0</v>
      </c>
      <c r="X604" s="6">
        <v>129</v>
      </c>
      <c r="Y604" s="6"/>
      <c r="Z604" s="6"/>
      <c r="AA604" s="6"/>
      <c r="AB604" s="6">
        <v>81</v>
      </c>
      <c r="AC604" s="6">
        <v>2267</v>
      </c>
      <c r="AD604" s="6">
        <v>300</v>
      </c>
      <c r="AE604" s="6">
        <v>24087</v>
      </c>
      <c r="AF604" s="6">
        <v>35332</v>
      </c>
    </row>
    <row r="605" spans="1:32" x14ac:dyDescent="0.35">
      <c r="A605" s="1">
        <v>41780</v>
      </c>
      <c r="B605" s="6">
        <v>4327560</v>
      </c>
      <c r="C605" s="6">
        <v>11037</v>
      </c>
      <c r="D605" s="6">
        <v>5200</v>
      </c>
      <c r="E605" s="6">
        <v>1894</v>
      </c>
      <c r="F605" s="6">
        <v>4259323</v>
      </c>
      <c r="G605" s="6">
        <v>4067133</v>
      </c>
      <c r="H605" s="6">
        <v>2367236</v>
      </c>
      <c r="I605" s="6">
        <v>0</v>
      </c>
      <c r="J605" s="6">
        <v>2256119</v>
      </c>
      <c r="K605" s="6">
        <v>96068</v>
      </c>
      <c r="L605" s="6">
        <v>15049</v>
      </c>
      <c r="M605" s="6">
        <v>37</v>
      </c>
      <c r="N605" s="6">
        <v>42</v>
      </c>
      <c r="O605" s="6">
        <v>1999</v>
      </c>
      <c r="P605" s="6">
        <v>908649</v>
      </c>
      <c r="Q605" s="6">
        <v>824474</v>
      </c>
      <c r="R605" s="6">
        <v>632035</v>
      </c>
      <c r="S605" s="6">
        <v>44082</v>
      </c>
      <c r="T605" s="6">
        <v>1655815</v>
      </c>
      <c r="U605" s="6">
        <v>209935</v>
      </c>
      <c r="V605" s="6">
        <v>-17893</v>
      </c>
      <c r="W605" s="6">
        <v>0</v>
      </c>
      <c r="X605" s="6">
        <v>147</v>
      </c>
      <c r="Y605" s="6"/>
      <c r="Z605" s="6"/>
      <c r="AA605" s="6"/>
      <c r="AB605" s="6">
        <v>89</v>
      </c>
      <c r="AC605" s="6">
        <v>2269</v>
      </c>
      <c r="AD605" s="6">
        <v>300</v>
      </c>
      <c r="AE605" s="6">
        <v>24050</v>
      </c>
      <c r="AF605" s="6">
        <v>21566</v>
      </c>
    </row>
    <row r="606" spans="1:32" x14ac:dyDescent="0.35">
      <c r="A606" s="1">
        <v>41787</v>
      </c>
      <c r="B606" s="6">
        <v>4322654</v>
      </c>
      <c r="C606" s="6">
        <v>11037</v>
      </c>
      <c r="D606" s="6">
        <v>5200</v>
      </c>
      <c r="E606" s="6">
        <v>1864</v>
      </c>
      <c r="F606" s="6">
        <v>4254380</v>
      </c>
      <c r="G606" s="6">
        <v>4062788</v>
      </c>
      <c r="H606" s="6">
        <v>2370724</v>
      </c>
      <c r="I606" s="6">
        <v>0</v>
      </c>
      <c r="J606" s="6">
        <v>2259446</v>
      </c>
      <c r="K606" s="6">
        <v>96068</v>
      </c>
      <c r="L606" s="6">
        <v>15210</v>
      </c>
      <c r="M606" s="6">
        <v>37</v>
      </c>
      <c r="N606" s="6">
        <v>42</v>
      </c>
      <c r="O606" s="6">
        <v>1999</v>
      </c>
      <c r="P606" s="6">
        <v>908671</v>
      </c>
      <c r="Q606" s="6">
        <v>826853</v>
      </c>
      <c r="R606" s="6">
        <v>633122</v>
      </c>
      <c r="S606" s="6">
        <v>44082</v>
      </c>
      <c r="T606" s="6">
        <v>1647982</v>
      </c>
      <c r="U606" s="6">
        <v>209412</v>
      </c>
      <c r="V606" s="6">
        <v>-17958</v>
      </c>
      <c r="W606" s="6">
        <v>0</v>
      </c>
      <c r="X606" s="6">
        <v>137</v>
      </c>
      <c r="Y606" s="6"/>
      <c r="Z606" s="6"/>
      <c r="AA606" s="6"/>
      <c r="AB606" s="6">
        <v>129</v>
      </c>
      <c r="AC606" s="6">
        <v>2271</v>
      </c>
      <c r="AD606" s="6">
        <v>174</v>
      </c>
      <c r="AE606" s="6">
        <v>23954</v>
      </c>
      <c r="AF606" s="6">
        <v>21813</v>
      </c>
    </row>
    <row r="607" spans="1:32" x14ac:dyDescent="0.35">
      <c r="A607" s="1">
        <v>41794</v>
      </c>
      <c r="B607" s="6">
        <v>4330917</v>
      </c>
      <c r="C607" s="6">
        <v>11037</v>
      </c>
      <c r="D607" s="6">
        <v>5200</v>
      </c>
      <c r="E607" s="6">
        <v>1858</v>
      </c>
      <c r="F607" s="6">
        <v>4261610</v>
      </c>
      <c r="G607" s="6">
        <v>4070251</v>
      </c>
      <c r="H607" s="6">
        <v>2378186</v>
      </c>
      <c r="I607" s="6">
        <v>0</v>
      </c>
      <c r="J607" s="6">
        <v>2266790</v>
      </c>
      <c r="K607" s="6">
        <v>96068</v>
      </c>
      <c r="L607" s="6">
        <v>15328</v>
      </c>
      <c r="M607" s="6">
        <v>0</v>
      </c>
      <c r="N607" s="6">
        <v>47</v>
      </c>
      <c r="O607" s="6">
        <v>1994</v>
      </c>
      <c r="P607" s="6">
        <v>926143</v>
      </c>
      <c r="Q607" s="6">
        <v>814320</v>
      </c>
      <c r="R607" s="6">
        <v>635680</v>
      </c>
      <c r="S607" s="6">
        <v>44082</v>
      </c>
      <c r="T607" s="6">
        <v>1647983</v>
      </c>
      <c r="U607" s="6">
        <v>209310</v>
      </c>
      <c r="V607" s="6">
        <v>-18114</v>
      </c>
      <c r="W607" s="6">
        <v>0</v>
      </c>
      <c r="X607" s="6">
        <v>164</v>
      </c>
      <c r="Y607" s="6"/>
      <c r="Z607" s="6"/>
      <c r="AA607" s="6"/>
      <c r="AB607" s="6">
        <v>85</v>
      </c>
      <c r="AC607" s="6">
        <v>2261</v>
      </c>
      <c r="AD607" s="6">
        <v>174</v>
      </c>
      <c r="AE607" s="6">
        <v>23901</v>
      </c>
      <c r="AF607" s="6">
        <v>22961</v>
      </c>
    </row>
    <row r="608" spans="1:32" x14ac:dyDescent="0.35">
      <c r="A608" s="1">
        <v>41801</v>
      </c>
      <c r="B608" s="6">
        <v>4340904</v>
      </c>
      <c r="C608" s="6">
        <v>11037</v>
      </c>
      <c r="D608" s="6">
        <v>5200</v>
      </c>
      <c r="E608" s="6">
        <v>1880</v>
      </c>
      <c r="F608" s="6">
        <v>4268901</v>
      </c>
      <c r="G608" s="6">
        <v>4077886</v>
      </c>
      <c r="H608" s="6">
        <v>2385801</v>
      </c>
      <c r="I608" s="6">
        <v>0</v>
      </c>
      <c r="J608" s="6">
        <v>2274320</v>
      </c>
      <c r="K608" s="6">
        <v>96068</v>
      </c>
      <c r="L608" s="6">
        <v>15414</v>
      </c>
      <c r="M608" s="6">
        <v>0</v>
      </c>
      <c r="N608" s="6">
        <v>47</v>
      </c>
      <c r="O608" s="6">
        <v>1994</v>
      </c>
      <c r="P608" s="6">
        <v>929168</v>
      </c>
      <c r="Q608" s="6">
        <v>816849</v>
      </c>
      <c r="R608" s="6">
        <v>637742</v>
      </c>
      <c r="S608" s="6">
        <v>44082</v>
      </c>
      <c r="T608" s="6">
        <v>1648003</v>
      </c>
      <c r="U608" s="6">
        <v>209101</v>
      </c>
      <c r="V608" s="6">
        <v>-18269</v>
      </c>
      <c r="W608" s="6">
        <v>0</v>
      </c>
      <c r="X608" s="6">
        <v>183</v>
      </c>
      <c r="Y608" s="6"/>
      <c r="Z608" s="6"/>
      <c r="AA608" s="6"/>
      <c r="AB608" s="6">
        <v>84</v>
      </c>
      <c r="AC608" s="6">
        <v>2262</v>
      </c>
      <c r="AD608" s="6">
        <v>174</v>
      </c>
      <c r="AE608" s="6">
        <v>23874</v>
      </c>
      <c r="AF608" s="6">
        <v>25663</v>
      </c>
    </row>
    <row r="609" spans="1:32" x14ac:dyDescent="0.35">
      <c r="A609" s="1">
        <v>41808</v>
      </c>
      <c r="B609" s="6">
        <v>4368168</v>
      </c>
      <c r="C609" s="6">
        <v>11037</v>
      </c>
      <c r="D609" s="6">
        <v>5200</v>
      </c>
      <c r="E609" s="6">
        <v>1896</v>
      </c>
      <c r="F609" s="6">
        <v>4295147</v>
      </c>
      <c r="G609" s="6">
        <v>4103522</v>
      </c>
      <c r="H609" s="6">
        <v>2391477</v>
      </c>
      <c r="I609" s="6">
        <v>0</v>
      </c>
      <c r="J609" s="6">
        <v>2279078</v>
      </c>
      <c r="K609" s="6">
        <v>96771</v>
      </c>
      <c r="L609" s="6">
        <v>15628</v>
      </c>
      <c r="M609" s="6">
        <v>1</v>
      </c>
      <c r="N609" s="6">
        <v>46</v>
      </c>
      <c r="O609" s="6">
        <v>1995</v>
      </c>
      <c r="P609" s="6">
        <v>931877</v>
      </c>
      <c r="Q609" s="6">
        <v>816861</v>
      </c>
      <c r="R609" s="6">
        <v>640697</v>
      </c>
      <c r="S609" s="6">
        <v>43659</v>
      </c>
      <c r="T609" s="6">
        <v>1668386</v>
      </c>
      <c r="U609" s="6">
        <v>209801</v>
      </c>
      <c r="V609" s="6">
        <v>-18343</v>
      </c>
      <c r="W609" s="6">
        <v>0</v>
      </c>
      <c r="X609" s="6">
        <v>168</v>
      </c>
      <c r="Y609" s="6"/>
      <c r="Z609" s="6"/>
      <c r="AA609" s="6"/>
      <c r="AB609" s="6">
        <v>106</v>
      </c>
      <c r="AC609" s="6">
        <v>2263</v>
      </c>
      <c r="AD609" s="6">
        <v>176</v>
      </c>
      <c r="AE609" s="6">
        <v>23894</v>
      </c>
      <c r="AF609" s="6">
        <v>26621</v>
      </c>
    </row>
    <row r="610" spans="1:32" x14ac:dyDescent="0.35">
      <c r="A610" s="1">
        <v>41815</v>
      </c>
      <c r="B610" s="6">
        <v>4368348</v>
      </c>
      <c r="C610" s="6">
        <v>11037</v>
      </c>
      <c r="D610" s="6">
        <v>5200</v>
      </c>
      <c r="E610" s="6">
        <v>1893</v>
      </c>
      <c r="F610" s="6">
        <v>4295834</v>
      </c>
      <c r="G610" s="6">
        <v>4104528</v>
      </c>
      <c r="H610" s="6">
        <v>2396972</v>
      </c>
      <c r="I610" s="6">
        <v>0</v>
      </c>
      <c r="J610" s="6">
        <v>2284487</v>
      </c>
      <c r="K610" s="6">
        <v>96771</v>
      </c>
      <c r="L610" s="6">
        <v>15715</v>
      </c>
      <c r="M610" s="6">
        <v>1</v>
      </c>
      <c r="N610" s="6">
        <v>46</v>
      </c>
      <c r="O610" s="6">
        <v>1995</v>
      </c>
      <c r="P610" s="6">
        <v>931888</v>
      </c>
      <c r="Q610" s="6">
        <v>821260</v>
      </c>
      <c r="R610" s="6">
        <v>641782</v>
      </c>
      <c r="S610" s="6">
        <v>43659</v>
      </c>
      <c r="T610" s="6">
        <v>1663897</v>
      </c>
      <c r="U610" s="6">
        <v>209464</v>
      </c>
      <c r="V610" s="6">
        <v>-18433</v>
      </c>
      <c r="W610" s="6">
        <v>0</v>
      </c>
      <c r="X610" s="6">
        <v>274</v>
      </c>
      <c r="Y610" s="6"/>
      <c r="Z610" s="6"/>
      <c r="AA610" s="6"/>
      <c r="AB610" s="6">
        <v>66</v>
      </c>
      <c r="AC610" s="6">
        <v>2263</v>
      </c>
      <c r="AD610" s="6">
        <v>124</v>
      </c>
      <c r="AE610" s="6">
        <v>24010</v>
      </c>
      <c r="AF610" s="6">
        <v>26093</v>
      </c>
    </row>
    <row r="611" spans="1:32" x14ac:dyDescent="0.35">
      <c r="A611" s="1">
        <v>41822</v>
      </c>
      <c r="B611" s="6">
        <v>4377031</v>
      </c>
      <c r="C611" s="6">
        <v>11037</v>
      </c>
      <c r="D611" s="6">
        <v>5200</v>
      </c>
      <c r="E611" s="6">
        <v>1876</v>
      </c>
      <c r="F611" s="6">
        <v>4303124</v>
      </c>
      <c r="G611" s="6">
        <v>4112136</v>
      </c>
      <c r="H611" s="6">
        <v>2404577</v>
      </c>
      <c r="I611" s="6">
        <v>0</v>
      </c>
      <c r="J611" s="6">
        <v>2292004</v>
      </c>
      <c r="K611" s="6">
        <v>96771</v>
      </c>
      <c r="L611" s="6">
        <v>15802</v>
      </c>
      <c r="M611" s="6">
        <v>0</v>
      </c>
      <c r="N611" s="6">
        <v>47</v>
      </c>
      <c r="O611" s="6">
        <v>1995</v>
      </c>
      <c r="P611" s="6">
        <v>949850</v>
      </c>
      <c r="Q611" s="6">
        <v>808779</v>
      </c>
      <c r="R611" s="6">
        <v>643905</v>
      </c>
      <c r="S611" s="6">
        <v>43659</v>
      </c>
      <c r="T611" s="6">
        <v>1663901</v>
      </c>
      <c r="U611" s="6">
        <v>209315</v>
      </c>
      <c r="V611" s="6">
        <v>-18523</v>
      </c>
      <c r="W611" s="6">
        <v>0</v>
      </c>
      <c r="X611" s="6">
        <v>195</v>
      </c>
      <c r="Y611" s="6"/>
      <c r="Z611" s="6"/>
      <c r="AA611" s="6"/>
      <c r="AB611" s="6">
        <v>95</v>
      </c>
      <c r="AC611" s="6">
        <v>2261</v>
      </c>
      <c r="AD611" s="6">
        <v>124</v>
      </c>
      <c r="AE611" s="6">
        <v>24107</v>
      </c>
      <c r="AF611" s="6">
        <v>27379</v>
      </c>
    </row>
    <row r="612" spans="1:32" x14ac:dyDescent="0.35">
      <c r="A612" s="1">
        <v>41829</v>
      </c>
      <c r="B612" s="6">
        <v>4383401</v>
      </c>
      <c r="C612" s="6">
        <v>11037</v>
      </c>
      <c r="D612" s="6">
        <v>5200</v>
      </c>
      <c r="E612" s="6">
        <v>1878</v>
      </c>
      <c r="F612" s="6">
        <v>4306887</v>
      </c>
      <c r="G612" s="6">
        <v>4116066</v>
      </c>
      <c r="H612" s="6">
        <v>2408506</v>
      </c>
      <c r="I612" s="6">
        <v>0</v>
      </c>
      <c r="J612" s="6">
        <v>2295845</v>
      </c>
      <c r="K612" s="6">
        <v>96771</v>
      </c>
      <c r="L612" s="6">
        <v>15890</v>
      </c>
      <c r="M612" s="6">
        <v>0</v>
      </c>
      <c r="N612" s="6">
        <v>47</v>
      </c>
      <c r="O612" s="6">
        <v>1995</v>
      </c>
      <c r="P612" s="6">
        <v>949862</v>
      </c>
      <c r="Q612" s="6">
        <v>811565</v>
      </c>
      <c r="R612" s="6">
        <v>645037</v>
      </c>
      <c r="S612" s="6">
        <v>43659</v>
      </c>
      <c r="T612" s="6">
        <v>1663901</v>
      </c>
      <c r="U612" s="6">
        <v>209158</v>
      </c>
      <c r="V612" s="6">
        <v>-18544</v>
      </c>
      <c r="W612" s="6">
        <v>0</v>
      </c>
      <c r="X612" s="6">
        <v>206</v>
      </c>
      <c r="Y612" s="6"/>
      <c r="Z612" s="6"/>
      <c r="AA612" s="6"/>
      <c r="AB612" s="6">
        <v>98</v>
      </c>
      <c r="AC612" s="6">
        <v>2261</v>
      </c>
      <c r="AD612" s="6">
        <v>124</v>
      </c>
      <c r="AE612" s="6">
        <v>24009</v>
      </c>
      <c r="AF612" s="6">
        <v>30108</v>
      </c>
    </row>
    <row r="613" spans="1:32" x14ac:dyDescent="0.35">
      <c r="A613" s="1">
        <v>41836</v>
      </c>
      <c r="B613" s="6">
        <v>4398201</v>
      </c>
      <c r="C613" s="6">
        <v>11037</v>
      </c>
      <c r="D613" s="6">
        <v>5200</v>
      </c>
      <c r="E613" s="6">
        <v>1896</v>
      </c>
      <c r="F613" s="6">
        <v>4321163</v>
      </c>
      <c r="G613" s="6">
        <v>4129965</v>
      </c>
      <c r="H613" s="6">
        <v>2410339</v>
      </c>
      <c r="I613" s="6">
        <v>0</v>
      </c>
      <c r="J613" s="6">
        <v>2296978</v>
      </c>
      <c r="K613" s="6">
        <v>97327</v>
      </c>
      <c r="L613" s="6">
        <v>16034</v>
      </c>
      <c r="M613" s="6">
        <v>40</v>
      </c>
      <c r="N613" s="6">
        <v>7</v>
      </c>
      <c r="O613" s="6">
        <v>1995</v>
      </c>
      <c r="P613" s="6">
        <v>950471</v>
      </c>
      <c r="Q613" s="6">
        <v>810990</v>
      </c>
      <c r="R613" s="6">
        <v>646836</v>
      </c>
      <c r="S613" s="6">
        <v>42650</v>
      </c>
      <c r="T613" s="6">
        <v>1676976</v>
      </c>
      <c r="U613" s="6">
        <v>209521</v>
      </c>
      <c r="V613" s="6">
        <v>-18560</v>
      </c>
      <c r="W613" s="6">
        <v>0</v>
      </c>
      <c r="X613" s="6">
        <v>237</v>
      </c>
      <c r="Y613" s="6"/>
      <c r="Z613" s="6"/>
      <c r="AA613" s="6"/>
      <c r="AB613" s="6">
        <v>75</v>
      </c>
      <c r="AC613" s="6">
        <v>2262</v>
      </c>
      <c r="AD613" s="6">
        <v>124</v>
      </c>
      <c r="AE613" s="6">
        <v>23902</v>
      </c>
      <c r="AF613" s="6">
        <v>30735</v>
      </c>
    </row>
    <row r="614" spans="1:32" x14ac:dyDescent="0.35">
      <c r="A614" s="1">
        <v>41843</v>
      </c>
      <c r="B614" s="6">
        <v>4410746</v>
      </c>
      <c r="C614" s="6">
        <v>11037</v>
      </c>
      <c r="D614" s="6">
        <v>5200</v>
      </c>
      <c r="E614" s="6">
        <v>1917</v>
      </c>
      <c r="F614" s="6">
        <v>4331849</v>
      </c>
      <c r="G614" s="6">
        <v>4140531</v>
      </c>
      <c r="H614" s="6">
        <v>2413616</v>
      </c>
      <c r="I614" s="6">
        <v>0</v>
      </c>
      <c r="J614" s="6">
        <v>2300166</v>
      </c>
      <c r="K614" s="6">
        <v>97327</v>
      </c>
      <c r="L614" s="6">
        <v>16123</v>
      </c>
      <c r="M614" s="6">
        <v>40</v>
      </c>
      <c r="N614" s="6">
        <v>7</v>
      </c>
      <c r="O614" s="6">
        <v>1995</v>
      </c>
      <c r="P614" s="6">
        <v>952605</v>
      </c>
      <c r="Q614" s="6">
        <v>811002</v>
      </c>
      <c r="R614" s="6">
        <v>647968</v>
      </c>
      <c r="S614" s="6">
        <v>42650</v>
      </c>
      <c r="T614" s="6">
        <v>1684265</v>
      </c>
      <c r="U614" s="6">
        <v>209601</v>
      </c>
      <c r="V614" s="6">
        <v>-18542</v>
      </c>
      <c r="W614" s="6">
        <v>0</v>
      </c>
      <c r="X614" s="6">
        <v>259</v>
      </c>
      <c r="Y614" s="6"/>
      <c r="Z614" s="6"/>
      <c r="AA614" s="6"/>
      <c r="AB614" s="6">
        <v>67</v>
      </c>
      <c r="AC614" s="6">
        <v>2263</v>
      </c>
      <c r="AD614" s="6">
        <v>77</v>
      </c>
      <c r="AE614" s="6">
        <v>23846</v>
      </c>
      <c r="AF614" s="6">
        <v>32693</v>
      </c>
    </row>
    <row r="615" spans="1:32" x14ac:dyDescent="0.35">
      <c r="A615" s="1">
        <v>41850</v>
      </c>
      <c r="B615" s="6">
        <v>4406637</v>
      </c>
      <c r="C615" s="6">
        <v>11037</v>
      </c>
      <c r="D615" s="6">
        <v>5200</v>
      </c>
      <c r="E615" s="6">
        <v>1917</v>
      </c>
      <c r="F615" s="6">
        <v>4327656</v>
      </c>
      <c r="G615" s="6">
        <v>4136776</v>
      </c>
      <c r="H615" s="6">
        <v>2420285</v>
      </c>
      <c r="I615" s="6">
        <v>0</v>
      </c>
      <c r="J615" s="6">
        <v>2306746</v>
      </c>
      <c r="K615" s="6">
        <v>97327</v>
      </c>
      <c r="L615" s="6">
        <v>16212</v>
      </c>
      <c r="M615" s="6">
        <v>40</v>
      </c>
      <c r="N615" s="6">
        <v>7</v>
      </c>
      <c r="O615" s="6">
        <v>1995</v>
      </c>
      <c r="P615" s="6">
        <v>968273</v>
      </c>
      <c r="Q615" s="6">
        <v>800501</v>
      </c>
      <c r="R615" s="6">
        <v>649470</v>
      </c>
      <c r="S615" s="6">
        <v>42127</v>
      </c>
      <c r="T615" s="6">
        <v>1674363</v>
      </c>
      <c r="U615" s="6">
        <v>209240</v>
      </c>
      <c r="V615" s="6">
        <v>-18615</v>
      </c>
      <c r="W615" s="6">
        <v>0</v>
      </c>
      <c r="X615" s="6">
        <v>255</v>
      </c>
      <c r="Y615" s="6"/>
      <c r="Z615" s="6"/>
      <c r="AA615" s="6"/>
      <c r="AB615" s="6">
        <v>75</v>
      </c>
      <c r="AC615" s="6">
        <v>2272</v>
      </c>
      <c r="AD615" s="6">
        <v>75</v>
      </c>
      <c r="AE615" s="6">
        <v>23632</v>
      </c>
      <c r="AF615" s="6">
        <v>32968</v>
      </c>
    </row>
    <row r="616" spans="1:32" x14ac:dyDescent="0.35">
      <c r="A616" s="1">
        <v>41857</v>
      </c>
      <c r="B616" s="6">
        <v>4410111</v>
      </c>
      <c r="C616" s="6">
        <v>11037</v>
      </c>
      <c r="D616" s="6">
        <v>5200</v>
      </c>
      <c r="E616" s="6">
        <v>1918</v>
      </c>
      <c r="F616" s="6">
        <v>4329852</v>
      </c>
      <c r="G616" s="6">
        <v>4139056</v>
      </c>
      <c r="H616" s="6">
        <v>2422566</v>
      </c>
      <c r="I616" s="6">
        <v>0</v>
      </c>
      <c r="J616" s="6">
        <v>2308968</v>
      </c>
      <c r="K616" s="6">
        <v>97332</v>
      </c>
      <c r="L616" s="6">
        <v>16266</v>
      </c>
      <c r="M616" s="6">
        <v>2</v>
      </c>
      <c r="N616" s="6">
        <v>6</v>
      </c>
      <c r="O616" s="6">
        <v>1995</v>
      </c>
      <c r="P616" s="6">
        <v>968305</v>
      </c>
      <c r="Q616" s="6">
        <v>800522</v>
      </c>
      <c r="R616" s="6">
        <v>651736</v>
      </c>
      <c r="S616" s="6">
        <v>42127</v>
      </c>
      <c r="T616" s="6">
        <v>1674363</v>
      </c>
      <c r="U616" s="6">
        <v>209177</v>
      </c>
      <c r="V616" s="6">
        <v>-18647</v>
      </c>
      <c r="W616" s="6">
        <v>0</v>
      </c>
      <c r="X616" s="6">
        <v>265</v>
      </c>
      <c r="Y616" s="6"/>
      <c r="Z616" s="6"/>
      <c r="AA616" s="6"/>
      <c r="AB616" s="6">
        <v>80</v>
      </c>
      <c r="AC616" s="6">
        <v>2257</v>
      </c>
      <c r="AD616" s="6">
        <v>75</v>
      </c>
      <c r="AE616" s="6">
        <v>23657</v>
      </c>
      <c r="AF616" s="6">
        <v>34237</v>
      </c>
    </row>
    <row r="617" spans="1:32" x14ac:dyDescent="0.35">
      <c r="A617" s="1">
        <v>41864</v>
      </c>
      <c r="B617" s="6">
        <v>4431923</v>
      </c>
      <c r="C617" s="6">
        <v>11037</v>
      </c>
      <c r="D617" s="6">
        <v>5200</v>
      </c>
      <c r="E617" s="6">
        <v>1929</v>
      </c>
      <c r="F617" s="6">
        <v>4348924</v>
      </c>
      <c r="G617" s="6">
        <v>4157780</v>
      </c>
      <c r="H617" s="6">
        <v>2427647</v>
      </c>
      <c r="I617" s="6">
        <v>0</v>
      </c>
      <c r="J617" s="6">
        <v>2314001</v>
      </c>
      <c r="K617" s="6">
        <v>97332</v>
      </c>
      <c r="L617" s="6">
        <v>16314</v>
      </c>
      <c r="M617" s="6">
        <v>2</v>
      </c>
      <c r="N617" s="6">
        <v>6</v>
      </c>
      <c r="O617" s="6">
        <v>1995</v>
      </c>
      <c r="P617" s="6">
        <v>969924</v>
      </c>
      <c r="Q617" s="6">
        <v>802855</v>
      </c>
      <c r="R617" s="6">
        <v>652865</v>
      </c>
      <c r="S617" s="6">
        <v>41562</v>
      </c>
      <c r="T617" s="6">
        <v>1688571</v>
      </c>
      <c r="U617" s="6">
        <v>209562</v>
      </c>
      <c r="V617" s="6">
        <v>-18692</v>
      </c>
      <c r="W617" s="6">
        <v>0</v>
      </c>
      <c r="X617" s="6">
        <v>274</v>
      </c>
      <c r="Y617" s="6"/>
      <c r="Z617" s="6"/>
      <c r="AA617" s="6"/>
      <c r="AB617" s="6">
        <v>81</v>
      </c>
      <c r="AC617" s="6">
        <v>2261</v>
      </c>
      <c r="AD617" s="6">
        <v>75</v>
      </c>
      <c r="AE617" s="6">
        <v>23660</v>
      </c>
      <c r="AF617" s="6">
        <v>36959</v>
      </c>
    </row>
    <row r="618" spans="1:32" x14ac:dyDescent="0.35">
      <c r="A618" s="1">
        <v>41871</v>
      </c>
      <c r="B618" s="6">
        <v>4412924</v>
      </c>
      <c r="C618" s="6">
        <v>11037</v>
      </c>
      <c r="D618" s="6">
        <v>5200</v>
      </c>
      <c r="E618" s="6">
        <v>1936</v>
      </c>
      <c r="F618" s="6">
        <v>4345979</v>
      </c>
      <c r="G618" s="6">
        <v>4154858</v>
      </c>
      <c r="H618" s="6">
        <v>2431395</v>
      </c>
      <c r="I618" s="6">
        <v>0</v>
      </c>
      <c r="J618" s="6">
        <v>2317170</v>
      </c>
      <c r="K618" s="6">
        <v>97755</v>
      </c>
      <c r="L618" s="6">
        <v>16470</v>
      </c>
      <c r="M618" s="6">
        <v>5</v>
      </c>
      <c r="N618" s="6">
        <v>89</v>
      </c>
      <c r="O618" s="6">
        <v>3194</v>
      </c>
      <c r="P618" s="6">
        <v>1022076</v>
      </c>
      <c r="Q618" s="6">
        <v>751222</v>
      </c>
      <c r="R618" s="6">
        <v>654810</v>
      </c>
      <c r="S618" s="6">
        <v>41562</v>
      </c>
      <c r="T618" s="6">
        <v>1681901</v>
      </c>
      <c r="U618" s="6">
        <v>209502</v>
      </c>
      <c r="V618" s="6">
        <v>-18673</v>
      </c>
      <c r="W618" s="6">
        <v>0</v>
      </c>
      <c r="X618" s="6">
        <v>292</v>
      </c>
      <c r="Y618" s="6"/>
      <c r="Z618" s="6"/>
      <c r="AA618" s="6"/>
      <c r="AB618" s="6">
        <v>73</v>
      </c>
      <c r="AC618" s="6">
        <v>2264</v>
      </c>
      <c r="AD618" s="6">
        <v>75</v>
      </c>
      <c r="AE618" s="6">
        <v>23493</v>
      </c>
      <c r="AF618" s="6">
        <v>21070</v>
      </c>
    </row>
    <row r="619" spans="1:32" x14ac:dyDescent="0.35">
      <c r="A619" s="1">
        <v>41878</v>
      </c>
      <c r="B619" s="6">
        <v>4413736</v>
      </c>
      <c r="C619" s="6">
        <v>11037</v>
      </c>
      <c r="D619" s="6">
        <v>5200</v>
      </c>
      <c r="E619" s="6">
        <v>1933</v>
      </c>
      <c r="F619" s="6">
        <v>4346760</v>
      </c>
      <c r="G619" s="6">
        <v>4155806</v>
      </c>
      <c r="H619" s="6">
        <v>2435932</v>
      </c>
      <c r="I619" s="6">
        <v>0</v>
      </c>
      <c r="J619" s="6">
        <v>2321659</v>
      </c>
      <c r="K619" s="6">
        <v>97755</v>
      </c>
      <c r="L619" s="6">
        <v>16518</v>
      </c>
      <c r="M619" s="6">
        <v>5</v>
      </c>
      <c r="N619" s="6">
        <v>89</v>
      </c>
      <c r="O619" s="6">
        <v>3194</v>
      </c>
      <c r="P619" s="6">
        <v>1022082</v>
      </c>
      <c r="Q619" s="6">
        <v>755717</v>
      </c>
      <c r="R619" s="6">
        <v>654845</v>
      </c>
      <c r="S619" s="6">
        <v>41562</v>
      </c>
      <c r="T619" s="6">
        <v>1678312</v>
      </c>
      <c r="U619" s="6">
        <v>209308</v>
      </c>
      <c r="V619" s="6">
        <v>-18689</v>
      </c>
      <c r="W619" s="6">
        <v>0</v>
      </c>
      <c r="X619" s="6">
        <v>335</v>
      </c>
      <c r="Y619" s="6"/>
      <c r="Z619" s="6"/>
      <c r="AA619" s="6"/>
      <c r="AB619" s="6">
        <v>69</v>
      </c>
      <c r="AC619" s="6">
        <v>2268</v>
      </c>
      <c r="AD619" s="6">
        <v>77</v>
      </c>
      <c r="AE619" s="6">
        <v>23341</v>
      </c>
      <c r="AF619" s="6">
        <v>21254</v>
      </c>
    </row>
    <row r="620" spans="1:32" x14ac:dyDescent="0.35">
      <c r="A620" s="1">
        <v>41885</v>
      </c>
      <c r="B620" s="6">
        <v>4415587</v>
      </c>
      <c r="C620" s="6">
        <v>11037</v>
      </c>
      <c r="D620" s="6">
        <v>5200</v>
      </c>
      <c r="E620" s="6">
        <v>1922</v>
      </c>
      <c r="F620" s="6">
        <v>4347592</v>
      </c>
      <c r="G620" s="6">
        <v>4156864</v>
      </c>
      <c r="H620" s="6">
        <v>2436986</v>
      </c>
      <c r="I620" s="6">
        <v>0</v>
      </c>
      <c r="J620" s="6">
        <v>2322690</v>
      </c>
      <c r="K620" s="6">
        <v>97755</v>
      </c>
      <c r="L620" s="6">
        <v>16541</v>
      </c>
      <c r="M620" s="6">
        <v>0</v>
      </c>
      <c r="N620" s="6">
        <v>90</v>
      </c>
      <c r="O620" s="6">
        <v>3194</v>
      </c>
      <c r="P620" s="6">
        <v>1035547</v>
      </c>
      <c r="Q620" s="6">
        <v>742262</v>
      </c>
      <c r="R620" s="6">
        <v>655893</v>
      </c>
      <c r="S620" s="6">
        <v>41562</v>
      </c>
      <c r="T620" s="6">
        <v>1678316</v>
      </c>
      <c r="U620" s="6">
        <v>209039</v>
      </c>
      <c r="V620" s="6">
        <v>-18673</v>
      </c>
      <c r="W620" s="6">
        <v>0</v>
      </c>
      <c r="X620" s="6">
        <v>362</v>
      </c>
      <c r="Y620" s="6"/>
      <c r="Z620" s="6"/>
      <c r="AA620" s="6"/>
      <c r="AB620" s="6">
        <v>116</v>
      </c>
      <c r="AC620" s="6">
        <v>2255</v>
      </c>
      <c r="AD620" s="6">
        <v>76</v>
      </c>
      <c r="AE620" s="6">
        <v>23205</v>
      </c>
      <c r="AF620" s="6">
        <v>22391</v>
      </c>
    </row>
    <row r="621" spans="1:32" x14ac:dyDescent="0.35">
      <c r="A621" s="1">
        <v>41892</v>
      </c>
      <c r="B621" s="6">
        <v>4421408</v>
      </c>
      <c r="C621" s="6">
        <v>11037</v>
      </c>
      <c r="D621" s="6">
        <v>5200</v>
      </c>
      <c r="E621" s="6">
        <v>1930</v>
      </c>
      <c r="F621" s="6">
        <v>4351126</v>
      </c>
      <c r="G621" s="6">
        <v>4160521</v>
      </c>
      <c r="H621" s="6">
        <v>2440637</v>
      </c>
      <c r="I621" s="6">
        <v>0</v>
      </c>
      <c r="J621" s="6">
        <v>2326351</v>
      </c>
      <c r="K621" s="6">
        <v>97755</v>
      </c>
      <c r="L621" s="6">
        <v>16531</v>
      </c>
      <c r="M621" s="6">
        <v>0</v>
      </c>
      <c r="N621" s="6">
        <v>90</v>
      </c>
      <c r="O621" s="6">
        <v>3194</v>
      </c>
      <c r="P621" s="6">
        <v>1037162</v>
      </c>
      <c r="Q621" s="6">
        <v>742261</v>
      </c>
      <c r="R621" s="6">
        <v>657930</v>
      </c>
      <c r="S621" s="6">
        <v>41562</v>
      </c>
      <c r="T621" s="6">
        <v>1678322</v>
      </c>
      <c r="U621" s="6">
        <v>208907</v>
      </c>
      <c r="V621" s="6">
        <v>-18654</v>
      </c>
      <c r="W621" s="6">
        <v>0</v>
      </c>
      <c r="X621" s="6">
        <v>352</v>
      </c>
      <c r="Y621" s="6"/>
      <c r="Z621" s="6"/>
      <c r="AA621" s="6"/>
      <c r="AB621" s="6">
        <v>94</v>
      </c>
      <c r="AC621" s="6">
        <v>2255</v>
      </c>
      <c r="AD621" s="6">
        <v>77</v>
      </c>
      <c r="AE621" s="6">
        <v>22801</v>
      </c>
      <c r="AF621" s="6">
        <v>25095</v>
      </c>
    </row>
    <row r="622" spans="1:32" x14ac:dyDescent="0.35">
      <c r="A622" s="1">
        <v>41899</v>
      </c>
      <c r="B622" s="6">
        <v>4449588</v>
      </c>
      <c r="C622" s="6">
        <v>11037</v>
      </c>
      <c r="D622" s="6">
        <v>5200</v>
      </c>
      <c r="E622" s="6">
        <v>1933</v>
      </c>
      <c r="F622" s="6">
        <v>4378387</v>
      </c>
      <c r="G622" s="6">
        <v>4187075</v>
      </c>
      <c r="H622" s="6">
        <v>2446572</v>
      </c>
      <c r="I622" s="6">
        <v>0</v>
      </c>
      <c r="J622" s="6">
        <v>2331803</v>
      </c>
      <c r="K622" s="6">
        <v>98188</v>
      </c>
      <c r="L622" s="6">
        <v>16581</v>
      </c>
      <c r="M622" s="6">
        <v>1</v>
      </c>
      <c r="N622" s="6">
        <v>89</v>
      </c>
      <c r="O622" s="6">
        <v>3194</v>
      </c>
      <c r="P622" s="6">
        <v>1037160</v>
      </c>
      <c r="Q622" s="6">
        <v>746714</v>
      </c>
      <c r="R622" s="6">
        <v>659414</v>
      </c>
      <c r="S622" s="6">
        <v>40006</v>
      </c>
      <c r="T622" s="6">
        <v>1700497</v>
      </c>
      <c r="U622" s="6">
        <v>209694</v>
      </c>
      <c r="V622" s="6">
        <v>-18700</v>
      </c>
      <c r="W622" s="6">
        <v>0</v>
      </c>
      <c r="X622" s="6">
        <v>317</v>
      </c>
      <c r="Y622" s="6"/>
      <c r="Z622" s="6"/>
      <c r="AA622" s="6"/>
      <c r="AB622" s="6">
        <v>84</v>
      </c>
      <c r="AC622" s="6">
        <v>2259</v>
      </c>
      <c r="AD622" s="6">
        <v>75</v>
      </c>
      <c r="AE622" s="6">
        <v>22790</v>
      </c>
      <c r="AF622" s="6">
        <v>26115</v>
      </c>
    </row>
    <row r="623" spans="1:32" x14ac:dyDescent="0.35">
      <c r="A623" s="1">
        <v>41906</v>
      </c>
      <c r="B623" s="6">
        <v>4459050</v>
      </c>
      <c r="C623" s="6">
        <v>11037</v>
      </c>
      <c r="D623" s="6">
        <v>5200</v>
      </c>
      <c r="E623" s="6">
        <v>1935</v>
      </c>
      <c r="F623" s="6">
        <v>4386250</v>
      </c>
      <c r="G623" s="6">
        <v>4194913</v>
      </c>
      <c r="H623" s="6">
        <v>2448625</v>
      </c>
      <c r="I623" s="6">
        <v>0</v>
      </c>
      <c r="J623" s="6">
        <v>2333867</v>
      </c>
      <c r="K623" s="6">
        <v>98188</v>
      </c>
      <c r="L623" s="6">
        <v>16570</v>
      </c>
      <c r="M623" s="6">
        <v>1</v>
      </c>
      <c r="N623" s="6">
        <v>89</v>
      </c>
      <c r="O623" s="6">
        <v>3194</v>
      </c>
      <c r="P623" s="6">
        <v>1038753</v>
      </c>
      <c r="Q623" s="6">
        <v>746893</v>
      </c>
      <c r="R623" s="6">
        <v>659695</v>
      </c>
      <c r="S623" s="6">
        <v>40006</v>
      </c>
      <c r="T623" s="6">
        <v>1706282</v>
      </c>
      <c r="U623" s="6">
        <v>209711</v>
      </c>
      <c r="V623" s="6">
        <v>-18705</v>
      </c>
      <c r="W623" s="6">
        <v>0</v>
      </c>
      <c r="X623" s="6">
        <v>331</v>
      </c>
      <c r="Y623" s="6"/>
      <c r="Z623" s="6"/>
      <c r="AA623" s="6"/>
      <c r="AB623" s="6">
        <v>79</v>
      </c>
      <c r="AC623" s="6">
        <v>2260</v>
      </c>
      <c r="AD623" s="6">
        <v>23</v>
      </c>
      <c r="AE623" s="6">
        <v>22500</v>
      </c>
      <c r="AF623" s="6">
        <v>28060</v>
      </c>
    </row>
    <row r="624" spans="1:32" x14ac:dyDescent="0.35">
      <c r="A624" s="1">
        <v>41913</v>
      </c>
      <c r="B624" s="6">
        <v>4450260</v>
      </c>
      <c r="C624" s="6">
        <v>11037</v>
      </c>
      <c r="D624" s="6">
        <v>5200</v>
      </c>
      <c r="E624" s="6">
        <v>1928</v>
      </c>
      <c r="F624" s="6">
        <v>4378809</v>
      </c>
      <c r="G624" s="6">
        <v>4188166</v>
      </c>
      <c r="H624" s="6">
        <v>2451736</v>
      </c>
      <c r="I624" s="6">
        <v>0</v>
      </c>
      <c r="J624" s="6">
        <v>2336994</v>
      </c>
      <c r="K624" s="6">
        <v>98188</v>
      </c>
      <c r="L624" s="6">
        <v>16555</v>
      </c>
      <c r="M624" s="6">
        <v>0</v>
      </c>
      <c r="N624" s="6">
        <v>89</v>
      </c>
      <c r="O624" s="6">
        <v>3194</v>
      </c>
      <c r="P624" s="6">
        <v>1047868</v>
      </c>
      <c r="Q624" s="6">
        <v>739908</v>
      </c>
      <c r="R624" s="6">
        <v>660676</v>
      </c>
      <c r="S624" s="6">
        <v>40006</v>
      </c>
      <c r="T624" s="6">
        <v>1696424</v>
      </c>
      <c r="U624" s="6">
        <v>209173</v>
      </c>
      <c r="V624" s="6">
        <v>-18758</v>
      </c>
      <c r="W624" s="6">
        <v>0</v>
      </c>
      <c r="X624" s="6">
        <v>228</v>
      </c>
      <c r="Y624" s="6"/>
      <c r="Z624" s="6"/>
      <c r="AA624" s="6"/>
      <c r="AB624" s="6">
        <v>90</v>
      </c>
      <c r="AC624" s="6">
        <v>2257</v>
      </c>
      <c r="AD624" s="6">
        <v>240</v>
      </c>
      <c r="AE624" s="6">
        <v>22286</v>
      </c>
      <c r="AF624" s="6">
        <v>26706</v>
      </c>
    </row>
    <row r="625" spans="1:32" x14ac:dyDescent="0.35">
      <c r="A625" s="1">
        <v>41920</v>
      </c>
      <c r="B625" s="6">
        <v>4455403</v>
      </c>
      <c r="C625" s="6">
        <v>11037</v>
      </c>
      <c r="D625" s="6">
        <v>5200</v>
      </c>
      <c r="E625" s="6">
        <v>1917</v>
      </c>
      <c r="F625" s="6">
        <v>4381352</v>
      </c>
      <c r="G625" s="6">
        <v>4190889</v>
      </c>
      <c r="H625" s="6">
        <v>2454457</v>
      </c>
      <c r="I625" s="6">
        <v>0</v>
      </c>
      <c r="J625" s="6">
        <v>2339461</v>
      </c>
      <c r="K625" s="6">
        <v>98469</v>
      </c>
      <c r="L625" s="6">
        <v>16528</v>
      </c>
      <c r="M625" s="6">
        <v>0</v>
      </c>
      <c r="N625" s="6">
        <v>90</v>
      </c>
      <c r="O625" s="6">
        <v>3194</v>
      </c>
      <c r="P625" s="6">
        <v>1047862</v>
      </c>
      <c r="Q625" s="6">
        <v>741439</v>
      </c>
      <c r="R625" s="6">
        <v>661873</v>
      </c>
      <c r="S625" s="6">
        <v>40006</v>
      </c>
      <c r="T625" s="6">
        <v>1696426</v>
      </c>
      <c r="U625" s="6">
        <v>208999</v>
      </c>
      <c r="V625" s="6">
        <v>-18757</v>
      </c>
      <c r="W625" s="6">
        <v>0</v>
      </c>
      <c r="X625" s="6">
        <v>221</v>
      </c>
      <c r="Y625" s="6"/>
      <c r="Z625" s="6"/>
      <c r="AA625" s="6"/>
      <c r="AB625" s="6">
        <v>78</v>
      </c>
      <c r="AC625" s="6">
        <v>2258</v>
      </c>
      <c r="AD625" s="6">
        <v>0</v>
      </c>
      <c r="AE625" s="6">
        <v>22428</v>
      </c>
      <c r="AF625" s="6">
        <v>29440</v>
      </c>
    </row>
    <row r="626" spans="1:32" x14ac:dyDescent="0.35">
      <c r="A626" s="1">
        <v>41927</v>
      </c>
      <c r="B626" s="6">
        <v>4474360</v>
      </c>
      <c r="C626" s="6">
        <v>11037</v>
      </c>
      <c r="D626" s="6">
        <v>5200</v>
      </c>
      <c r="E626" s="6">
        <v>1899</v>
      </c>
      <c r="F626" s="6">
        <v>4399417</v>
      </c>
      <c r="G626" s="6">
        <v>4208523</v>
      </c>
      <c r="H626" s="6">
        <v>2455345</v>
      </c>
      <c r="I626" s="6">
        <v>0</v>
      </c>
      <c r="J626" s="6">
        <v>2340392</v>
      </c>
      <c r="K626" s="6">
        <v>98469</v>
      </c>
      <c r="L626" s="6">
        <v>16484</v>
      </c>
      <c r="M626" s="6">
        <v>0</v>
      </c>
      <c r="N626" s="6">
        <v>90</v>
      </c>
      <c r="O626" s="6">
        <v>3194</v>
      </c>
      <c r="P626" s="6">
        <v>1047856</v>
      </c>
      <c r="Q626" s="6">
        <v>741433</v>
      </c>
      <c r="R626" s="6">
        <v>662772</v>
      </c>
      <c r="S626" s="6">
        <v>39700</v>
      </c>
      <c r="T626" s="6">
        <v>1713478</v>
      </c>
      <c r="U626" s="6">
        <v>209379</v>
      </c>
      <c r="V626" s="6">
        <v>-18719</v>
      </c>
      <c r="W626" s="6">
        <v>0</v>
      </c>
      <c r="X626" s="6">
        <v>234</v>
      </c>
      <c r="Y626" s="6"/>
      <c r="Z626" s="6"/>
      <c r="AA626" s="6"/>
      <c r="AB626" s="6">
        <v>102</v>
      </c>
      <c r="AC626" s="6">
        <v>2259</v>
      </c>
      <c r="AD626" s="6">
        <v>0</v>
      </c>
      <c r="AE626" s="6">
        <v>22724</v>
      </c>
      <c r="AF626" s="6">
        <v>30024</v>
      </c>
    </row>
    <row r="627" spans="1:32" x14ac:dyDescent="0.35">
      <c r="A627" s="1">
        <v>41934</v>
      </c>
      <c r="B627" s="6">
        <v>4481616</v>
      </c>
      <c r="C627" s="6">
        <v>11037</v>
      </c>
      <c r="D627" s="6">
        <v>5200</v>
      </c>
      <c r="E627" s="6">
        <v>1891</v>
      </c>
      <c r="F627" s="6">
        <v>4405027</v>
      </c>
      <c r="G627" s="6">
        <v>4214342</v>
      </c>
      <c r="H627" s="6">
        <v>2459197</v>
      </c>
      <c r="I627" s="6">
        <v>0</v>
      </c>
      <c r="J627" s="6">
        <v>2344287</v>
      </c>
      <c r="K627" s="6">
        <v>98469</v>
      </c>
      <c r="L627" s="6">
        <v>16441</v>
      </c>
      <c r="M627" s="6">
        <v>1</v>
      </c>
      <c r="N627" s="6">
        <v>89</v>
      </c>
      <c r="O627" s="6">
        <v>3193</v>
      </c>
      <c r="P627" s="6">
        <v>1050012</v>
      </c>
      <c r="Q627" s="6">
        <v>742973</v>
      </c>
      <c r="R627" s="6">
        <v>662928</v>
      </c>
      <c r="S627" s="6">
        <v>39700</v>
      </c>
      <c r="T627" s="6">
        <v>1715445</v>
      </c>
      <c r="U627" s="6">
        <v>209172</v>
      </c>
      <c r="V627" s="6">
        <v>-18726</v>
      </c>
      <c r="W627" s="6">
        <v>0</v>
      </c>
      <c r="X627" s="6">
        <v>240</v>
      </c>
      <c r="Y627" s="6"/>
      <c r="Z627" s="6"/>
      <c r="AA627" s="6"/>
      <c r="AB627" s="6">
        <v>71</v>
      </c>
      <c r="AC627" s="6">
        <v>2263</v>
      </c>
      <c r="AD627" s="6">
        <v>0</v>
      </c>
      <c r="AE627" s="6">
        <v>22490</v>
      </c>
      <c r="AF627" s="6">
        <v>31942</v>
      </c>
    </row>
    <row r="628" spans="1:32" x14ac:dyDescent="0.35">
      <c r="A628" s="1">
        <v>41941</v>
      </c>
      <c r="B628" s="6">
        <v>4486754</v>
      </c>
      <c r="C628" s="6">
        <v>11037</v>
      </c>
      <c r="D628" s="6">
        <v>5200</v>
      </c>
      <c r="E628" s="6">
        <v>1914</v>
      </c>
      <c r="F628" s="6">
        <v>4409820</v>
      </c>
      <c r="G628" s="6">
        <v>4219168</v>
      </c>
      <c r="H628" s="6">
        <v>2461580</v>
      </c>
      <c r="I628" s="6">
        <v>0</v>
      </c>
      <c r="J628" s="6">
        <v>2346714</v>
      </c>
      <c r="K628" s="6">
        <v>98469</v>
      </c>
      <c r="L628" s="6">
        <v>16398</v>
      </c>
      <c r="M628" s="6">
        <v>1</v>
      </c>
      <c r="N628" s="6">
        <v>89</v>
      </c>
      <c r="O628" s="6">
        <v>3193</v>
      </c>
      <c r="P628" s="6">
        <v>1050006</v>
      </c>
      <c r="Q628" s="6">
        <v>744464</v>
      </c>
      <c r="R628" s="6">
        <v>663827</v>
      </c>
      <c r="S628" s="6">
        <v>39700</v>
      </c>
      <c r="T628" s="6">
        <v>1717888</v>
      </c>
      <c r="U628" s="6">
        <v>209140</v>
      </c>
      <c r="V628" s="6">
        <v>-18694</v>
      </c>
      <c r="W628" s="6">
        <v>0</v>
      </c>
      <c r="X628" s="6">
        <v>206</v>
      </c>
      <c r="Y628" s="6"/>
      <c r="Z628" s="6"/>
      <c r="AA628" s="6"/>
      <c r="AB628" s="6">
        <v>71</v>
      </c>
      <c r="AC628" s="6">
        <v>2268</v>
      </c>
      <c r="AD628" s="6">
        <v>0</v>
      </c>
      <c r="AE628" s="6">
        <v>22542</v>
      </c>
      <c r="AF628" s="6">
        <v>32199</v>
      </c>
    </row>
    <row r="629" spans="1:32" x14ac:dyDescent="0.35">
      <c r="A629" s="1">
        <v>41948</v>
      </c>
      <c r="B629" s="6">
        <v>4486585</v>
      </c>
      <c r="C629" s="6">
        <v>11037</v>
      </c>
      <c r="D629" s="6">
        <v>5200</v>
      </c>
      <c r="E629" s="6">
        <v>1883</v>
      </c>
      <c r="F629" s="6">
        <v>4409430</v>
      </c>
      <c r="G629" s="6">
        <v>4219177</v>
      </c>
      <c r="H629" s="6">
        <v>2461581</v>
      </c>
      <c r="I629" s="6">
        <v>0</v>
      </c>
      <c r="J629" s="6">
        <v>2346713</v>
      </c>
      <c r="K629" s="6">
        <v>98469</v>
      </c>
      <c r="L629" s="6">
        <v>16400</v>
      </c>
      <c r="M629" s="6">
        <v>88</v>
      </c>
      <c r="N629" s="6">
        <v>2</v>
      </c>
      <c r="O629" s="6">
        <v>3193</v>
      </c>
      <c r="P629" s="6">
        <v>1064662</v>
      </c>
      <c r="Q629" s="6">
        <v>729807</v>
      </c>
      <c r="R629" s="6">
        <v>663829</v>
      </c>
      <c r="S629" s="6">
        <v>39700</v>
      </c>
      <c r="T629" s="6">
        <v>1717896</v>
      </c>
      <c r="U629" s="6">
        <v>208770</v>
      </c>
      <c r="V629" s="6">
        <v>-18662</v>
      </c>
      <c r="W629" s="6">
        <v>0</v>
      </c>
      <c r="X629" s="6">
        <v>145</v>
      </c>
      <c r="Y629" s="6"/>
      <c r="Z629" s="6"/>
      <c r="AA629" s="6"/>
      <c r="AB629" s="6">
        <v>75</v>
      </c>
      <c r="AC629" s="6">
        <v>2260</v>
      </c>
      <c r="AD629" s="6">
        <v>1</v>
      </c>
      <c r="AE629" s="6">
        <v>21755</v>
      </c>
      <c r="AF629" s="6">
        <v>33242</v>
      </c>
    </row>
    <row r="630" spans="1:32" x14ac:dyDescent="0.35">
      <c r="A630" s="1">
        <v>41955</v>
      </c>
      <c r="B630" s="6">
        <v>4488895</v>
      </c>
      <c r="C630" s="6">
        <v>11037</v>
      </c>
      <c r="D630" s="6">
        <v>5200</v>
      </c>
      <c r="E630" s="6">
        <v>1883</v>
      </c>
      <c r="F630" s="6">
        <v>4409121</v>
      </c>
      <c r="G630" s="6">
        <v>4219197</v>
      </c>
      <c r="H630" s="6">
        <v>2461602</v>
      </c>
      <c r="I630" s="6">
        <v>0</v>
      </c>
      <c r="J630" s="6">
        <v>2346713</v>
      </c>
      <c r="K630" s="6">
        <v>98469</v>
      </c>
      <c r="L630" s="6">
        <v>16420</v>
      </c>
      <c r="M630" s="6">
        <v>88</v>
      </c>
      <c r="N630" s="6">
        <v>2</v>
      </c>
      <c r="O630" s="6">
        <v>3193</v>
      </c>
      <c r="P630" s="6">
        <v>1064665</v>
      </c>
      <c r="Q630" s="6">
        <v>729810</v>
      </c>
      <c r="R630" s="6">
        <v>663844</v>
      </c>
      <c r="S630" s="6">
        <v>39700</v>
      </c>
      <c r="T630" s="6">
        <v>1717896</v>
      </c>
      <c r="U630" s="6">
        <v>208425</v>
      </c>
      <c r="V630" s="6">
        <v>-18632</v>
      </c>
      <c r="W630" s="6">
        <v>0</v>
      </c>
      <c r="X630" s="6">
        <v>131</v>
      </c>
      <c r="Y630" s="6"/>
      <c r="Z630" s="6"/>
      <c r="AA630" s="6"/>
      <c r="AB630" s="6">
        <v>123</v>
      </c>
      <c r="AC630" s="6">
        <v>2261</v>
      </c>
      <c r="AD630" s="6">
        <v>0</v>
      </c>
      <c r="AE630" s="6">
        <v>21664</v>
      </c>
      <c r="AF630" s="6">
        <v>35928</v>
      </c>
    </row>
    <row r="631" spans="1:32" x14ac:dyDescent="0.35">
      <c r="A631" s="1">
        <v>41962</v>
      </c>
      <c r="B631" s="6">
        <v>4492759</v>
      </c>
      <c r="C631" s="6">
        <v>11037</v>
      </c>
      <c r="D631" s="6">
        <v>5200</v>
      </c>
      <c r="E631" s="6">
        <v>1859</v>
      </c>
      <c r="F631" s="6">
        <v>4426401</v>
      </c>
      <c r="G631" s="6">
        <v>4236210</v>
      </c>
      <c r="H631" s="6">
        <v>2461622</v>
      </c>
      <c r="I631" s="6">
        <v>0</v>
      </c>
      <c r="J631" s="6">
        <v>2346713</v>
      </c>
      <c r="K631" s="6">
        <v>98469</v>
      </c>
      <c r="L631" s="6">
        <v>16440</v>
      </c>
      <c r="M631" s="6">
        <v>0</v>
      </c>
      <c r="N631" s="6">
        <v>4</v>
      </c>
      <c r="O631" s="6">
        <v>3517</v>
      </c>
      <c r="P631" s="6">
        <v>1098897</v>
      </c>
      <c r="Q631" s="6">
        <v>700726</v>
      </c>
      <c r="R631" s="6">
        <v>658478</v>
      </c>
      <c r="S631" s="6">
        <v>39700</v>
      </c>
      <c r="T631" s="6">
        <v>1734889</v>
      </c>
      <c r="U631" s="6">
        <v>208656</v>
      </c>
      <c r="V631" s="6">
        <v>-18597</v>
      </c>
      <c r="W631" s="6">
        <v>0</v>
      </c>
      <c r="X631" s="6">
        <v>131</v>
      </c>
      <c r="Y631" s="6"/>
      <c r="Z631" s="6"/>
      <c r="AA631" s="6"/>
      <c r="AB631" s="6">
        <v>91</v>
      </c>
      <c r="AC631" s="6">
        <v>2265</v>
      </c>
      <c r="AD631" s="6">
        <v>0</v>
      </c>
      <c r="AE631" s="6">
        <v>21609</v>
      </c>
      <c r="AF631" s="6">
        <v>22617</v>
      </c>
    </row>
    <row r="632" spans="1:32" x14ac:dyDescent="0.35">
      <c r="A632" s="1">
        <v>41969</v>
      </c>
      <c r="B632" s="6">
        <v>4485931</v>
      </c>
      <c r="C632" s="6">
        <v>11037</v>
      </c>
      <c r="D632" s="6">
        <v>5200</v>
      </c>
      <c r="E632" s="6">
        <v>1841</v>
      </c>
      <c r="F632" s="6">
        <v>4419801</v>
      </c>
      <c r="G632" s="6">
        <v>4230112</v>
      </c>
      <c r="H632" s="6">
        <v>2461645</v>
      </c>
      <c r="I632" s="6">
        <v>0</v>
      </c>
      <c r="J632" s="6">
        <v>2346713</v>
      </c>
      <c r="K632" s="6">
        <v>98469</v>
      </c>
      <c r="L632" s="6">
        <v>16463</v>
      </c>
      <c r="M632" s="6">
        <v>0</v>
      </c>
      <c r="N632" s="6">
        <v>4</v>
      </c>
      <c r="O632" s="6">
        <v>3517</v>
      </c>
      <c r="P632" s="6">
        <v>1098900</v>
      </c>
      <c r="Q632" s="6">
        <v>700729</v>
      </c>
      <c r="R632" s="6">
        <v>658495</v>
      </c>
      <c r="S632" s="6">
        <v>38677</v>
      </c>
      <c r="T632" s="6">
        <v>1729790</v>
      </c>
      <c r="U632" s="6">
        <v>208133</v>
      </c>
      <c r="V632" s="6">
        <v>-18555</v>
      </c>
      <c r="W632" s="6">
        <v>0</v>
      </c>
      <c r="X632" s="6">
        <v>111</v>
      </c>
      <c r="Y632" s="6"/>
      <c r="Z632" s="6"/>
      <c r="AA632" s="6"/>
      <c r="AB632" s="6">
        <v>88</v>
      </c>
      <c r="AC632" s="6">
        <v>2265</v>
      </c>
      <c r="AD632" s="6">
        <v>1</v>
      </c>
      <c r="AE632" s="6">
        <v>21568</v>
      </c>
      <c r="AF632" s="6">
        <v>22449</v>
      </c>
    </row>
    <row r="633" spans="1:32" x14ac:dyDescent="0.35">
      <c r="A633" s="1">
        <v>41976</v>
      </c>
      <c r="B633" s="6">
        <v>4486190</v>
      </c>
      <c r="C633" s="6">
        <v>11037</v>
      </c>
      <c r="D633" s="6">
        <v>5200</v>
      </c>
      <c r="E633" s="6">
        <v>1839</v>
      </c>
      <c r="F633" s="6">
        <v>4419493</v>
      </c>
      <c r="G633" s="6">
        <v>4230106</v>
      </c>
      <c r="H633" s="6">
        <v>2461625</v>
      </c>
      <c r="I633" s="6">
        <v>0</v>
      </c>
      <c r="J633" s="6">
        <v>2346713</v>
      </c>
      <c r="K633" s="6">
        <v>98469</v>
      </c>
      <c r="L633" s="6">
        <v>16444</v>
      </c>
      <c r="M633" s="6">
        <v>0</v>
      </c>
      <c r="N633" s="6">
        <v>4</v>
      </c>
      <c r="O633" s="6">
        <v>3517</v>
      </c>
      <c r="P633" s="6">
        <v>1105881</v>
      </c>
      <c r="Q633" s="6">
        <v>693743</v>
      </c>
      <c r="R633" s="6">
        <v>658481</v>
      </c>
      <c r="S633" s="6">
        <v>38677</v>
      </c>
      <c r="T633" s="6">
        <v>1729804</v>
      </c>
      <c r="U633" s="6">
        <v>207816</v>
      </c>
      <c r="V633" s="6">
        <v>-18529</v>
      </c>
      <c r="W633" s="6">
        <v>0</v>
      </c>
      <c r="X633" s="6">
        <v>99</v>
      </c>
      <c r="Y633" s="6"/>
      <c r="Z633" s="6"/>
      <c r="AA633" s="6"/>
      <c r="AB633" s="6">
        <v>96</v>
      </c>
      <c r="AC633" s="6">
        <v>2260</v>
      </c>
      <c r="AD633" s="6">
        <v>1</v>
      </c>
      <c r="AE633" s="6">
        <v>21206</v>
      </c>
      <c r="AF633" s="6">
        <v>23378</v>
      </c>
    </row>
    <row r="634" spans="1:32" x14ac:dyDescent="0.35">
      <c r="A634" s="1">
        <v>41983</v>
      </c>
      <c r="B634" s="6">
        <v>4488865</v>
      </c>
      <c r="C634" s="6">
        <v>11037</v>
      </c>
      <c r="D634" s="6">
        <v>5200</v>
      </c>
      <c r="E634" s="6">
        <v>1862</v>
      </c>
      <c r="F634" s="6">
        <v>4419145</v>
      </c>
      <c r="G634" s="6">
        <v>4230053</v>
      </c>
      <c r="H634" s="6">
        <v>2461560</v>
      </c>
      <c r="I634" s="6">
        <v>0</v>
      </c>
      <c r="J634" s="6">
        <v>2346713</v>
      </c>
      <c r="K634" s="6">
        <v>98469</v>
      </c>
      <c r="L634" s="6">
        <v>16379</v>
      </c>
      <c r="M634" s="6">
        <v>0</v>
      </c>
      <c r="N634" s="6">
        <v>4</v>
      </c>
      <c r="O634" s="6">
        <v>3517</v>
      </c>
      <c r="P634" s="6">
        <v>1105872</v>
      </c>
      <c r="Q634" s="6">
        <v>693735</v>
      </c>
      <c r="R634" s="6">
        <v>658433</v>
      </c>
      <c r="S634" s="6">
        <v>38677</v>
      </c>
      <c r="T634" s="6">
        <v>1729816</v>
      </c>
      <c r="U634" s="6">
        <v>207473</v>
      </c>
      <c r="V634" s="6">
        <v>-18498</v>
      </c>
      <c r="W634" s="6">
        <v>0</v>
      </c>
      <c r="X634" s="6">
        <v>117</v>
      </c>
      <c r="Y634" s="6"/>
      <c r="Z634" s="6"/>
      <c r="AA634" s="6"/>
      <c r="AB634" s="6">
        <v>80</v>
      </c>
      <c r="AC634" s="6">
        <v>2263</v>
      </c>
      <c r="AD634" s="6">
        <v>2</v>
      </c>
      <c r="AE634" s="6">
        <v>21425</v>
      </c>
      <c r="AF634" s="6">
        <v>26170</v>
      </c>
    </row>
    <row r="635" spans="1:32" x14ac:dyDescent="0.35">
      <c r="A635" s="1">
        <v>41990</v>
      </c>
      <c r="B635" s="6">
        <v>4502247</v>
      </c>
      <c r="C635" s="6">
        <v>11037</v>
      </c>
      <c r="D635" s="6">
        <v>5200</v>
      </c>
      <c r="E635" s="6">
        <v>1876</v>
      </c>
      <c r="F635" s="6">
        <v>4431389</v>
      </c>
      <c r="G635" s="6">
        <v>4242129</v>
      </c>
      <c r="H635" s="6">
        <v>2461495</v>
      </c>
      <c r="I635" s="6">
        <v>0</v>
      </c>
      <c r="J635" s="6">
        <v>2346712</v>
      </c>
      <c r="K635" s="6">
        <v>98469</v>
      </c>
      <c r="L635" s="6">
        <v>16314</v>
      </c>
      <c r="M635" s="6">
        <v>1</v>
      </c>
      <c r="N635" s="6">
        <v>4</v>
      </c>
      <c r="O635" s="6">
        <v>3516</v>
      </c>
      <c r="P635" s="6">
        <v>1105863</v>
      </c>
      <c r="Q635" s="6">
        <v>693726</v>
      </c>
      <c r="R635" s="6">
        <v>658385</v>
      </c>
      <c r="S635" s="6">
        <v>38677</v>
      </c>
      <c r="T635" s="6">
        <v>1741957</v>
      </c>
      <c r="U635" s="6">
        <v>207632</v>
      </c>
      <c r="V635" s="6">
        <v>-18463</v>
      </c>
      <c r="W635" s="6">
        <v>0</v>
      </c>
      <c r="X635" s="6">
        <v>90</v>
      </c>
      <c r="Y635" s="6"/>
      <c r="Z635" s="6"/>
      <c r="AA635" s="6"/>
      <c r="AB635" s="6">
        <v>101</v>
      </c>
      <c r="AC635" s="6">
        <v>2264</v>
      </c>
      <c r="AD635" s="6">
        <v>2</v>
      </c>
      <c r="AE635" s="6">
        <v>21463</v>
      </c>
      <c r="AF635" s="6">
        <v>27237</v>
      </c>
    </row>
    <row r="636" spans="1:32" x14ac:dyDescent="0.35">
      <c r="A636" s="1">
        <v>41997</v>
      </c>
      <c r="B636" s="6">
        <v>4509462</v>
      </c>
      <c r="C636" s="6">
        <v>11037</v>
      </c>
      <c r="D636" s="6">
        <v>5200</v>
      </c>
      <c r="E636" s="6">
        <v>1871</v>
      </c>
      <c r="F636" s="6">
        <v>4436634</v>
      </c>
      <c r="G636" s="6">
        <v>4247474</v>
      </c>
      <c r="H636" s="6">
        <v>2461420</v>
      </c>
      <c r="I636" s="6">
        <v>0</v>
      </c>
      <c r="J636" s="6">
        <v>2346712</v>
      </c>
      <c r="K636" s="6">
        <v>98469</v>
      </c>
      <c r="L636" s="6">
        <v>16239</v>
      </c>
      <c r="M636" s="6">
        <v>1</v>
      </c>
      <c r="N636" s="6">
        <v>4</v>
      </c>
      <c r="O636" s="6">
        <v>3516</v>
      </c>
      <c r="P636" s="6">
        <v>1105853</v>
      </c>
      <c r="Q636" s="6">
        <v>693716</v>
      </c>
      <c r="R636" s="6">
        <v>658330</v>
      </c>
      <c r="S636" s="6">
        <v>38677</v>
      </c>
      <c r="T636" s="6">
        <v>1747377</v>
      </c>
      <c r="U636" s="6">
        <v>207466</v>
      </c>
      <c r="V636" s="6">
        <v>-18425</v>
      </c>
      <c r="W636" s="6">
        <v>0</v>
      </c>
      <c r="X636" s="6">
        <v>119</v>
      </c>
      <c r="Y636" s="6"/>
      <c r="Z636" s="6"/>
      <c r="AA636" s="6"/>
      <c r="AB636" s="6">
        <v>126</v>
      </c>
      <c r="AC636" s="6">
        <v>2265</v>
      </c>
      <c r="AD636" s="6">
        <v>30</v>
      </c>
      <c r="AE636" s="6">
        <v>21041</v>
      </c>
      <c r="AF636" s="6">
        <v>29580</v>
      </c>
    </row>
    <row r="637" spans="1:32" x14ac:dyDescent="0.35">
      <c r="A637" s="1">
        <v>42004</v>
      </c>
      <c r="B637" s="6">
        <v>4497660</v>
      </c>
      <c r="C637" s="6">
        <v>11037</v>
      </c>
      <c r="D637" s="6">
        <v>5200</v>
      </c>
      <c r="E637" s="6">
        <v>1873</v>
      </c>
      <c r="F637" s="6">
        <v>4425460</v>
      </c>
      <c r="G637" s="6">
        <v>4236873</v>
      </c>
      <c r="H637" s="6">
        <v>2461364</v>
      </c>
      <c r="I637" s="6">
        <v>0</v>
      </c>
      <c r="J637" s="6">
        <v>2346712</v>
      </c>
      <c r="K637" s="6">
        <v>98469</v>
      </c>
      <c r="L637" s="6">
        <v>16183</v>
      </c>
      <c r="M637" s="6">
        <v>0</v>
      </c>
      <c r="N637" s="6">
        <v>5</v>
      </c>
      <c r="O637" s="6">
        <v>3516</v>
      </c>
      <c r="P637" s="6">
        <v>1112927</v>
      </c>
      <c r="Q637" s="6">
        <v>686627</v>
      </c>
      <c r="R637" s="6">
        <v>658289</v>
      </c>
      <c r="S637" s="6">
        <v>38677</v>
      </c>
      <c r="T637" s="6">
        <v>1736832</v>
      </c>
      <c r="U637" s="6">
        <v>206835</v>
      </c>
      <c r="V637" s="6">
        <v>-18394</v>
      </c>
      <c r="W637" s="6">
        <v>0</v>
      </c>
      <c r="X637" s="6">
        <v>145</v>
      </c>
      <c r="Y637" s="6"/>
      <c r="Z637" s="6"/>
      <c r="AA637" s="6"/>
      <c r="AB637" s="6">
        <v>86</v>
      </c>
      <c r="AC637" s="6">
        <v>2264</v>
      </c>
      <c r="AD637" s="6">
        <v>1528</v>
      </c>
      <c r="AE637" s="6">
        <v>21071</v>
      </c>
      <c r="AF637" s="6">
        <v>27463</v>
      </c>
    </row>
    <row r="638" spans="1:32" x14ac:dyDescent="0.35">
      <c r="A638" s="1">
        <v>42011</v>
      </c>
      <c r="B638" s="6">
        <v>4499524</v>
      </c>
      <c r="C638" s="6">
        <v>11037</v>
      </c>
      <c r="D638" s="6">
        <v>5200</v>
      </c>
      <c r="E638" s="6">
        <v>1876</v>
      </c>
      <c r="F638" s="6">
        <v>4424865</v>
      </c>
      <c r="G638" s="6">
        <v>4236740</v>
      </c>
      <c r="H638" s="6">
        <v>2461224</v>
      </c>
      <c r="I638" s="6">
        <v>0</v>
      </c>
      <c r="J638" s="6">
        <v>2346712</v>
      </c>
      <c r="K638" s="6">
        <v>98469</v>
      </c>
      <c r="L638" s="6">
        <v>16043</v>
      </c>
      <c r="M638" s="6">
        <v>0</v>
      </c>
      <c r="N638" s="6">
        <v>5</v>
      </c>
      <c r="O638" s="6">
        <v>3516</v>
      </c>
      <c r="P638" s="6">
        <v>1112908</v>
      </c>
      <c r="Q638" s="6">
        <v>686609</v>
      </c>
      <c r="R638" s="6">
        <v>658187</v>
      </c>
      <c r="S638" s="6">
        <v>38677</v>
      </c>
      <c r="T638" s="6">
        <v>1736839</v>
      </c>
      <c r="U638" s="6">
        <v>206465</v>
      </c>
      <c r="V638" s="6">
        <v>-18363</v>
      </c>
      <c r="W638" s="6">
        <v>0</v>
      </c>
      <c r="X638" s="6">
        <v>23</v>
      </c>
      <c r="Y638" s="6"/>
      <c r="Z638" s="6"/>
      <c r="AA638" s="6"/>
      <c r="AB638" s="6">
        <v>167</v>
      </c>
      <c r="AC638" s="6">
        <v>2260</v>
      </c>
      <c r="AD638" s="6">
        <v>1528</v>
      </c>
      <c r="AE638" s="6">
        <v>20702</v>
      </c>
      <c r="AF638" s="6">
        <v>30211</v>
      </c>
    </row>
    <row r="639" spans="1:32" x14ac:dyDescent="0.35">
      <c r="A639" s="1">
        <v>42018</v>
      </c>
      <c r="B639" s="6">
        <v>4516077</v>
      </c>
      <c r="C639" s="6">
        <v>11037</v>
      </c>
      <c r="D639" s="6">
        <v>5200</v>
      </c>
      <c r="E639" s="6">
        <v>1908</v>
      </c>
      <c r="F639" s="6">
        <v>4439940</v>
      </c>
      <c r="G639" s="6">
        <v>4251495</v>
      </c>
      <c r="H639" s="6">
        <v>2461084</v>
      </c>
      <c r="I639" s="6">
        <v>0</v>
      </c>
      <c r="J639" s="6">
        <v>2346712</v>
      </c>
      <c r="K639" s="6">
        <v>98469</v>
      </c>
      <c r="L639" s="6">
        <v>15904</v>
      </c>
      <c r="M639" s="6">
        <v>0</v>
      </c>
      <c r="N639" s="6">
        <v>5</v>
      </c>
      <c r="O639" s="6">
        <v>3516</v>
      </c>
      <c r="P639" s="6">
        <v>1113962</v>
      </c>
      <c r="Q639" s="6">
        <v>685517</v>
      </c>
      <c r="R639" s="6">
        <v>658084</v>
      </c>
      <c r="S639" s="6">
        <v>38677</v>
      </c>
      <c r="T639" s="6">
        <v>1751734</v>
      </c>
      <c r="U639" s="6">
        <v>206747</v>
      </c>
      <c r="V639" s="6">
        <v>-18332</v>
      </c>
      <c r="W639" s="6">
        <v>0</v>
      </c>
      <c r="X639" s="6">
        <v>31</v>
      </c>
      <c r="Y639" s="6"/>
      <c r="Z639" s="6"/>
      <c r="AA639" s="6"/>
      <c r="AB639" s="6">
        <v>161</v>
      </c>
      <c r="AC639" s="6">
        <v>2260</v>
      </c>
      <c r="AD639" s="6">
        <v>0</v>
      </c>
      <c r="AE639" s="6">
        <v>20871</v>
      </c>
      <c r="AF639" s="6">
        <v>33020</v>
      </c>
    </row>
    <row r="640" spans="1:32" x14ac:dyDescent="0.35">
      <c r="A640" s="1">
        <v>42025</v>
      </c>
      <c r="B640" s="6">
        <v>4512936</v>
      </c>
      <c r="C640" s="6">
        <v>11037</v>
      </c>
      <c r="D640" s="6">
        <v>5200</v>
      </c>
      <c r="E640" s="6">
        <v>1928</v>
      </c>
      <c r="F640" s="6">
        <v>4437383</v>
      </c>
      <c r="G640" s="6">
        <v>4249065</v>
      </c>
      <c r="H640" s="6">
        <v>2460944</v>
      </c>
      <c r="I640" s="6">
        <v>0</v>
      </c>
      <c r="J640" s="6">
        <v>2346712</v>
      </c>
      <c r="K640" s="6">
        <v>98469</v>
      </c>
      <c r="L640" s="6">
        <v>15764</v>
      </c>
      <c r="M640" s="6">
        <v>0</v>
      </c>
      <c r="N640" s="6">
        <v>6</v>
      </c>
      <c r="O640" s="6">
        <v>3514</v>
      </c>
      <c r="P640" s="6">
        <v>1113942</v>
      </c>
      <c r="Q640" s="6">
        <v>693755</v>
      </c>
      <c r="R640" s="6">
        <v>649728</v>
      </c>
      <c r="S640" s="6">
        <v>37588</v>
      </c>
      <c r="T640" s="6">
        <v>1750532</v>
      </c>
      <c r="U640" s="6">
        <v>206458</v>
      </c>
      <c r="V640" s="6">
        <v>-18295</v>
      </c>
      <c r="W640" s="6">
        <v>0</v>
      </c>
      <c r="X640" s="6">
        <v>155</v>
      </c>
      <c r="Y640" s="6"/>
      <c r="Z640" s="6"/>
      <c r="AA640" s="6"/>
      <c r="AB640" s="6">
        <v>243</v>
      </c>
      <c r="AC640" s="6">
        <v>2262</v>
      </c>
      <c r="AD640" s="6">
        <v>10</v>
      </c>
      <c r="AE640" s="6">
        <v>20557</v>
      </c>
      <c r="AF640" s="6">
        <v>32636</v>
      </c>
    </row>
    <row r="641" spans="1:32" x14ac:dyDescent="0.35">
      <c r="A641" s="1">
        <v>42032</v>
      </c>
      <c r="B641" s="6">
        <v>4500064</v>
      </c>
      <c r="C641" s="6">
        <v>11037</v>
      </c>
      <c r="D641" s="6">
        <v>5200</v>
      </c>
      <c r="E641" s="6">
        <v>1951</v>
      </c>
      <c r="F641" s="6">
        <v>4424578</v>
      </c>
      <c r="G641" s="6">
        <v>4237064</v>
      </c>
      <c r="H641" s="6">
        <v>2460804</v>
      </c>
      <c r="I641" s="6">
        <v>0</v>
      </c>
      <c r="J641" s="6">
        <v>2346712</v>
      </c>
      <c r="K641" s="6">
        <v>98469</v>
      </c>
      <c r="L641" s="6">
        <v>15624</v>
      </c>
      <c r="M641" s="6">
        <v>0</v>
      </c>
      <c r="N641" s="6">
        <v>6</v>
      </c>
      <c r="O641" s="6">
        <v>3514</v>
      </c>
      <c r="P641" s="6">
        <v>1113921</v>
      </c>
      <c r="Q641" s="6">
        <v>693727</v>
      </c>
      <c r="R641" s="6">
        <v>649635</v>
      </c>
      <c r="S641" s="6">
        <v>37588</v>
      </c>
      <c r="T641" s="6">
        <v>1738672</v>
      </c>
      <c r="U641" s="6">
        <v>205742</v>
      </c>
      <c r="V641" s="6">
        <v>-18258</v>
      </c>
      <c r="W641" s="6">
        <v>0</v>
      </c>
      <c r="X641" s="6">
        <v>30</v>
      </c>
      <c r="Y641" s="6"/>
      <c r="Z641" s="6"/>
      <c r="AA641" s="6"/>
      <c r="AB641" s="6">
        <v>138</v>
      </c>
      <c r="AC641" s="6">
        <v>2262</v>
      </c>
      <c r="AD641" s="6">
        <v>1</v>
      </c>
      <c r="AE641" s="6">
        <v>20302</v>
      </c>
      <c r="AF641" s="6">
        <v>32912</v>
      </c>
    </row>
    <row r="642" spans="1:32" x14ac:dyDescent="0.35">
      <c r="A642" s="1">
        <v>42039</v>
      </c>
      <c r="B642" s="6">
        <v>4500348</v>
      </c>
      <c r="C642" s="6">
        <v>11037</v>
      </c>
      <c r="D642" s="6">
        <v>5200</v>
      </c>
      <c r="E642" s="6">
        <v>1955</v>
      </c>
      <c r="F642" s="6">
        <v>4424078</v>
      </c>
      <c r="G642" s="6">
        <v>4236920</v>
      </c>
      <c r="H642" s="6">
        <v>2460652</v>
      </c>
      <c r="I642" s="6">
        <v>0</v>
      </c>
      <c r="J642" s="6">
        <v>2346711</v>
      </c>
      <c r="K642" s="6">
        <v>98469</v>
      </c>
      <c r="L642" s="6">
        <v>15472</v>
      </c>
      <c r="M642" s="6">
        <v>2</v>
      </c>
      <c r="N642" s="6">
        <v>453</v>
      </c>
      <c r="O642" s="6">
        <v>4976</v>
      </c>
      <c r="P642" s="6">
        <v>1118003</v>
      </c>
      <c r="Q642" s="6">
        <v>687683</v>
      </c>
      <c r="R642" s="6">
        <v>649534</v>
      </c>
      <c r="S642" s="6">
        <v>37588</v>
      </c>
      <c r="T642" s="6">
        <v>1738680</v>
      </c>
      <c r="U642" s="6">
        <v>205371</v>
      </c>
      <c r="V642" s="6">
        <v>-18227</v>
      </c>
      <c r="W642" s="6">
        <v>0</v>
      </c>
      <c r="X642" s="6">
        <v>14</v>
      </c>
      <c r="Y642" s="6"/>
      <c r="Z642" s="6"/>
      <c r="AA642" s="6"/>
      <c r="AB642" s="6">
        <v>110</v>
      </c>
      <c r="AC642" s="6">
        <v>2253</v>
      </c>
      <c r="AD642" s="6">
        <v>0</v>
      </c>
      <c r="AE642" s="6">
        <v>20396</v>
      </c>
      <c r="AF642" s="6">
        <v>33634</v>
      </c>
    </row>
    <row r="643" spans="1:32" x14ac:dyDescent="0.35">
      <c r="A643" s="1">
        <v>42046</v>
      </c>
      <c r="B643" s="6">
        <v>4501685</v>
      </c>
      <c r="C643" s="6">
        <v>11037</v>
      </c>
      <c r="D643" s="6">
        <v>5200</v>
      </c>
      <c r="E643" s="6">
        <v>1957</v>
      </c>
      <c r="F643" s="6">
        <v>4422911</v>
      </c>
      <c r="G643" s="6">
        <v>4236063</v>
      </c>
      <c r="H643" s="6">
        <v>2460490</v>
      </c>
      <c r="I643" s="6">
        <v>0</v>
      </c>
      <c r="J643" s="6">
        <v>2346711</v>
      </c>
      <c r="K643" s="6">
        <v>98469</v>
      </c>
      <c r="L643" s="6">
        <v>15310</v>
      </c>
      <c r="M643" s="6">
        <v>2</v>
      </c>
      <c r="N643" s="6">
        <v>453</v>
      </c>
      <c r="O643" s="6">
        <v>4976</v>
      </c>
      <c r="P643" s="6">
        <v>1117979</v>
      </c>
      <c r="Q643" s="6">
        <v>687652</v>
      </c>
      <c r="R643" s="6">
        <v>649427</v>
      </c>
      <c r="S643" s="6">
        <v>36877</v>
      </c>
      <c r="T643" s="6">
        <v>1738696</v>
      </c>
      <c r="U643" s="6">
        <v>205027</v>
      </c>
      <c r="V643" s="6">
        <v>-18196</v>
      </c>
      <c r="W643" s="6">
        <v>0</v>
      </c>
      <c r="X643" s="6">
        <v>17</v>
      </c>
      <c r="Y643" s="6"/>
      <c r="Z643" s="6"/>
      <c r="AA643" s="6"/>
      <c r="AB643" s="6">
        <v>174</v>
      </c>
      <c r="AC643" s="6">
        <v>2253</v>
      </c>
      <c r="AD643" s="6">
        <v>0</v>
      </c>
      <c r="AE643" s="6">
        <v>20084</v>
      </c>
      <c r="AF643" s="6">
        <v>36384</v>
      </c>
    </row>
    <row r="644" spans="1:32" x14ac:dyDescent="0.35">
      <c r="A644" s="1">
        <v>42053</v>
      </c>
      <c r="B644" s="6">
        <v>4496851</v>
      </c>
      <c r="C644" s="6">
        <v>11037</v>
      </c>
      <c r="D644" s="6">
        <v>5200</v>
      </c>
      <c r="E644" s="6">
        <v>1931</v>
      </c>
      <c r="F644" s="6">
        <v>4433297</v>
      </c>
      <c r="G644" s="6">
        <v>4246232</v>
      </c>
      <c r="H644" s="6">
        <v>2460328</v>
      </c>
      <c r="I644" s="6">
        <v>0</v>
      </c>
      <c r="J644" s="6">
        <v>2346711</v>
      </c>
      <c r="K644" s="6">
        <v>98469</v>
      </c>
      <c r="L644" s="6">
        <v>15148</v>
      </c>
      <c r="M644" s="6">
        <v>0</v>
      </c>
      <c r="N644" s="6">
        <v>1900</v>
      </c>
      <c r="O644" s="6">
        <v>8397</v>
      </c>
      <c r="P644" s="6">
        <v>1147466</v>
      </c>
      <c r="Q644" s="6">
        <v>658999</v>
      </c>
      <c r="R644" s="6">
        <v>643567</v>
      </c>
      <c r="S644" s="6">
        <v>36877</v>
      </c>
      <c r="T644" s="6">
        <v>1749027</v>
      </c>
      <c r="U644" s="6">
        <v>205218</v>
      </c>
      <c r="V644" s="6">
        <v>-18159</v>
      </c>
      <c r="W644" s="6">
        <v>0</v>
      </c>
      <c r="X644" s="6">
        <v>6</v>
      </c>
      <c r="Y644" s="6"/>
      <c r="Z644" s="6"/>
      <c r="AA644" s="6"/>
      <c r="AB644" s="6">
        <v>184</v>
      </c>
      <c r="AC644" s="6">
        <v>2254</v>
      </c>
      <c r="AD644" s="6">
        <v>0</v>
      </c>
      <c r="AE644" s="6">
        <v>20207</v>
      </c>
      <c r="AF644" s="6">
        <v>21056</v>
      </c>
    </row>
    <row r="645" spans="1:32" x14ac:dyDescent="0.35">
      <c r="A645" s="1">
        <v>42060</v>
      </c>
      <c r="B645" s="6">
        <v>4486725</v>
      </c>
      <c r="C645" s="6">
        <v>11037</v>
      </c>
      <c r="D645" s="6">
        <v>5200</v>
      </c>
      <c r="E645" s="6">
        <v>1898</v>
      </c>
      <c r="F645" s="6">
        <v>4423760</v>
      </c>
      <c r="G645" s="6">
        <v>4237251</v>
      </c>
      <c r="H645" s="6">
        <v>2460167</v>
      </c>
      <c r="I645" s="6">
        <v>0</v>
      </c>
      <c r="J645" s="6">
        <v>2346711</v>
      </c>
      <c r="K645" s="6">
        <v>98469</v>
      </c>
      <c r="L645" s="6">
        <v>14987</v>
      </c>
      <c r="M645" s="6">
        <v>0</v>
      </c>
      <c r="N645" s="6">
        <v>1900</v>
      </c>
      <c r="O645" s="6">
        <v>8397</v>
      </c>
      <c r="P645" s="6">
        <v>1147442</v>
      </c>
      <c r="Q645" s="6">
        <v>658967</v>
      </c>
      <c r="R645" s="6">
        <v>643460</v>
      </c>
      <c r="S645" s="6">
        <v>36877</v>
      </c>
      <c r="T645" s="6">
        <v>1740208</v>
      </c>
      <c r="U645" s="6">
        <v>204622</v>
      </c>
      <c r="V645" s="6">
        <v>-18122</v>
      </c>
      <c r="W645" s="6">
        <v>0</v>
      </c>
      <c r="X645" s="6">
        <v>8</v>
      </c>
      <c r="Y645" s="6"/>
      <c r="Z645" s="6"/>
      <c r="AA645" s="6"/>
      <c r="AB645" s="6">
        <v>192</v>
      </c>
      <c r="AC645" s="6">
        <v>2252</v>
      </c>
      <c r="AD645" s="6">
        <v>3</v>
      </c>
      <c r="AE645" s="6">
        <v>20252</v>
      </c>
      <c r="AF645" s="6">
        <v>20446</v>
      </c>
    </row>
    <row r="646" spans="1:32" x14ac:dyDescent="0.35">
      <c r="A646" s="1">
        <v>42067</v>
      </c>
      <c r="B646" s="6">
        <v>4487583</v>
      </c>
      <c r="C646" s="6">
        <v>11037</v>
      </c>
      <c r="D646" s="6">
        <v>5200</v>
      </c>
      <c r="E646" s="6">
        <v>1870</v>
      </c>
      <c r="F646" s="6">
        <v>4423308</v>
      </c>
      <c r="G646" s="6">
        <v>4237130</v>
      </c>
      <c r="H646" s="6">
        <v>2460028</v>
      </c>
      <c r="I646" s="6">
        <v>0</v>
      </c>
      <c r="J646" s="6">
        <v>2346711</v>
      </c>
      <c r="K646" s="6">
        <v>98469</v>
      </c>
      <c r="L646" s="6">
        <v>14849</v>
      </c>
      <c r="M646" s="6">
        <v>1</v>
      </c>
      <c r="N646" s="6">
        <v>1900</v>
      </c>
      <c r="O646" s="6">
        <v>40235</v>
      </c>
      <c r="P646" s="6">
        <v>1125222</v>
      </c>
      <c r="Q646" s="6">
        <v>649302</v>
      </c>
      <c r="R646" s="6">
        <v>643368</v>
      </c>
      <c r="S646" s="6">
        <v>36877</v>
      </c>
      <c r="T646" s="6">
        <v>1740225</v>
      </c>
      <c r="U646" s="6">
        <v>204251</v>
      </c>
      <c r="V646" s="6">
        <v>-18091</v>
      </c>
      <c r="W646" s="6">
        <v>0</v>
      </c>
      <c r="X646" s="6">
        <v>18</v>
      </c>
      <c r="Y646" s="6"/>
      <c r="Z646" s="6"/>
      <c r="AA646" s="6"/>
      <c r="AB646" s="6">
        <v>210</v>
      </c>
      <c r="AC646" s="6">
        <v>2247</v>
      </c>
      <c r="AD646" s="6">
        <v>0</v>
      </c>
      <c r="AE646" s="6">
        <v>19876</v>
      </c>
      <c r="AF646" s="6">
        <v>22147</v>
      </c>
    </row>
    <row r="647" spans="1:32" x14ac:dyDescent="0.35">
      <c r="A647" s="1">
        <v>42074</v>
      </c>
      <c r="B647" s="6">
        <v>4489279</v>
      </c>
      <c r="C647" s="6">
        <v>11037</v>
      </c>
      <c r="D647" s="6">
        <v>5200</v>
      </c>
      <c r="E647" s="6">
        <v>1860</v>
      </c>
      <c r="F647" s="6">
        <v>4422906</v>
      </c>
      <c r="G647" s="6">
        <v>4237037</v>
      </c>
      <c r="H647" s="6">
        <v>2459908</v>
      </c>
      <c r="I647" s="6">
        <v>0</v>
      </c>
      <c r="J647" s="6">
        <v>2346711</v>
      </c>
      <c r="K647" s="6">
        <v>98469</v>
      </c>
      <c r="L647" s="6">
        <v>14728</v>
      </c>
      <c r="M647" s="6">
        <v>1</v>
      </c>
      <c r="N647" s="6">
        <v>1900</v>
      </c>
      <c r="O647" s="6">
        <v>40235</v>
      </c>
      <c r="P647" s="6">
        <v>1125205</v>
      </c>
      <c r="Q647" s="6">
        <v>649278</v>
      </c>
      <c r="R647" s="6">
        <v>643289</v>
      </c>
      <c r="S647" s="6">
        <v>36877</v>
      </c>
      <c r="T647" s="6">
        <v>1740252</v>
      </c>
      <c r="U647" s="6">
        <v>203921</v>
      </c>
      <c r="V647" s="6">
        <v>-18061</v>
      </c>
      <c r="W647" s="6">
        <v>0</v>
      </c>
      <c r="X647" s="6">
        <v>9</v>
      </c>
      <c r="Y647" s="6"/>
      <c r="Z647" s="6"/>
      <c r="AA647" s="6"/>
      <c r="AB647" s="6">
        <v>202</v>
      </c>
      <c r="AC647" s="6">
        <v>2248</v>
      </c>
      <c r="AD647" s="6">
        <v>2</v>
      </c>
      <c r="AE647" s="6">
        <v>19226</v>
      </c>
      <c r="AF647" s="6">
        <v>24905</v>
      </c>
    </row>
    <row r="648" spans="1:32" x14ac:dyDescent="0.35">
      <c r="A648" s="1">
        <v>42081</v>
      </c>
      <c r="B648" s="6">
        <v>4495888</v>
      </c>
      <c r="C648" s="6">
        <v>11037</v>
      </c>
      <c r="D648" s="6">
        <v>5200</v>
      </c>
      <c r="E648" s="6">
        <v>1848</v>
      </c>
      <c r="F648" s="6">
        <v>4428343</v>
      </c>
      <c r="G648" s="6">
        <v>4242578</v>
      </c>
      <c r="H648" s="6">
        <v>2459787</v>
      </c>
      <c r="I648" s="6">
        <v>0</v>
      </c>
      <c r="J648" s="6">
        <v>2346710</v>
      </c>
      <c r="K648" s="6">
        <v>98469</v>
      </c>
      <c r="L648" s="6">
        <v>14608</v>
      </c>
      <c r="M648" s="6">
        <v>1</v>
      </c>
      <c r="N648" s="6">
        <v>1899</v>
      </c>
      <c r="O648" s="6">
        <v>40235</v>
      </c>
      <c r="P648" s="6">
        <v>1125187</v>
      </c>
      <c r="Q648" s="6">
        <v>649255</v>
      </c>
      <c r="R648" s="6">
        <v>643209</v>
      </c>
      <c r="S648" s="6">
        <v>36877</v>
      </c>
      <c r="T648" s="6">
        <v>1745914</v>
      </c>
      <c r="U648" s="6">
        <v>203778</v>
      </c>
      <c r="V648" s="6">
        <v>-18023</v>
      </c>
      <c r="W648" s="6">
        <v>0</v>
      </c>
      <c r="X648" s="6">
        <v>10</v>
      </c>
      <c r="Y648" s="6"/>
      <c r="Z648" s="6"/>
      <c r="AA648" s="6"/>
      <c r="AB648" s="6">
        <v>352</v>
      </c>
      <c r="AC648" s="6">
        <v>2248</v>
      </c>
      <c r="AD648" s="6">
        <v>2</v>
      </c>
      <c r="AE648" s="6">
        <v>19337</v>
      </c>
      <c r="AF648" s="6">
        <v>25829</v>
      </c>
    </row>
    <row r="649" spans="1:32" x14ac:dyDescent="0.35">
      <c r="A649" s="1">
        <v>42088</v>
      </c>
      <c r="B649" s="6">
        <v>4480603</v>
      </c>
      <c r="C649" s="6">
        <v>11037</v>
      </c>
      <c r="D649" s="6">
        <v>5200</v>
      </c>
      <c r="E649" s="6">
        <v>1839</v>
      </c>
      <c r="F649" s="6">
        <v>4413417</v>
      </c>
      <c r="G649" s="6">
        <v>4228452</v>
      </c>
      <c r="H649" s="6">
        <v>2459666</v>
      </c>
      <c r="I649" s="6">
        <v>0</v>
      </c>
      <c r="J649" s="6">
        <v>2346710</v>
      </c>
      <c r="K649" s="6">
        <v>98469</v>
      </c>
      <c r="L649" s="6">
        <v>14487</v>
      </c>
      <c r="M649" s="6">
        <v>1</v>
      </c>
      <c r="N649" s="6">
        <v>1899</v>
      </c>
      <c r="O649" s="6">
        <v>40235</v>
      </c>
      <c r="P649" s="6">
        <v>1125170</v>
      </c>
      <c r="Q649" s="6">
        <v>649232</v>
      </c>
      <c r="R649" s="6">
        <v>643130</v>
      </c>
      <c r="S649" s="6">
        <v>36877</v>
      </c>
      <c r="T649" s="6">
        <v>1731909</v>
      </c>
      <c r="U649" s="6">
        <v>202935</v>
      </c>
      <c r="V649" s="6">
        <v>-17984</v>
      </c>
      <c r="W649" s="6">
        <v>0</v>
      </c>
      <c r="X649" s="6">
        <v>15</v>
      </c>
      <c r="Y649" s="6"/>
      <c r="Z649" s="6"/>
      <c r="AA649" s="6"/>
      <c r="AB649" s="6">
        <v>182</v>
      </c>
      <c r="AC649" s="6">
        <v>2248</v>
      </c>
      <c r="AD649" s="6">
        <v>3</v>
      </c>
      <c r="AE649" s="6">
        <v>19812</v>
      </c>
      <c r="AF649" s="6">
        <v>25174</v>
      </c>
    </row>
    <row r="650" spans="1:32" x14ac:dyDescent="0.35">
      <c r="A650" s="1">
        <v>42095</v>
      </c>
      <c r="B650" s="6">
        <v>4481799</v>
      </c>
      <c r="C650" s="6">
        <v>11037</v>
      </c>
      <c r="D650" s="6">
        <v>5200</v>
      </c>
      <c r="E650" s="6">
        <v>1832</v>
      </c>
      <c r="F650" s="6">
        <v>4413055</v>
      </c>
      <c r="G650" s="6">
        <v>4228384</v>
      </c>
      <c r="H650" s="6">
        <v>2459578</v>
      </c>
      <c r="I650" s="6">
        <v>0</v>
      </c>
      <c r="J650" s="6">
        <v>2346709</v>
      </c>
      <c r="K650" s="6">
        <v>98469</v>
      </c>
      <c r="L650" s="6">
        <v>14400</v>
      </c>
      <c r="M650" s="6">
        <v>1</v>
      </c>
      <c r="N650" s="6">
        <v>1899</v>
      </c>
      <c r="O650" s="6">
        <v>63822</v>
      </c>
      <c r="P650" s="6">
        <v>1112868</v>
      </c>
      <c r="Q650" s="6">
        <v>637917</v>
      </c>
      <c r="R650" s="6">
        <v>643072</v>
      </c>
      <c r="S650" s="6">
        <v>36877</v>
      </c>
      <c r="T650" s="6">
        <v>1731928</v>
      </c>
      <c r="U650" s="6">
        <v>202565</v>
      </c>
      <c r="V650" s="6">
        <v>-17953</v>
      </c>
      <c r="W650" s="6">
        <v>0</v>
      </c>
      <c r="X650" s="6">
        <v>59</v>
      </c>
      <c r="Y650" s="6"/>
      <c r="Z650" s="6"/>
      <c r="AA650" s="6"/>
      <c r="AB650" s="6">
        <v>110</v>
      </c>
      <c r="AC650" s="6">
        <v>2241</v>
      </c>
      <c r="AD650" s="6">
        <v>810</v>
      </c>
      <c r="AE650" s="6">
        <v>19559</v>
      </c>
      <c r="AF650" s="6">
        <v>26264</v>
      </c>
    </row>
    <row r="651" spans="1:32" x14ac:dyDescent="0.35">
      <c r="A651" s="1">
        <v>42102</v>
      </c>
      <c r="B651" s="6">
        <v>4483419</v>
      </c>
      <c r="C651" s="6">
        <v>11037</v>
      </c>
      <c r="D651" s="6">
        <v>5200</v>
      </c>
      <c r="E651" s="6">
        <v>1830</v>
      </c>
      <c r="F651" s="6">
        <v>4412851</v>
      </c>
      <c r="G651" s="6">
        <v>4228500</v>
      </c>
      <c r="H651" s="6">
        <v>2459693</v>
      </c>
      <c r="I651" s="6">
        <v>0</v>
      </c>
      <c r="J651" s="6">
        <v>2346709</v>
      </c>
      <c r="K651" s="6">
        <v>98469</v>
      </c>
      <c r="L651" s="6">
        <v>14515</v>
      </c>
      <c r="M651" s="6">
        <v>1</v>
      </c>
      <c r="N651" s="6">
        <v>1899</v>
      </c>
      <c r="O651" s="6">
        <v>63822</v>
      </c>
      <c r="P651" s="6">
        <v>1112884</v>
      </c>
      <c r="Q651" s="6">
        <v>637939</v>
      </c>
      <c r="R651" s="6">
        <v>643148</v>
      </c>
      <c r="S651" s="6">
        <v>36877</v>
      </c>
      <c r="T651" s="6">
        <v>1731930</v>
      </c>
      <c r="U651" s="6">
        <v>202242</v>
      </c>
      <c r="V651" s="6">
        <v>-17923</v>
      </c>
      <c r="W651" s="6">
        <v>0</v>
      </c>
      <c r="X651" s="6">
        <v>32</v>
      </c>
      <c r="Y651" s="6"/>
      <c r="Z651" s="6"/>
      <c r="AA651" s="6"/>
      <c r="AB651" s="6">
        <v>98</v>
      </c>
      <c r="AC651" s="6">
        <v>2242</v>
      </c>
      <c r="AD651" s="6">
        <v>0</v>
      </c>
      <c r="AE651" s="6">
        <v>19592</v>
      </c>
      <c r="AF651" s="6">
        <v>28878</v>
      </c>
    </row>
    <row r="652" spans="1:32" x14ac:dyDescent="0.35">
      <c r="A652" s="1">
        <v>42109</v>
      </c>
      <c r="B652" s="6">
        <v>4485366</v>
      </c>
      <c r="C652" s="6">
        <v>11037</v>
      </c>
      <c r="D652" s="6">
        <v>5200</v>
      </c>
      <c r="E652" s="6">
        <v>1813</v>
      </c>
      <c r="F652" s="6">
        <v>4414410</v>
      </c>
      <c r="G652" s="6">
        <v>4230135</v>
      </c>
      <c r="H652" s="6">
        <v>2459806</v>
      </c>
      <c r="I652" s="6">
        <v>0</v>
      </c>
      <c r="J652" s="6">
        <v>2346709</v>
      </c>
      <c r="K652" s="6">
        <v>98468</v>
      </c>
      <c r="L652" s="6">
        <v>14629</v>
      </c>
      <c r="M652" s="6">
        <v>450</v>
      </c>
      <c r="N652" s="6">
        <v>1449</v>
      </c>
      <c r="O652" s="6">
        <v>63822</v>
      </c>
      <c r="P652" s="6">
        <v>1112901</v>
      </c>
      <c r="Q652" s="6">
        <v>637961</v>
      </c>
      <c r="R652" s="6">
        <v>643223</v>
      </c>
      <c r="S652" s="6">
        <v>35895</v>
      </c>
      <c r="T652" s="6">
        <v>1734434</v>
      </c>
      <c r="U652" s="6">
        <v>202119</v>
      </c>
      <c r="V652" s="6">
        <v>-17882</v>
      </c>
      <c r="W652" s="6">
        <v>0</v>
      </c>
      <c r="X652" s="6">
        <v>38</v>
      </c>
      <c r="Y652" s="6"/>
      <c r="Z652" s="6"/>
      <c r="AA652" s="6"/>
      <c r="AB652" s="6">
        <v>96</v>
      </c>
      <c r="AC652" s="6">
        <v>2243</v>
      </c>
      <c r="AD652" s="6">
        <v>0</v>
      </c>
      <c r="AE652" s="6">
        <v>19398</v>
      </c>
      <c r="AF652" s="6">
        <v>29476</v>
      </c>
    </row>
    <row r="653" spans="1:32" x14ac:dyDescent="0.35">
      <c r="A653" s="1">
        <v>42116</v>
      </c>
      <c r="B653" s="6">
        <v>4489695</v>
      </c>
      <c r="C653" s="6">
        <v>11037</v>
      </c>
      <c r="D653" s="6">
        <v>5200</v>
      </c>
      <c r="E653" s="6">
        <v>1809</v>
      </c>
      <c r="F653" s="6">
        <v>4416872</v>
      </c>
      <c r="G653" s="6">
        <v>4232885</v>
      </c>
      <c r="H653" s="6">
        <v>2459920</v>
      </c>
      <c r="I653" s="6">
        <v>0</v>
      </c>
      <c r="J653" s="6">
        <v>2346709</v>
      </c>
      <c r="K653" s="6">
        <v>98468</v>
      </c>
      <c r="L653" s="6">
        <v>14743</v>
      </c>
      <c r="M653" s="6">
        <v>450</v>
      </c>
      <c r="N653" s="6">
        <v>1449</v>
      </c>
      <c r="O653" s="6">
        <v>64211</v>
      </c>
      <c r="P653" s="6">
        <v>1112528</v>
      </c>
      <c r="Q653" s="6">
        <v>637983</v>
      </c>
      <c r="R653" s="6">
        <v>643299</v>
      </c>
      <c r="S653" s="6">
        <v>35895</v>
      </c>
      <c r="T653" s="6">
        <v>1737070</v>
      </c>
      <c r="U653" s="6">
        <v>201775</v>
      </c>
      <c r="V653" s="6">
        <v>-17850</v>
      </c>
      <c r="W653" s="6">
        <v>0</v>
      </c>
      <c r="X653" s="6">
        <v>61</v>
      </c>
      <c r="Y653" s="6"/>
      <c r="Z653" s="6"/>
      <c r="AA653" s="6"/>
      <c r="AB653" s="6">
        <v>80</v>
      </c>
      <c r="AC653" s="6">
        <v>2245</v>
      </c>
      <c r="AD653" s="6">
        <v>0</v>
      </c>
      <c r="AE653" s="6">
        <v>19500</v>
      </c>
      <c r="AF653" s="6">
        <v>31259</v>
      </c>
    </row>
    <row r="654" spans="1:32" x14ac:dyDescent="0.35">
      <c r="A654" s="1">
        <v>42123</v>
      </c>
      <c r="B654" s="6">
        <v>4471499</v>
      </c>
      <c r="C654" s="6">
        <v>11037</v>
      </c>
      <c r="D654" s="6">
        <v>5200</v>
      </c>
      <c r="E654" s="6">
        <v>1801</v>
      </c>
      <c r="F654" s="6">
        <v>4397889</v>
      </c>
      <c r="G654" s="6">
        <v>4214779</v>
      </c>
      <c r="H654" s="6">
        <v>2460034</v>
      </c>
      <c r="I654" s="6">
        <v>0</v>
      </c>
      <c r="J654" s="6">
        <v>2346709</v>
      </c>
      <c r="K654" s="6">
        <v>98468</v>
      </c>
      <c r="L654" s="6">
        <v>14858</v>
      </c>
      <c r="M654" s="6">
        <v>450</v>
      </c>
      <c r="N654" s="6">
        <v>1449</v>
      </c>
      <c r="O654" s="6">
        <v>64212</v>
      </c>
      <c r="P654" s="6">
        <v>1112544</v>
      </c>
      <c r="Q654" s="6">
        <v>638005</v>
      </c>
      <c r="R654" s="6">
        <v>643374</v>
      </c>
      <c r="S654" s="6">
        <v>35895</v>
      </c>
      <c r="T654" s="6">
        <v>1718850</v>
      </c>
      <c r="U654" s="6">
        <v>200860</v>
      </c>
      <c r="V654" s="6">
        <v>-17811</v>
      </c>
      <c r="W654" s="6">
        <v>0</v>
      </c>
      <c r="X654" s="6">
        <v>61</v>
      </c>
      <c r="Y654" s="6"/>
      <c r="Z654" s="6"/>
      <c r="AA654" s="6"/>
      <c r="AB654" s="6">
        <v>59</v>
      </c>
      <c r="AC654" s="6">
        <v>2244</v>
      </c>
      <c r="AD654" s="6">
        <v>0</v>
      </c>
      <c r="AE654" s="6">
        <v>20057</v>
      </c>
      <c r="AF654" s="6">
        <v>31522</v>
      </c>
    </row>
    <row r="655" spans="1:32" x14ac:dyDescent="0.35">
      <c r="A655" s="1">
        <v>42130</v>
      </c>
      <c r="B655" s="6">
        <v>4472703</v>
      </c>
      <c r="C655" s="6">
        <v>11037</v>
      </c>
      <c r="D655" s="6">
        <v>5200</v>
      </c>
      <c r="E655" s="6">
        <v>1811</v>
      </c>
      <c r="F655" s="6">
        <v>4397709</v>
      </c>
      <c r="G655" s="6">
        <v>4214936</v>
      </c>
      <c r="H655" s="6">
        <v>2460182</v>
      </c>
      <c r="I655" s="6">
        <v>0</v>
      </c>
      <c r="J655" s="6">
        <v>2346643</v>
      </c>
      <c r="K655" s="6">
        <v>98534</v>
      </c>
      <c r="L655" s="6">
        <v>15005</v>
      </c>
      <c r="M655" s="6">
        <v>1448</v>
      </c>
      <c r="N655" s="6">
        <v>2</v>
      </c>
      <c r="O655" s="6">
        <v>91583</v>
      </c>
      <c r="P655" s="6">
        <v>1090704</v>
      </c>
      <c r="Q655" s="6">
        <v>632974</v>
      </c>
      <c r="R655" s="6">
        <v>643472</v>
      </c>
      <c r="S655" s="6">
        <v>35895</v>
      </c>
      <c r="T655" s="6">
        <v>1718860</v>
      </c>
      <c r="U655" s="6">
        <v>200492</v>
      </c>
      <c r="V655" s="6">
        <v>-17780</v>
      </c>
      <c r="W655" s="6">
        <v>0</v>
      </c>
      <c r="X655" s="6">
        <v>61</v>
      </c>
      <c r="Y655" s="6"/>
      <c r="Z655" s="6"/>
      <c r="AA655" s="6"/>
      <c r="AB655" s="6">
        <v>64</v>
      </c>
      <c r="AC655" s="6">
        <v>2239</v>
      </c>
      <c r="AD655" s="6">
        <v>0</v>
      </c>
      <c r="AE655" s="6">
        <v>20205</v>
      </c>
      <c r="AF655" s="6">
        <v>32752</v>
      </c>
    </row>
    <row r="656" spans="1:32" x14ac:dyDescent="0.35">
      <c r="A656" s="1">
        <v>42137</v>
      </c>
      <c r="B656" s="6">
        <v>4501188</v>
      </c>
      <c r="C656" s="6">
        <v>11037</v>
      </c>
      <c r="D656" s="6">
        <v>5200</v>
      </c>
      <c r="E656" s="6">
        <v>1820</v>
      </c>
      <c r="F656" s="6">
        <v>4423414</v>
      </c>
      <c r="G656" s="6">
        <v>4240069</v>
      </c>
      <c r="H656" s="6">
        <v>2460334</v>
      </c>
      <c r="I656" s="6">
        <v>0</v>
      </c>
      <c r="J656" s="6">
        <v>2346643</v>
      </c>
      <c r="K656" s="6">
        <v>98534</v>
      </c>
      <c r="L656" s="6">
        <v>15157</v>
      </c>
      <c r="M656" s="6">
        <v>1448</v>
      </c>
      <c r="N656" s="6">
        <v>2</v>
      </c>
      <c r="O656" s="6">
        <v>91583</v>
      </c>
      <c r="P656" s="6">
        <v>1090726</v>
      </c>
      <c r="Q656" s="6">
        <v>633003</v>
      </c>
      <c r="R656" s="6">
        <v>643572</v>
      </c>
      <c r="S656" s="6">
        <v>35895</v>
      </c>
      <c r="T656" s="6">
        <v>1743840</v>
      </c>
      <c r="U656" s="6">
        <v>201011</v>
      </c>
      <c r="V656" s="6">
        <v>-17750</v>
      </c>
      <c r="W656" s="6">
        <v>0</v>
      </c>
      <c r="X656" s="6">
        <v>85</v>
      </c>
      <c r="Y656" s="6"/>
      <c r="Z656" s="6"/>
      <c r="AA656" s="6"/>
      <c r="AB656" s="6">
        <v>63</v>
      </c>
      <c r="AC656" s="6">
        <v>2239</v>
      </c>
      <c r="AD656" s="6">
        <v>0</v>
      </c>
      <c r="AE656" s="6">
        <v>20257</v>
      </c>
      <c r="AF656" s="6">
        <v>35461</v>
      </c>
    </row>
    <row r="657" spans="1:32" x14ac:dyDescent="0.35">
      <c r="A657" s="1">
        <v>42144</v>
      </c>
      <c r="B657" s="6">
        <v>4480384</v>
      </c>
      <c r="C657" s="6">
        <v>11037</v>
      </c>
      <c r="D657" s="6">
        <v>5200</v>
      </c>
      <c r="E657" s="6">
        <v>1816</v>
      </c>
      <c r="F657" s="6">
        <v>4417304</v>
      </c>
      <c r="G657" s="6">
        <v>4233844</v>
      </c>
      <c r="H657" s="6">
        <v>2460486</v>
      </c>
      <c r="I657" s="6">
        <v>0</v>
      </c>
      <c r="J657" s="6">
        <v>2346643</v>
      </c>
      <c r="K657" s="6">
        <v>98534</v>
      </c>
      <c r="L657" s="6">
        <v>15309</v>
      </c>
      <c r="M657" s="6">
        <v>0</v>
      </c>
      <c r="N657" s="6">
        <v>1289</v>
      </c>
      <c r="O657" s="6">
        <v>104318</v>
      </c>
      <c r="P657" s="6">
        <v>1119196</v>
      </c>
      <c r="Q657" s="6">
        <v>591648</v>
      </c>
      <c r="R657" s="6">
        <v>644035</v>
      </c>
      <c r="S657" s="6">
        <v>35895</v>
      </c>
      <c r="T657" s="6">
        <v>1737463</v>
      </c>
      <c r="U657" s="6">
        <v>200464</v>
      </c>
      <c r="V657" s="6">
        <v>-17719</v>
      </c>
      <c r="W657" s="6">
        <v>620</v>
      </c>
      <c r="X657" s="6">
        <v>95</v>
      </c>
      <c r="Y657" s="6"/>
      <c r="Z657" s="6"/>
      <c r="AA657" s="6"/>
      <c r="AB657" s="6">
        <v>81</v>
      </c>
      <c r="AC657" s="6">
        <v>2241</v>
      </c>
      <c r="AD657" s="6">
        <v>0</v>
      </c>
      <c r="AE657" s="6">
        <v>19796</v>
      </c>
      <c r="AF657" s="6">
        <v>21213</v>
      </c>
    </row>
    <row r="658" spans="1:32" x14ac:dyDescent="0.35">
      <c r="A658" s="1">
        <v>42151</v>
      </c>
      <c r="B658" s="6">
        <v>4463981</v>
      </c>
      <c r="C658" s="6">
        <v>11037</v>
      </c>
      <c r="D658" s="6">
        <v>5200</v>
      </c>
      <c r="E658" s="6">
        <v>1790</v>
      </c>
      <c r="F658" s="6">
        <v>4401029</v>
      </c>
      <c r="G658" s="6">
        <v>4218968</v>
      </c>
      <c r="H658" s="6">
        <v>2460639</v>
      </c>
      <c r="I658" s="6">
        <v>0</v>
      </c>
      <c r="J658" s="6">
        <v>2346643</v>
      </c>
      <c r="K658" s="6">
        <v>98534</v>
      </c>
      <c r="L658" s="6">
        <v>15462</v>
      </c>
      <c r="M658" s="6">
        <v>0</v>
      </c>
      <c r="N658" s="6">
        <v>1289</v>
      </c>
      <c r="O658" s="6">
        <v>104319</v>
      </c>
      <c r="P658" s="6">
        <v>1119218</v>
      </c>
      <c r="Q658" s="6">
        <v>591678</v>
      </c>
      <c r="R658" s="6">
        <v>644136</v>
      </c>
      <c r="S658" s="6">
        <v>35895</v>
      </c>
      <c r="T658" s="6">
        <v>1722434</v>
      </c>
      <c r="U658" s="6">
        <v>199646</v>
      </c>
      <c r="V658" s="6">
        <v>-17681</v>
      </c>
      <c r="W658" s="6">
        <v>0</v>
      </c>
      <c r="X658" s="6">
        <v>96</v>
      </c>
      <c r="Y658" s="6"/>
      <c r="Z658" s="6"/>
      <c r="AA658" s="6"/>
      <c r="AB658" s="6">
        <v>93</v>
      </c>
      <c r="AC658" s="6">
        <v>2241</v>
      </c>
      <c r="AD658" s="6">
        <v>2</v>
      </c>
      <c r="AE658" s="6">
        <v>19434</v>
      </c>
      <c r="AF658" s="6">
        <v>21459</v>
      </c>
    </row>
    <row r="659" spans="1:32" x14ac:dyDescent="0.35">
      <c r="A659" s="1">
        <v>42158</v>
      </c>
      <c r="B659" s="6">
        <v>4465360</v>
      </c>
      <c r="C659" s="6">
        <v>11037</v>
      </c>
      <c r="D659" s="6">
        <v>5200</v>
      </c>
      <c r="E659" s="6">
        <v>1795</v>
      </c>
      <c r="F659" s="6">
        <v>4400830</v>
      </c>
      <c r="G659" s="6">
        <v>4219080</v>
      </c>
      <c r="H659" s="6">
        <v>2460749</v>
      </c>
      <c r="I659" s="6">
        <v>0</v>
      </c>
      <c r="J659" s="6">
        <v>2346643</v>
      </c>
      <c r="K659" s="6">
        <v>98534</v>
      </c>
      <c r="L659" s="6">
        <v>15572</v>
      </c>
      <c r="M659" s="6">
        <v>0</v>
      </c>
      <c r="N659" s="6">
        <v>1289</v>
      </c>
      <c r="O659" s="6">
        <v>129567</v>
      </c>
      <c r="P659" s="6">
        <v>1098741</v>
      </c>
      <c r="Q659" s="6">
        <v>586944</v>
      </c>
      <c r="R659" s="6">
        <v>644209</v>
      </c>
      <c r="S659" s="6">
        <v>35895</v>
      </c>
      <c r="T659" s="6">
        <v>1722436</v>
      </c>
      <c r="U659" s="6">
        <v>199276</v>
      </c>
      <c r="V659" s="6">
        <v>-17650</v>
      </c>
      <c r="W659" s="6">
        <v>0</v>
      </c>
      <c r="X659" s="6">
        <v>124</v>
      </c>
      <c r="Y659" s="6"/>
      <c r="Z659" s="6"/>
      <c r="AA659" s="6"/>
      <c r="AB659" s="6">
        <v>80</v>
      </c>
      <c r="AC659" s="6">
        <v>2237</v>
      </c>
      <c r="AD659" s="6">
        <v>0</v>
      </c>
      <c r="AE659" s="6">
        <v>19850</v>
      </c>
      <c r="AF659" s="6">
        <v>22631</v>
      </c>
    </row>
    <row r="660" spans="1:32" x14ac:dyDescent="0.35">
      <c r="A660" s="1">
        <v>42165</v>
      </c>
      <c r="B660" s="6">
        <v>4468005</v>
      </c>
      <c r="C660" s="6">
        <v>11037</v>
      </c>
      <c r="D660" s="6">
        <v>5200</v>
      </c>
      <c r="E660" s="6">
        <v>1829</v>
      </c>
      <c r="F660" s="6">
        <v>4400599</v>
      </c>
      <c r="G660" s="6">
        <v>4219135</v>
      </c>
      <c r="H660" s="6">
        <v>2460803</v>
      </c>
      <c r="I660" s="6">
        <v>0</v>
      </c>
      <c r="J660" s="6">
        <v>2346643</v>
      </c>
      <c r="K660" s="6">
        <v>98534</v>
      </c>
      <c r="L660" s="6">
        <v>15626</v>
      </c>
      <c r="M660" s="6">
        <v>0</v>
      </c>
      <c r="N660" s="6">
        <v>1289</v>
      </c>
      <c r="O660" s="6">
        <v>129567</v>
      </c>
      <c r="P660" s="6">
        <v>1098748</v>
      </c>
      <c r="Q660" s="6">
        <v>586954</v>
      </c>
      <c r="R660" s="6">
        <v>644244</v>
      </c>
      <c r="S660" s="6">
        <v>35895</v>
      </c>
      <c r="T660" s="6">
        <v>1722437</v>
      </c>
      <c r="U660" s="6">
        <v>198952</v>
      </c>
      <c r="V660" s="6">
        <v>-17620</v>
      </c>
      <c r="W660" s="6">
        <v>0</v>
      </c>
      <c r="X660" s="6">
        <v>132</v>
      </c>
      <c r="Y660" s="6"/>
      <c r="Z660" s="6"/>
      <c r="AA660" s="6"/>
      <c r="AB660" s="6">
        <v>82</v>
      </c>
      <c r="AC660" s="6">
        <v>2240</v>
      </c>
      <c r="AD660" s="6">
        <v>0</v>
      </c>
      <c r="AE660" s="6">
        <v>19956</v>
      </c>
      <c r="AF660" s="6">
        <v>25367</v>
      </c>
    </row>
    <row r="661" spans="1:32" x14ac:dyDescent="0.35">
      <c r="A661" s="1">
        <v>42172</v>
      </c>
      <c r="B661" s="6">
        <v>4487817</v>
      </c>
      <c r="C661" s="6">
        <v>11037</v>
      </c>
      <c r="D661" s="6">
        <v>5200</v>
      </c>
      <c r="E661" s="6">
        <v>1844</v>
      </c>
      <c r="F661" s="6">
        <v>4419378</v>
      </c>
      <c r="G661" s="6">
        <v>4237629</v>
      </c>
      <c r="H661" s="6">
        <v>2460857</v>
      </c>
      <c r="I661" s="6">
        <v>0</v>
      </c>
      <c r="J661" s="6">
        <v>2346642</v>
      </c>
      <c r="K661" s="6">
        <v>98534</v>
      </c>
      <c r="L661" s="6">
        <v>15681</v>
      </c>
      <c r="M661" s="6">
        <v>1</v>
      </c>
      <c r="N661" s="6">
        <v>1288</v>
      </c>
      <c r="O661" s="6">
        <v>129567</v>
      </c>
      <c r="P661" s="6">
        <v>1098756</v>
      </c>
      <c r="Q661" s="6">
        <v>586965</v>
      </c>
      <c r="R661" s="6">
        <v>644280</v>
      </c>
      <c r="S661" s="6">
        <v>35895</v>
      </c>
      <c r="T661" s="6">
        <v>1740877</v>
      </c>
      <c r="U661" s="6">
        <v>199138</v>
      </c>
      <c r="V661" s="6">
        <v>-17582</v>
      </c>
      <c r="W661" s="6">
        <v>0</v>
      </c>
      <c r="X661" s="6">
        <v>193</v>
      </c>
      <c r="Y661" s="6"/>
      <c r="Z661" s="6"/>
      <c r="AA661" s="6"/>
      <c r="AB661" s="6">
        <v>89</v>
      </c>
      <c r="AC661" s="6">
        <v>2243</v>
      </c>
      <c r="AD661" s="6">
        <v>114</v>
      </c>
      <c r="AE661" s="6">
        <v>19794</v>
      </c>
      <c r="AF661" s="6">
        <v>26422</v>
      </c>
    </row>
    <row r="662" spans="1:32" x14ac:dyDescent="0.35">
      <c r="A662" s="1">
        <v>42179</v>
      </c>
      <c r="B662" s="6">
        <v>4495055</v>
      </c>
      <c r="C662" s="6">
        <v>11037</v>
      </c>
      <c r="D662" s="6">
        <v>5200</v>
      </c>
      <c r="E662" s="6">
        <v>1867</v>
      </c>
      <c r="F662" s="6">
        <v>4424774</v>
      </c>
      <c r="G662" s="6">
        <v>4243199</v>
      </c>
      <c r="H662" s="6">
        <v>2460911</v>
      </c>
      <c r="I662" s="6">
        <v>0</v>
      </c>
      <c r="J662" s="6">
        <v>2346642</v>
      </c>
      <c r="K662" s="6">
        <v>98534</v>
      </c>
      <c r="L662" s="6">
        <v>15735</v>
      </c>
      <c r="M662" s="6">
        <v>1</v>
      </c>
      <c r="N662" s="6">
        <v>1288</v>
      </c>
      <c r="O662" s="6">
        <v>129567</v>
      </c>
      <c r="P662" s="6">
        <v>1098764</v>
      </c>
      <c r="Q662" s="6">
        <v>586975</v>
      </c>
      <c r="R662" s="6">
        <v>644316</v>
      </c>
      <c r="S662" s="6">
        <v>35895</v>
      </c>
      <c r="T662" s="6">
        <v>1746393</v>
      </c>
      <c r="U662" s="6">
        <v>198918</v>
      </c>
      <c r="V662" s="6">
        <v>-17550</v>
      </c>
      <c r="W662" s="6">
        <v>0</v>
      </c>
      <c r="X662" s="6">
        <v>207</v>
      </c>
      <c r="Y662" s="6"/>
      <c r="Z662" s="6"/>
      <c r="AA662" s="6"/>
      <c r="AB662" s="6">
        <v>72</v>
      </c>
      <c r="AC662" s="6">
        <v>2243</v>
      </c>
      <c r="AD662" s="6">
        <v>115</v>
      </c>
      <c r="AE662" s="6">
        <v>19723</v>
      </c>
      <c r="AF662" s="6">
        <v>28328</v>
      </c>
    </row>
    <row r="663" spans="1:32" x14ac:dyDescent="0.35">
      <c r="A663" s="1">
        <v>42186</v>
      </c>
      <c r="B663" s="6">
        <v>4479130</v>
      </c>
      <c r="C663" s="6">
        <v>11037</v>
      </c>
      <c r="D663" s="6">
        <v>5200</v>
      </c>
      <c r="E663" s="6">
        <v>1870</v>
      </c>
      <c r="F663" s="6">
        <v>4409700</v>
      </c>
      <c r="G663" s="6">
        <v>4228931</v>
      </c>
      <c r="H663" s="6">
        <v>2460975</v>
      </c>
      <c r="I663" s="6">
        <v>0</v>
      </c>
      <c r="J663" s="6">
        <v>2346641</v>
      </c>
      <c r="K663" s="6">
        <v>98534</v>
      </c>
      <c r="L663" s="6">
        <v>15800</v>
      </c>
      <c r="M663" s="6">
        <v>0</v>
      </c>
      <c r="N663" s="6">
        <v>1288</v>
      </c>
      <c r="O663" s="6">
        <v>143134</v>
      </c>
      <c r="P663" s="6">
        <v>1098074</v>
      </c>
      <c r="Q663" s="6">
        <v>574120</v>
      </c>
      <c r="R663" s="6">
        <v>644359</v>
      </c>
      <c r="S663" s="6">
        <v>35895</v>
      </c>
      <c r="T663" s="6">
        <v>1732060</v>
      </c>
      <c r="U663" s="6">
        <v>198111</v>
      </c>
      <c r="V663" s="6">
        <v>-17512</v>
      </c>
      <c r="W663" s="6">
        <v>0</v>
      </c>
      <c r="X663" s="6">
        <v>170</v>
      </c>
      <c r="Y663" s="6"/>
      <c r="Z663" s="6"/>
      <c r="AA663" s="6"/>
      <c r="AB663" s="6">
        <v>91</v>
      </c>
      <c r="AC663" s="6">
        <v>2236</v>
      </c>
      <c r="AD663" s="6">
        <v>635</v>
      </c>
      <c r="AE663" s="6">
        <v>19775</v>
      </c>
      <c r="AF663" s="6">
        <v>26889</v>
      </c>
    </row>
    <row r="664" spans="1:32" x14ac:dyDescent="0.35">
      <c r="A664" s="1">
        <v>42193</v>
      </c>
      <c r="B664" s="6">
        <v>4481289</v>
      </c>
      <c r="C664" s="6">
        <v>11037</v>
      </c>
      <c r="D664" s="6">
        <v>5200</v>
      </c>
      <c r="E664" s="6">
        <v>1882</v>
      </c>
      <c r="F664" s="6">
        <v>4409539</v>
      </c>
      <c r="G664" s="6">
        <v>4229062</v>
      </c>
      <c r="H664" s="6">
        <v>2461107</v>
      </c>
      <c r="I664" s="6">
        <v>0</v>
      </c>
      <c r="J664" s="6">
        <v>2346641</v>
      </c>
      <c r="K664" s="6">
        <v>98534</v>
      </c>
      <c r="L664" s="6">
        <v>15931</v>
      </c>
      <c r="M664" s="6">
        <v>0</v>
      </c>
      <c r="N664" s="6">
        <v>1289</v>
      </c>
      <c r="O664" s="6">
        <v>143134</v>
      </c>
      <c r="P664" s="6">
        <v>1098093</v>
      </c>
      <c r="Q664" s="6">
        <v>574145</v>
      </c>
      <c r="R664" s="6">
        <v>644446</v>
      </c>
      <c r="S664" s="6">
        <v>35895</v>
      </c>
      <c r="T664" s="6">
        <v>1732060</v>
      </c>
      <c r="U664" s="6">
        <v>197786</v>
      </c>
      <c r="V664" s="6">
        <v>-17482</v>
      </c>
      <c r="W664" s="6">
        <v>0</v>
      </c>
      <c r="X664" s="6">
        <v>172</v>
      </c>
      <c r="Y664" s="6"/>
      <c r="Z664" s="6"/>
      <c r="AA664" s="6"/>
      <c r="AB664" s="6">
        <v>68</v>
      </c>
      <c r="AC664" s="6">
        <v>2240</v>
      </c>
      <c r="AD664" s="6">
        <v>155</v>
      </c>
      <c r="AE664" s="6">
        <v>19840</v>
      </c>
      <c r="AF664" s="6">
        <v>29631</v>
      </c>
    </row>
    <row r="665" spans="1:32" x14ac:dyDescent="0.35">
      <c r="A665" s="1">
        <v>42200</v>
      </c>
      <c r="B665" s="6">
        <v>4493605</v>
      </c>
      <c r="C665" s="6">
        <v>11037</v>
      </c>
      <c r="D665" s="6">
        <v>5200</v>
      </c>
      <c r="E665" s="6">
        <v>1882</v>
      </c>
      <c r="F665" s="6">
        <v>4421443</v>
      </c>
      <c r="G665" s="6">
        <v>4240941</v>
      </c>
      <c r="H665" s="6">
        <v>2461238</v>
      </c>
      <c r="I665" s="6">
        <v>0</v>
      </c>
      <c r="J665" s="6">
        <v>2346641</v>
      </c>
      <c r="K665" s="6">
        <v>98534</v>
      </c>
      <c r="L665" s="6">
        <v>16063</v>
      </c>
      <c r="M665" s="6">
        <v>0</v>
      </c>
      <c r="N665" s="6">
        <v>1289</v>
      </c>
      <c r="O665" s="6">
        <v>143134</v>
      </c>
      <c r="P665" s="6">
        <v>1102998</v>
      </c>
      <c r="Q665" s="6">
        <v>569285</v>
      </c>
      <c r="R665" s="6">
        <v>644533</v>
      </c>
      <c r="S665" s="6">
        <v>35895</v>
      </c>
      <c r="T665" s="6">
        <v>1743807</v>
      </c>
      <c r="U665" s="6">
        <v>197777</v>
      </c>
      <c r="V665" s="6">
        <v>-17459</v>
      </c>
      <c r="W665" s="6">
        <v>0</v>
      </c>
      <c r="X665" s="6">
        <v>185</v>
      </c>
      <c r="Y665" s="6"/>
      <c r="Z665" s="6"/>
      <c r="AA665" s="6"/>
      <c r="AB665" s="6">
        <v>77</v>
      </c>
      <c r="AC665" s="6">
        <v>2241</v>
      </c>
      <c r="AD665" s="6">
        <v>308</v>
      </c>
      <c r="AE665" s="6">
        <v>19514</v>
      </c>
      <c r="AF665" s="6">
        <v>30204</v>
      </c>
    </row>
    <row r="666" spans="1:32" x14ac:dyDescent="0.35">
      <c r="A666" s="1">
        <v>42207</v>
      </c>
      <c r="B666" s="6">
        <v>4500503</v>
      </c>
      <c r="C666" s="6">
        <v>11037</v>
      </c>
      <c r="D666" s="6">
        <v>5200</v>
      </c>
      <c r="E666" s="6">
        <v>1885</v>
      </c>
      <c r="F666" s="6">
        <v>4426195</v>
      </c>
      <c r="G666" s="6">
        <v>4245923</v>
      </c>
      <c r="H666" s="6">
        <v>2461370</v>
      </c>
      <c r="I666" s="6">
        <v>0</v>
      </c>
      <c r="J666" s="6">
        <v>2346641</v>
      </c>
      <c r="K666" s="6">
        <v>98534</v>
      </c>
      <c r="L666" s="6">
        <v>16194</v>
      </c>
      <c r="M666" s="6">
        <v>1</v>
      </c>
      <c r="N666" s="6">
        <v>1288</v>
      </c>
      <c r="O666" s="6">
        <v>146748</v>
      </c>
      <c r="P666" s="6">
        <v>1099409</v>
      </c>
      <c r="Q666" s="6">
        <v>569305</v>
      </c>
      <c r="R666" s="6">
        <v>644620</v>
      </c>
      <c r="S666" s="6">
        <v>35093</v>
      </c>
      <c r="T666" s="6">
        <v>1749460</v>
      </c>
      <c r="U666" s="6">
        <v>197502</v>
      </c>
      <c r="V666" s="6">
        <v>-17428</v>
      </c>
      <c r="W666" s="6">
        <v>0</v>
      </c>
      <c r="X666" s="6">
        <v>197</v>
      </c>
      <c r="Y666" s="6"/>
      <c r="Z666" s="6"/>
      <c r="AA666" s="6"/>
      <c r="AB666" s="6">
        <v>57</v>
      </c>
      <c r="AC666" s="6">
        <v>2241</v>
      </c>
      <c r="AD666" s="6">
        <v>659</v>
      </c>
      <c r="AE666" s="6">
        <v>19414</v>
      </c>
      <c r="AF666" s="6">
        <v>32118</v>
      </c>
    </row>
    <row r="667" spans="1:32" x14ac:dyDescent="0.35">
      <c r="A667" s="1">
        <v>42214</v>
      </c>
      <c r="B667" s="6">
        <v>4485480</v>
      </c>
      <c r="C667" s="6">
        <v>11037</v>
      </c>
      <c r="D667" s="6">
        <v>5200</v>
      </c>
      <c r="E667" s="6">
        <v>1883</v>
      </c>
      <c r="F667" s="6">
        <v>4410915</v>
      </c>
      <c r="G667" s="6">
        <v>4231429</v>
      </c>
      <c r="H667" s="6">
        <v>2461502</v>
      </c>
      <c r="I667" s="6">
        <v>0</v>
      </c>
      <c r="J667" s="6">
        <v>2346641</v>
      </c>
      <c r="K667" s="6">
        <v>98534</v>
      </c>
      <c r="L667" s="6">
        <v>16326</v>
      </c>
      <c r="M667" s="6">
        <v>1</v>
      </c>
      <c r="N667" s="6">
        <v>1288</v>
      </c>
      <c r="O667" s="6">
        <v>146753</v>
      </c>
      <c r="P667" s="6">
        <v>1099429</v>
      </c>
      <c r="Q667" s="6">
        <v>569324</v>
      </c>
      <c r="R667" s="6">
        <v>644707</v>
      </c>
      <c r="S667" s="6">
        <v>35093</v>
      </c>
      <c r="T667" s="6">
        <v>1734834</v>
      </c>
      <c r="U667" s="6">
        <v>196679</v>
      </c>
      <c r="V667" s="6">
        <v>-17389</v>
      </c>
      <c r="W667" s="6">
        <v>0</v>
      </c>
      <c r="X667" s="6">
        <v>197</v>
      </c>
      <c r="Y667" s="6"/>
      <c r="Z667" s="6"/>
      <c r="AA667" s="6"/>
      <c r="AB667" s="6">
        <v>244</v>
      </c>
      <c r="AC667" s="6">
        <v>2242</v>
      </c>
      <c r="AD667" s="6">
        <v>359</v>
      </c>
      <c r="AE667" s="6">
        <v>19583</v>
      </c>
      <c r="AF667" s="6">
        <v>32315</v>
      </c>
    </row>
    <row r="668" spans="1:32" x14ac:dyDescent="0.35">
      <c r="A668" s="1">
        <v>42221</v>
      </c>
      <c r="B668" s="6">
        <v>4486329</v>
      </c>
      <c r="C668" s="6">
        <v>11037</v>
      </c>
      <c r="D668" s="6">
        <v>5200</v>
      </c>
      <c r="E668" s="6">
        <v>1878</v>
      </c>
      <c r="F668" s="6">
        <v>4410709</v>
      </c>
      <c r="G668" s="6">
        <v>4231557</v>
      </c>
      <c r="H668" s="6">
        <v>2461603</v>
      </c>
      <c r="I668" s="6">
        <v>0</v>
      </c>
      <c r="J668" s="6">
        <v>2346641</v>
      </c>
      <c r="K668" s="6">
        <v>98534</v>
      </c>
      <c r="L668" s="6">
        <v>16429</v>
      </c>
      <c r="M668" s="6">
        <v>1287</v>
      </c>
      <c r="N668" s="6">
        <v>2</v>
      </c>
      <c r="O668" s="6">
        <v>153949</v>
      </c>
      <c r="P668" s="6">
        <v>1098278</v>
      </c>
      <c r="Q668" s="6">
        <v>563314</v>
      </c>
      <c r="R668" s="6">
        <v>644775</v>
      </c>
      <c r="S668" s="6">
        <v>35093</v>
      </c>
      <c r="T668" s="6">
        <v>1734861</v>
      </c>
      <c r="U668" s="6">
        <v>196311</v>
      </c>
      <c r="V668" s="6">
        <v>-17358</v>
      </c>
      <c r="W668" s="6">
        <v>0</v>
      </c>
      <c r="X668" s="6">
        <v>200</v>
      </c>
      <c r="Y668" s="6"/>
      <c r="Z668" s="6"/>
      <c r="AA668" s="6"/>
      <c r="AB668" s="6">
        <v>223</v>
      </c>
      <c r="AC668" s="6">
        <v>2235</v>
      </c>
      <c r="AD668" s="6">
        <v>308</v>
      </c>
      <c r="AE668" s="6">
        <v>19352</v>
      </c>
      <c r="AF668" s="6">
        <v>33684</v>
      </c>
    </row>
    <row r="669" spans="1:32" x14ac:dyDescent="0.35">
      <c r="A669" s="1">
        <v>42228</v>
      </c>
      <c r="B669" s="6">
        <v>4489250</v>
      </c>
      <c r="C669" s="6">
        <v>11037</v>
      </c>
      <c r="D669" s="6">
        <v>5200</v>
      </c>
      <c r="E669" s="6">
        <v>1889</v>
      </c>
      <c r="F669" s="6">
        <v>4410569</v>
      </c>
      <c r="G669" s="6">
        <v>4231671</v>
      </c>
      <c r="H669" s="6">
        <v>2461694</v>
      </c>
      <c r="I669" s="6">
        <v>0</v>
      </c>
      <c r="J669" s="6">
        <v>2346641</v>
      </c>
      <c r="K669" s="6">
        <v>98534</v>
      </c>
      <c r="L669" s="6">
        <v>16519</v>
      </c>
      <c r="M669" s="6">
        <v>1287</v>
      </c>
      <c r="N669" s="6">
        <v>2</v>
      </c>
      <c r="O669" s="6">
        <v>153952</v>
      </c>
      <c r="P669" s="6">
        <v>1098292</v>
      </c>
      <c r="Q669" s="6">
        <v>563327</v>
      </c>
      <c r="R669" s="6">
        <v>644835</v>
      </c>
      <c r="S669" s="6">
        <v>35093</v>
      </c>
      <c r="T669" s="6">
        <v>1734884</v>
      </c>
      <c r="U669" s="6">
        <v>195988</v>
      </c>
      <c r="V669" s="6">
        <v>-17328</v>
      </c>
      <c r="W669" s="6">
        <v>0</v>
      </c>
      <c r="X669" s="6">
        <v>238</v>
      </c>
      <c r="Y669" s="6"/>
      <c r="Z669" s="6"/>
      <c r="AA669" s="6"/>
      <c r="AB669" s="6">
        <v>205</v>
      </c>
      <c r="AC669" s="6">
        <v>2235</v>
      </c>
      <c r="AD669" s="6">
        <v>229</v>
      </c>
      <c r="AE669" s="6">
        <v>19772</v>
      </c>
      <c r="AF669" s="6">
        <v>36412</v>
      </c>
    </row>
    <row r="670" spans="1:32" x14ac:dyDescent="0.35">
      <c r="A670" s="1">
        <v>42235</v>
      </c>
      <c r="B670" s="6">
        <v>4487208</v>
      </c>
      <c r="C670" s="6">
        <v>11037</v>
      </c>
      <c r="D670" s="6">
        <v>5200</v>
      </c>
      <c r="E670" s="6">
        <v>1899</v>
      </c>
      <c r="F670" s="6">
        <v>4424016</v>
      </c>
      <c r="G670" s="6">
        <v>4244953</v>
      </c>
      <c r="H670" s="6">
        <v>2461785</v>
      </c>
      <c r="I670" s="6">
        <v>0</v>
      </c>
      <c r="J670" s="6">
        <v>2346641</v>
      </c>
      <c r="K670" s="6">
        <v>98534</v>
      </c>
      <c r="L670" s="6">
        <v>16610</v>
      </c>
      <c r="M670" s="6">
        <v>0</v>
      </c>
      <c r="N670" s="6">
        <v>327</v>
      </c>
      <c r="O670" s="6">
        <v>159980</v>
      </c>
      <c r="P670" s="6">
        <v>1137997</v>
      </c>
      <c r="Q670" s="6">
        <v>525548</v>
      </c>
      <c r="R670" s="6">
        <v>637933</v>
      </c>
      <c r="S670" s="6">
        <v>35093</v>
      </c>
      <c r="T670" s="6">
        <v>1748075</v>
      </c>
      <c r="U670" s="6">
        <v>196046</v>
      </c>
      <c r="V670" s="6">
        <v>-17305</v>
      </c>
      <c r="W670" s="6">
        <v>0</v>
      </c>
      <c r="X670" s="6">
        <v>322</v>
      </c>
      <c r="Y670" s="6"/>
      <c r="Z670" s="6"/>
      <c r="AA670" s="6"/>
      <c r="AB670" s="6">
        <v>314</v>
      </c>
      <c r="AC670" s="6">
        <v>2236</v>
      </c>
      <c r="AD670" s="6">
        <v>132</v>
      </c>
      <c r="AE670" s="6">
        <v>19608</v>
      </c>
      <c r="AF670" s="6">
        <v>21065</v>
      </c>
    </row>
    <row r="671" spans="1:32" x14ac:dyDescent="0.35">
      <c r="A671" s="1">
        <v>42242</v>
      </c>
      <c r="B671" s="6">
        <v>4475105</v>
      </c>
      <c r="C671" s="6">
        <v>11037</v>
      </c>
      <c r="D671" s="6">
        <v>5200</v>
      </c>
      <c r="E671" s="6">
        <v>1910</v>
      </c>
      <c r="F671" s="6">
        <v>4411880</v>
      </c>
      <c r="G671" s="6">
        <v>4233581</v>
      </c>
      <c r="H671" s="6">
        <v>2461876</v>
      </c>
      <c r="I671" s="6">
        <v>0</v>
      </c>
      <c r="J671" s="6">
        <v>2346641</v>
      </c>
      <c r="K671" s="6">
        <v>98534</v>
      </c>
      <c r="L671" s="6">
        <v>16701</v>
      </c>
      <c r="M671" s="6">
        <v>0</v>
      </c>
      <c r="N671" s="6">
        <v>327</v>
      </c>
      <c r="O671" s="6">
        <v>159983</v>
      </c>
      <c r="P671" s="6">
        <v>1138011</v>
      </c>
      <c r="Q671" s="6">
        <v>525562</v>
      </c>
      <c r="R671" s="6">
        <v>637993</v>
      </c>
      <c r="S671" s="6">
        <v>35093</v>
      </c>
      <c r="T671" s="6">
        <v>1736612</v>
      </c>
      <c r="U671" s="6">
        <v>195313</v>
      </c>
      <c r="V671" s="6">
        <v>-17267</v>
      </c>
      <c r="W671" s="6">
        <v>0</v>
      </c>
      <c r="X671" s="6">
        <v>253</v>
      </c>
      <c r="Y671" s="6"/>
      <c r="Z671" s="6"/>
      <c r="AA671" s="6"/>
      <c r="AB671" s="6">
        <v>290</v>
      </c>
      <c r="AC671" s="6">
        <v>2237</v>
      </c>
      <c r="AD671" s="6">
        <v>134</v>
      </c>
      <c r="AE671" s="6">
        <v>20286</v>
      </c>
      <c r="AF671" s="6">
        <v>20432</v>
      </c>
    </row>
    <row r="672" spans="1:32" x14ac:dyDescent="0.35">
      <c r="A672" s="1">
        <v>42249</v>
      </c>
      <c r="B672" s="6">
        <v>4475886</v>
      </c>
      <c r="C672" s="6">
        <v>11037</v>
      </c>
      <c r="D672" s="6">
        <v>5200</v>
      </c>
      <c r="E672" s="6">
        <v>1893</v>
      </c>
      <c r="F672" s="6">
        <v>4411675</v>
      </c>
      <c r="G672" s="6">
        <v>4233718</v>
      </c>
      <c r="H672" s="6">
        <v>2461941</v>
      </c>
      <c r="I672" s="6">
        <v>0</v>
      </c>
      <c r="J672" s="6">
        <v>2346640</v>
      </c>
      <c r="K672" s="6">
        <v>98534</v>
      </c>
      <c r="L672" s="6">
        <v>16767</v>
      </c>
      <c r="M672" s="6">
        <v>0</v>
      </c>
      <c r="N672" s="6">
        <v>327</v>
      </c>
      <c r="O672" s="6">
        <v>166961</v>
      </c>
      <c r="P672" s="6">
        <v>1133905</v>
      </c>
      <c r="Q672" s="6">
        <v>522712</v>
      </c>
      <c r="R672" s="6">
        <v>638036</v>
      </c>
      <c r="S672" s="6">
        <v>35093</v>
      </c>
      <c r="T672" s="6">
        <v>1736684</v>
      </c>
      <c r="U672" s="6">
        <v>194945</v>
      </c>
      <c r="V672" s="6">
        <v>-17235</v>
      </c>
      <c r="W672" s="6">
        <v>0</v>
      </c>
      <c r="X672" s="6">
        <v>247</v>
      </c>
      <c r="Y672" s="6"/>
      <c r="Z672" s="6"/>
      <c r="AA672" s="6"/>
      <c r="AB672" s="6">
        <v>309</v>
      </c>
      <c r="AC672" s="6">
        <v>2233</v>
      </c>
      <c r="AD672" s="6">
        <v>137</v>
      </c>
      <c r="AE672" s="6">
        <v>20145</v>
      </c>
      <c r="AF672" s="6">
        <v>21554</v>
      </c>
    </row>
    <row r="673" spans="1:32" x14ac:dyDescent="0.35">
      <c r="A673" s="1">
        <v>42256</v>
      </c>
      <c r="B673" s="6">
        <v>4478213</v>
      </c>
      <c r="C673" s="6">
        <v>11037</v>
      </c>
      <c r="D673" s="6">
        <v>5200</v>
      </c>
      <c r="E673" s="6">
        <v>1889</v>
      </c>
      <c r="F673" s="6">
        <v>4411401</v>
      </c>
      <c r="G673" s="6">
        <v>4233742</v>
      </c>
      <c r="H673" s="6">
        <v>2461943</v>
      </c>
      <c r="I673" s="6">
        <v>0</v>
      </c>
      <c r="J673" s="6">
        <v>2346640</v>
      </c>
      <c r="K673" s="6">
        <v>98534</v>
      </c>
      <c r="L673" s="6">
        <v>16769</v>
      </c>
      <c r="M673" s="6">
        <v>0</v>
      </c>
      <c r="N673" s="6">
        <v>327</v>
      </c>
      <c r="O673" s="6">
        <v>166961</v>
      </c>
      <c r="P673" s="6">
        <v>1133906</v>
      </c>
      <c r="Q673" s="6">
        <v>522712</v>
      </c>
      <c r="R673" s="6">
        <v>638037</v>
      </c>
      <c r="S673" s="6">
        <v>35093</v>
      </c>
      <c r="T673" s="6">
        <v>1736706</v>
      </c>
      <c r="U673" s="6">
        <v>194617</v>
      </c>
      <c r="V673" s="6">
        <v>-17205</v>
      </c>
      <c r="W673" s="6">
        <v>0</v>
      </c>
      <c r="X673" s="6">
        <v>247</v>
      </c>
      <c r="Y673" s="6"/>
      <c r="Z673" s="6"/>
      <c r="AA673" s="6"/>
      <c r="AB673" s="6">
        <v>411</v>
      </c>
      <c r="AC673" s="6">
        <v>2234</v>
      </c>
      <c r="AD673" s="6">
        <v>136</v>
      </c>
      <c r="AE673" s="6">
        <v>19921</v>
      </c>
      <c r="AF673" s="6">
        <v>24281</v>
      </c>
    </row>
    <row r="674" spans="1:32" x14ac:dyDescent="0.35">
      <c r="A674" s="1">
        <v>42263</v>
      </c>
      <c r="B674" s="6">
        <v>4487809</v>
      </c>
      <c r="C674" s="6">
        <v>11037</v>
      </c>
      <c r="D674" s="6">
        <v>5200</v>
      </c>
      <c r="E674" s="6">
        <v>1901</v>
      </c>
      <c r="F674" s="6">
        <v>4419891</v>
      </c>
      <c r="G674" s="6">
        <v>4242157</v>
      </c>
      <c r="H674" s="6">
        <v>2461944</v>
      </c>
      <c r="I674" s="6">
        <v>0</v>
      </c>
      <c r="J674" s="6">
        <v>2346640</v>
      </c>
      <c r="K674" s="6">
        <v>98534</v>
      </c>
      <c r="L674" s="6">
        <v>16770</v>
      </c>
      <c r="M674" s="6">
        <v>1</v>
      </c>
      <c r="N674" s="6">
        <v>327</v>
      </c>
      <c r="O674" s="6">
        <v>166961</v>
      </c>
      <c r="P674" s="6">
        <v>1133906</v>
      </c>
      <c r="Q674" s="6">
        <v>522712</v>
      </c>
      <c r="R674" s="6">
        <v>638038</v>
      </c>
      <c r="S674" s="6">
        <v>35093</v>
      </c>
      <c r="T674" s="6">
        <v>1745119</v>
      </c>
      <c r="U674" s="6">
        <v>194636</v>
      </c>
      <c r="V674" s="6">
        <v>-17167</v>
      </c>
      <c r="W674" s="6">
        <v>0</v>
      </c>
      <c r="X674" s="6">
        <v>264</v>
      </c>
      <c r="Y674" s="6"/>
      <c r="Z674" s="6"/>
      <c r="AA674" s="6"/>
      <c r="AB674" s="6">
        <v>287</v>
      </c>
      <c r="AC674" s="6">
        <v>2235</v>
      </c>
      <c r="AD674" s="6">
        <v>145</v>
      </c>
      <c r="AE674" s="6">
        <v>20093</v>
      </c>
      <c r="AF674" s="6">
        <v>25318</v>
      </c>
    </row>
    <row r="675" spans="1:32" x14ac:dyDescent="0.35">
      <c r="A675" s="1">
        <v>42270</v>
      </c>
      <c r="B675" s="6">
        <v>4497484</v>
      </c>
      <c r="C675" s="6">
        <v>11037</v>
      </c>
      <c r="D675" s="6">
        <v>5200</v>
      </c>
      <c r="E675" s="6">
        <v>1907</v>
      </c>
      <c r="F675" s="6">
        <v>4427283</v>
      </c>
      <c r="G675" s="6">
        <v>4249658</v>
      </c>
      <c r="H675" s="6">
        <v>2461946</v>
      </c>
      <c r="I675" s="6">
        <v>0</v>
      </c>
      <c r="J675" s="6">
        <v>2346640</v>
      </c>
      <c r="K675" s="6">
        <v>98534</v>
      </c>
      <c r="L675" s="6">
        <v>16772</v>
      </c>
      <c r="M675" s="6">
        <v>1</v>
      </c>
      <c r="N675" s="6">
        <v>327</v>
      </c>
      <c r="O675" s="6">
        <v>166961</v>
      </c>
      <c r="P675" s="6">
        <v>1133906</v>
      </c>
      <c r="Q675" s="6">
        <v>522712</v>
      </c>
      <c r="R675" s="6">
        <v>638040</v>
      </c>
      <c r="S675" s="6">
        <v>35093</v>
      </c>
      <c r="T675" s="6">
        <v>1752619</v>
      </c>
      <c r="U675" s="6">
        <v>194460</v>
      </c>
      <c r="V675" s="6">
        <v>-17119</v>
      </c>
      <c r="W675" s="6">
        <v>0</v>
      </c>
      <c r="X675" s="6">
        <v>283</v>
      </c>
      <c r="Y675" s="6"/>
      <c r="Z675" s="6"/>
      <c r="AA675" s="6"/>
      <c r="AB675" s="6">
        <v>307</v>
      </c>
      <c r="AC675" s="6">
        <v>2238</v>
      </c>
      <c r="AD675" s="6">
        <v>683</v>
      </c>
      <c r="AE675" s="6">
        <v>19968</v>
      </c>
      <c r="AF675" s="6">
        <v>27159</v>
      </c>
    </row>
    <row r="676" spans="1:32" x14ac:dyDescent="0.35">
      <c r="A676" s="1">
        <v>42277</v>
      </c>
      <c r="B676" s="6">
        <v>4484111</v>
      </c>
      <c r="C676" s="6">
        <v>11037</v>
      </c>
      <c r="D676" s="6">
        <v>5200</v>
      </c>
      <c r="E676" s="6">
        <v>1909</v>
      </c>
      <c r="F676" s="6">
        <v>4415186</v>
      </c>
      <c r="G676" s="6">
        <v>4238274</v>
      </c>
      <c r="H676" s="6">
        <v>2461948</v>
      </c>
      <c r="I676" s="6">
        <v>0</v>
      </c>
      <c r="J676" s="6">
        <v>2346639</v>
      </c>
      <c r="K676" s="6">
        <v>98534</v>
      </c>
      <c r="L676" s="6">
        <v>16774</v>
      </c>
      <c r="M676" s="6">
        <v>0</v>
      </c>
      <c r="N676" s="6">
        <v>327</v>
      </c>
      <c r="O676" s="6">
        <v>166961</v>
      </c>
      <c r="P676" s="6">
        <v>1142559</v>
      </c>
      <c r="Q676" s="6">
        <v>514060</v>
      </c>
      <c r="R676" s="6">
        <v>638041</v>
      </c>
      <c r="S676" s="6">
        <v>35093</v>
      </c>
      <c r="T676" s="6">
        <v>1741233</v>
      </c>
      <c r="U676" s="6">
        <v>193677</v>
      </c>
      <c r="V676" s="6">
        <v>-17017</v>
      </c>
      <c r="W676" s="6">
        <v>0</v>
      </c>
      <c r="X676" s="6">
        <v>252</v>
      </c>
      <c r="Y676" s="6"/>
      <c r="Z676" s="6"/>
      <c r="AA676" s="6"/>
      <c r="AB676" s="6">
        <v>396</v>
      </c>
      <c r="AC676" s="6">
        <v>2241</v>
      </c>
      <c r="AD676" s="6">
        <v>681</v>
      </c>
      <c r="AE676" s="6">
        <v>20002</v>
      </c>
      <c r="AF676" s="6">
        <v>25755</v>
      </c>
    </row>
    <row r="677" spans="1:32" x14ac:dyDescent="0.35">
      <c r="A677" s="1">
        <v>42284</v>
      </c>
      <c r="B677" s="6">
        <v>4486185</v>
      </c>
      <c r="C677" s="6">
        <v>11037</v>
      </c>
      <c r="D677" s="6">
        <v>5200</v>
      </c>
      <c r="E677" s="6">
        <v>1909</v>
      </c>
      <c r="F677" s="6">
        <v>4414831</v>
      </c>
      <c r="G677" s="6">
        <v>4238253</v>
      </c>
      <c r="H677" s="6">
        <v>2461911</v>
      </c>
      <c r="I677" s="6">
        <v>0</v>
      </c>
      <c r="J677" s="6">
        <v>2346639</v>
      </c>
      <c r="K677" s="6">
        <v>98534</v>
      </c>
      <c r="L677" s="6">
        <v>16737</v>
      </c>
      <c r="M677" s="6">
        <v>0</v>
      </c>
      <c r="N677" s="6">
        <v>327</v>
      </c>
      <c r="O677" s="6">
        <v>173786</v>
      </c>
      <c r="P677" s="6">
        <v>1135726</v>
      </c>
      <c r="Q677" s="6">
        <v>514054</v>
      </c>
      <c r="R677" s="6">
        <v>638017</v>
      </c>
      <c r="S677" s="6">
        <v>35093</v>
      </c>
      <c r="T677" s="6">
        <v>1741249</v>
      </c>
      <c r="U677" s="6">
        <v>193338</v>
      </c>
      <c r="V677" s="6">
        <v>-16986</v>
      </c>
      <c r="W677" s="6">
        <v>0</v>
      </c>
      <c r="X677" s="6">
        <v>226</v>
      </c>
      <c r="Y677" s="6"/>
      <c r="Z677" s="6"/>
      <c r="AA677" s="6"/>
      <c r="AB677" s="6">
        <v>560</v>
      </c>
      <c r="AC677" s="6">
        <v>2233</v>
      </c>
      <c r="AD677" s="6">
        <v>143</v>
      </c>
      <c r="AE677" s="6">
        <v>20081</v>
      </c>
      <c r="AF677" s="6">
        <v>28489</v>
      </c>
    </row>
    <row r="678" spans="1:32" x14ac:dyDescent="0.35">
      <c r="A678" s="1">
        <v>42291</v>
      </c>
      <c r="B678" s="6">
        <v>4504704</v>
      </c>
      <c r="C678" s="6">
        <v>11037</v>
      </c>
      <c r="D678" s="6">
        <v>5200</v>
      </c>
      <c r="E678" s="6">
        <v>1899</v>
      </c>
      <c r="F678" s="6">
        <v>4430226</v>
      </c>
      <c r="G678" s="6">
        <v>4253455</v>
      </c>
      <c r="H678" s="6">
        <v>2461874</v>
      </c>
      <c r="I678" s="6">
        <v>0</v>
      </c>
      <c r="J678" s="6">
        <v>2346639</v>
      </c>
      <c r="K678" s="6">
        <v>98534</v>
      </c>
      <c r="L678" s="6">
        <v>16700</v>
      </c>
      <c r="M678" s="6">
        <v>0</v>
      </c>
      <c r="N678" s="6">
        <v>327</v>
      </c>
      <c r="O678" s="6">
        <v>173785</v>
      </c>
      <c r="P678" s="6">
        <v>1135721</v>
      </c>
      <c r="Q678" s="6">
        <v>514049</v>
      </c>
      <c r="R678" s="6">
        <v>637992</v>
      </c>
      <c r="S678" s="6">
        <v>35093</v>
      </c>
      <c r="T678" s="6">
        <v>1756488</v>
      </c>
      <c r="U678" s="6">
        <v>193504</v>
      </c>
      <c r="V678" s="6">
        <v>-16953</v>
      </c>
      <c r="W678" s="6">
        <v>0</v>
      </c>
      <c r="X678" s="6">
        <v>220</v>
      </c>
      <c r="Y678" s="6"/>
      <c r="Z678" s="6"/>
      <c r="AA678" s="6"/>
      <c r="AB678" s="6">
        <v>689</v>
      </c>
      <c r="AC678" s="6">
        <v>2234</v>
      </c>
      <c r="AD678" s="6">
        <v>145</v>
      </c>
      <c r="AE678" s="6">
        <v>20332</v>
      </c>
      <c r="AF678" s="6">
        <v>31238</v>
      </c>
    </row>
    <row r="679" spans="1:32" x14ac:dyDescent="0.35">
      <c r="A679" s="1">
        <v>42298</v>
      </c>
      <c r="B679" s="6">
        <v>4501372</v>
      </c>
      <c r="C679" s="6">
        <v>11037</v>
      </c>
      <c r="D679" s="6">
        <v>5200</v>
      </c>
      <c r="E679" s="6">
        <v>1893</v>
      </c>
      <c r="F679" s="6">
        <v>4427602</v>
      </c>
      <c r="G679" s="6">
        <v>4251180</v>
      </c>
      <c r="H679" s="6">
        <v>2461837</v>
      </c>
      <c r="I679" s="6">
        <v>0</v>
      </c>
      <c r="J679" s="6">
        <v>2346639</v>
      </c>
      <c r="K679" s="6">
        <v>98534</v>
      </c>
      <c r="L679" s="6">
        <v>16663</v>
      </c>
      <c r="M679" s="6">
        <v>0</v>
      </c>
      <c r="N679" s="6">
        <v>327</v>
      </c>
      <c r="O679" s="6">
        <v>173784</v>
      </c>
      <c r="P679" s="6">
        <v>1135715</v>
      </c>
      <c r="Q679" s="6">
        <v>514043</v>
      </c>
      <c r="R679" s="6">
        <v>637968</v>
      </c>
      <c r="S679" s="6">
        <v>34146</v>
      </c>
      <c r="T679" s="6">
        <v>1755197</v>
      </c>
      <c r="U679" s="6">
        <v>193143</v>
      </c>
      <c r="V679" s="6">
        <v>-16907</v>
      </c>
      <c r="W679" s="6">
        <v>0</v>
      </c>
      <c r="X679" s="6">
        <v>187</v>
      </c>
      <c r="Y679" s="6"/>
      <c r="Z679" s="6"/>
      <c r="AA679" s="6"/>
      <c r="AB679" s="6">
        <v>568</v>
      </c>
      <c r="AC679" s="6">
        <v>2235</v>
      </c>
      <c r="AD679" s="6">
        <v>140</v>
      </c>
      <c r="AE679" s="6">
        <v>20185</v>
      </c>
      <c r="AF679" s="6">
        <v>30807</v>
      </c>
    </row>
    <row r="680" spans="1:32" x14ac:dyDescent="0.35">
      <c r="A680" s="1">
        <v>42305</v>
      </c>
      <c r="B680" s="6">
        <v>4489339</v>
      </c>
      <c r="C680" s="6">
        <v>11037</v>
      </c>
      <c r="D680" s="6">
        <v>5200</v>
      </c>
      <c r="E680" s="6">
        <v>1884</v>
      </c>
      <c r="F680" s="6">
        <v>4415767</v>
      </c>
      <c r="G680" s="6">
        <v>4240037</v>
      </c>
      <c r="H680" s="6">
        <v>2461800</v>
      </c>
      <c r="I680" s="6">
        <v>0</v>
      </c>
      <c r="J680" s="6">
        <v>2346639</v>
      </c>
      <c r="K680" s="6">
        <v>98534</v>
      </c>
      <c r="L680" s="6">
        <v>16626</v>
      </c>
      <c r="M680" s="6">
        <v>0</v>
      </c>
      <c r="N680" s="6">
        <v>327</v>
      </c>
      <c r="O680" s="6">
        <v>173783</v>
      </c>
      <c r="P680" s="6">
        <v>1135709</v>
      </c>
      <c r="Q680" s="6">
        <v>514037</v>
      </c>
      <c r="R680" s="6">
        <v>637943</v>
      </c>
      <c r="S680" s="6">
        <v>34146</v>
      </c>
      <c r="T680" s="6">
        <v>1744091</v>
      </c>
      <c r="U680" s="6">
        <v>192433</v>
      </c>
      <c r="V680" s="6">
        <v>-16871</v>
      </c>
      <c r="W680" s="6">
        <v>0</v>
      </c>
      <c r="X680" s="6">
        <v>167</v>
      </c>
      <c r="Y680" s="6"/>
      <c r="Z680" s="6"/>
      <c r="AA680" s="6"/>
      <c r="AB680" s="6">
        <v>459</v>
      </c>
      <c r="AC680" s="6">
        <v>2236</v>
      </c>
      <c r="AD680" s="6">
        <v>140</v>
      </c>
      <c r="AE680" s="6">
        <v>19839</v>
      </c>
      <c r="AF680" s="6">
        <v>31062</v>
      </c>
    </row>
    <row r="681" spans="1:32" x14ac:dyDescent="0.35">
      <c r="A681" s="1">
        <v>42312</v>
      </c>
      <c r="B681" s="6">
        <v>4489702</v>
      </c>
      <c r="C681" s="6">
        <v>11037</v>
      </c>
      <c r="D681" s="6">
        <v>5200</v>
      </c>
      <c r="E681" s="6">
        <v>1886</v>
      </c>
      <c r="F681" s="6">
        <v>4415364</v>
      </c>
      <c r="G681" s="6">
        <v>4240008</v>
      </c>
      <c r="H681" s="6">
        <v>2461760</v>
      </c>
      <c r="I681" s="6">
        <v>0</v>
      </c>
      <c r="J681" s="6">
        <v>2346639</v>
      </c>
      <c r="K681" s="6">
        <v>98534</v>
      </c>
      <c r="L681" s="6">
        <v>16587</v>
      </c>
      <c r="M681" s="6">
        <v>326</v>
      </c>
      <c r="N681" s="6">
        <v>1912</v>
      </c>
      <c r="O681" s="6">
        <v>178399</v>
      </c>
      <c r="P681" s="6">
        <v>1130239</v>
      </c>
      <c r="Q681" s="6">
        <v>512967</v>
      </c>
      <c r="R681" s="6">
        <v>637917</v>
      </c>
      <c r="S681" s="6">
        <v>34146</v>
      </c>
      <c r="T681" s="6">
        <v>1744102</v>
      </c>
      <c r="U681" s="6">
        <v>192064</v>
      </c>
      <c r="V681" s="6">
        <v>-16839</v>
      </c>
      <c r="W681" s="6">
        <v>0</v>
      </c>
      <c r="X681" s="6">
        <v>132</v>
      </c>
      <c r="Y681" s="6"/>
      <c r="Z681" s="6"/>
      <c r="AA681" s="6"/>
      <c r="AB681" s="6">
        <v>452</v>
      </c>
      <c r="AC681" s="6">
        <v>2231</v>
      </c>
      <c r="AD681" s="6">
        <v>143</v>
      </c>
      <c r="AE681" s="6">
        <v>19555</v>
      </c>
      <c r="AF681" s="6">
        <v>32121</v>
      </c>
    </row>
    <row r="682" spans="1:32" x14ac:dyDescent="0.35">
      <c r="A682" s="1">
        <v>42319</v>
      </c>
      <c r="B682" s="6">
        <v>4492012</v>
      </c>
      <c r="C682" s="6">
        <v>11037</v>
      </c>
      <c r="D682" s="6">
        <v>5200</v>
      </c>
      <c r="E682" s="6">
        <v>1885</v>
      </c>
      <c r="F682" s="6">
        <v>4415004</v>
      </c>
      <c r="G682" s="6">
        <v>4239967</v>
      </c>
      <c r="H682" s="6">
        <v>2461718</v>
      </c>
      <c r="I682" s="6">
        <v>0</v>
      </c>
      <c r="J682" s="6">
        <v>2346639</v>
      </c>
      <c r="K682" s="6">
        <v>98534</v>
      </c>
      <c r="L682" s="6">
        <v>16545</v>
      </c>
      <c r="M682" s="6">
        <v>326</v>
      </c>
      <c r="N682" s="6">
        <v>1912</v>
      </c>
      <c r="O682" s="6">
        <v>178397</v>
      </c>
      <c r="P682" s="6">
        <v>1130233</v>
      </c>
      <c r="Q682" s="6">
        <v>512960</v>
      </c>
      <c r="R682" s="6">
        <v>637889</v>
      </c>
      <c r="S682" s="6">
        <v>34146</v>
      </c>
      <c r="T682" s="6">
        <v>1744103</v>
      </c>
      <c r="U682" s="6">
        <v>191733</v>
      </c>
      <c r="V682" s="6">
        <v>-16809</v>
      </c>
      <c r="W682" s="6">
        <v>0</v>
      </c>
      <c r="X682" s="6">
        <v>112</v>
      </c>
      <c r="Y682" s="6"/>
      <c r="Z682" s="6"/>
      <c r="AA682" s="6"/>
      <c r="AB682" s="6">
        <v>686</v>
      </c>
      <c r="AC682" s="6">
        <v>2231</v>
      </c>
      <c r="AD682" s="6">
        <v>141</v>
      </c>
      <c r="AE682" s="6">
        <v>19258</v>
      </c>
      <c r="AF682" s="6">
        <v>34857</v>
      </c>
    </row>
    <row r="683" spans="1:32" x14ac:dyDescent="0.35">
      <c r="A683" s="1">
        <v>42326</v>
      </c>
      <c r="B683" s="6">
        <v>4486721</v>
      </c>
      <c r="C683" s="6">
        <v>11037</v>
      </c>
      <c r="D683" s="6">
        <v>5200</v>
      </c>
      <c r="E683" s="6">
        <v>1889</v>
      </c>
      <c r="F683" s="6">
        <v>4423291</v>
      </c>
      <c r="G683" s="6">
        <v>4248123</v>
      </c>
      <c r="H683" s="6">
        <v>2461676</v>
      </c>
      <c r="I683" s="6">
        <v>0</v>
      </c>
      <c r="J683" s="6">
        <v>2346639</v>
      </c>
      <c r="K683" s="6">
        <v>98534</v>
      </c>
      <c r="L683" s="6">
        <v>16503</v>
      </c>
      <c r="M683" s="6">
        <v>0</v>
      </c>
      <c r="N683" s="6">
        <v>6780</v>
      </c>
      <c r="O683" s="6">
        <v>187101</v>
      </c>
      <c r="P683" s="6">
        <v>1129310</v>
      </c>
      <c r="Q683" s="6">
        <v>500542</v>
      </c>
      <c r="R683" s="6">
        <v>637943</v>
      </c>
      <c r="S683" s="6">
        <v>32944</v>
      </c>
      <c r="T683" s="6">
        <v>1753503</v>
      </c>
      <c r="U683" s="6">
        <v>191836</v>
      </c>
      <c r="V683" s="6">
        <v>-16772</v>
      </c>
      <c r="W683" s="6">
        <v>0</v>
      </c>
      <c r="X683" s="6">
        <v>104</v>
      </c>
      <c r="Y683" s="6"/>
      <c r="Z683" s="6"/>
      <c r="AA683" s="6"/>
      <c r="AB683" s="6">
        <v>452</v>
      </c>
      <c r="AC683" s="6">
        <v>2232</v>
      </c>
      <c r="AD683" s="6">
        <v>150</v>
      </c>
      <c r="AE683" s="6">
        <v>19188</v>
      </c>
      <c r="AF683" s="6">
        <v>21568</v>
      </c>
    </row>
    <row r="684" spans="1:32" x14ac:dyDescent="0.35">
      <c r="A684" s="1">
        <v>42333</v>
      </c>
      <c r="B684" s="6">
        <v>4477088</v>
      </c>
      <c r="C684" s="6">
        <v>11037</v>
      </c>
      <c r="D684" s="6">
        <v>5200</v>
      </c>
      <c r="E684" s="6">
        <v>1857</v>
      </c>
      <c r="F684" s="6">
        <v>4413889</v>
      </c>
      <c r="G684" s="6">
        <v>4239362</v>
      </c>
      <c r="H684" s="6">
        <v>2461628</v>
      </c>
      <c r="I684" s="6">
        <v>0</v>
      </c>
      <c r="J684" s="6">
        <v>2346639</v>
      </c>
      <c r="K684" s="6">
        <v>98534</v>
      </c>
      <c r="L684" s="6">
        <v>16455</v>
      </c>
      <c r="M684" s="6">
        <v>0</v>
      </c>
      <c r="N684" s="6">
        <v>6780</v>
      </c>
      <c r="O684" s="6">
        <v>187099</v>
      </c>
      <c r="P684" s="6">
        <v>1129302</v>
      </c>
      <c r="Q684" s="6">
        <v>500535</v>
      </c>
      <c r="R684" s="6">
        <v>637912</v>
      </c>
      <c r="S684" s="6">
        <v>32944</v>
      </c>
      <c r="T684" s="6">
        <v>1744789</v>
      </c>
      <c r="U684" s="6">
        <v>191166</v>
      </c>
      <c r="V684" s="6">
        <v>-16732</v>
      </c>
      <c r="W684" s="6">
        <v>0</v>
      </c>
      <c r="X684" s="6">
        <v>94</v>
      </c>
      <c r="Y684" s="6"/>
      <c r="Z684" s="6"/>
      <c r="AA684" s="6"/>
      <c r="AB684" s="6">
        <v>548</v>
      </c>
      <c r="AC684" s="6">
        <v>2233</v>
      </c>
      <c r="AD684" s="6">
        <v>145</v>
      </c>
      <c r="AE684" s="6">
        <v>19214</v>
      </c>
      <c r="AF684" s="6">
        <v>21250</v>
      </c>
    </row>
    <row r="685" spans="1:32" x14ac:dyDescent="0.35">
      <c r="A685" s="1">
        <v>42340</v>
      </c>
      <c r="B685" s="6">
        <v>4478069</v>
      </c>
      <c r="C685" s="6">
        <v>11037</v>
      </c>
      <c r="D685" s="6">
        <v>5200</v>
      </c>
      <c r="E685" s="6">
        <v>1854</v>
      </c>
      <c r="F685" s="6">
        <v>4414140</v>
      </c>
      <c r="G685" s="6">
        <v>4239334</v>
      </c>
      <c r="H685" s="6">
        <v>2461601</v>
      </c>
      <c r="I685" s="6">
        <v>0</v>
      </c>
      <c r="J685" s="6">
        <v>2346639</v>
      </c>
      <c r="K685" s="6">
        <v>98534</v>
      </c>
      <c r="L685" s="6">
        <v>16428</v>
      </c>
      <c r="M685" s="6">
        <v>0</v>
      </c>
      <c r="N685" s="6">
        <v>38619</v>
      </c>
      <c r="O685" s="6">
        <v>165796</v>
      </c>
      <c r="P685" s="6">
        <v>1124299</v>
      </c>
      <c r="Q685" s="6">
        <v>494994</v>
      </c>
      <c r="R685" s="6">
        <v>637894</v>
      </c>
      <c r="S685" s="6">
        <v>32944</v>
      </c>
      <c r="T685" s="6">
        <v>1744789</v>
      </c>
      <c r="U685" s="6">
        <v>190849</v>
      </c>
      <c r="V685" s="6">
        <v>-16706</v>
      </c>
      <c r="W685" s="6">
        <v>590</v>
      </c>
      <c r="X685" s="6">
        <v>72</v>
      </c>
      <c r="Y685" s="6"/>
      <c r="Z685" s="6"/>
      <c r="AA685" s="6"/>
      <c r="AB685" s="6">
        <v>373</v>
      </c>
      <c r="AC685" s="6">
        <v>2227</v>
      </c>
      <c r="AD685" s="6">
        <v>135</v>
      </c>
      <c r="AE685" s="6">
        <v>19197</v>
      </c>
      <c r="AF685" s="6">
        <v>22190</v>
      </c>
    </row>
    <row r="686" spans="1:32" x14ac:dyDescent="0.35">
      <c r="A686" s="1">
        <v>42347</v>
      </c>
      <c r="B686" s="6">
        <v>4480436</v>
      </c>
      <c r="C686" s="6">
        <v>11037</v>
      </c>
      <c r="D686" s="6">
        <v>5200</v>
      </c>
      <c r="E686" s="6">
        <v>1887</v>
      </c>
      <c r="F686" s="6">
        <v>4413253</v>
      </c>
      <c r="G686" s="6">
        <v>4239330</v>
      </c>
      <c r="H686" s="6">
        <v>2461589</v>
      </c>
      <c r="I686" s="6">
        <v>0</v>
      </c>
      <c r="J686" s="6">
        <v>2346639</v>
      </c>
      <c r="K686" s="6">
        <v>98534</v>
      </c>
      <c r="L686" s="6">
        <v>16416</v>
      </c>
      <c r="M686" s="6">
        <v>0</v>
      </c>
      <c r="N686" s="6">
        <v>38619</v>
      </c>
      <c r="O686" s="6">
        <v>165795</v>
      </c>
      <c r="P686" s="6">
        <v>1124297</v>
      </c>
      <c r="Q686" s="6">
        <v>494992</v>
      </c>
      <c r="R686" s="6">
        <v>637886</v>
      </c>
      <c r="S686" s="6">
        <v>32944</v>
      </c>
      <c r="T686" s="6">
        <v>1744796</v>
      </c>
      <c r="U686" s="6">
        <v>190518</v>
      </c>
      <c r="V686" s="6">
        <v>-16675</v>
      </c>
      <c r="W686" s="6">
        <v>0</v>
      </c>
      <c r="X686" s="6">
        <v>81</v>
      </c>
      <c r="Y686" s="6"/>
      <c r="Z686" s="6"/>
      <c r="AA686" s="6"/>
      <c r="AB686" s="6">
        <v>366</v>
      </c>
      <c r="AC686" s="6">
        <v>2229</v>
      </c>
      <c r="AD686" s="6">
        <v>136</v>
      </c>
      <c r="AE686" s="6">
        <v>19669</v>
      </c>
      <c r="AF686" s="6">
        <v>24942</v>
      </c>
    </row>
    <row r="687" spans="1:32" x14ac:dyDescent="0.35">
      <c r="A687" s="1">
        <v>42354</v>
      </c>
      <c r="B687" s="6">
        <v>4489593</v>
      </c>
      <c r="C687" s="6">
        <v>11037</v>
      </c>
      <c r="D687" s="6">
        <v>5200</v>
      </c>
      <c r="E687" s="6">
        <v>1900</v>
      </c>
      <c r="F687" s="6">
        <v>4421529</v>
      </c>
      <c r="G687" s="6">
        <v>4247678</v>
      </c>
      <c r="H687" s="6">
        <v>2461578</v>
      </c>
      <c r="I687" s="6">
        <v>0</v>
      </c>
      <c r="J687" s="6">
        <v>2346639</v>
      </c>
      <c r="K687" s="6">
        <v>98534</v>
      </c>
      <c r="L687" s="6">
        <v>16405</v>
      </c>
      <c r="M687" s="6">
        <v>0</v>
      </c>
      <c r="N687" s="6">
        <v>38619</v>
      </c>
      <c r="O687" s="6">
        <v>165795</v>
      </c>
      <c r="P687" s="6">
        <v>1124295</v>
      </c>
      <c r="Q687" s="6">
        <v>494990</v>
      </c>
      <c r="R687" s="6">
        <v>637878</v>
      </c>
      <c r="S687" s="6">
        <v>32944</v>
      </c>
      <c r="T687" s="6">
        <v>1753157</v>
      </c>
      <c r="U687" s="6">
        <v>190418</v>
      </c>
      <c r="V687" s="6">
        <v>-16641</v>
      </c>
      <c r="W687" s="6">
        <v>0</v>
      </c>
      <c r="X687" s="6">
        <v>74</v>
      </c>
      <c r="Y687" s="6"/>
      <c r="Z687" s="6"/>
      <c r="AA687" s="6"/>
      <c r="AB687" s="6">
        <v>299</v>
      </c>
      <c r="AC687" s="6">
        <v>2232</v>
      </c>
      <c r="AD687" s="6">
        <v>138</v>
      </c>
      <c r="AE687" s="6">
        <v>19617</v>
      </c>
      <c r="AF687" s="6">
        <v>25925</v>
      </c>
    </row>
    <row r="688" spans="1:32" x14ac:dyDescent="0.35">
      <c r="A688" s="1">
        <v>42361</v>
      </c>
      <c r="B688" s="6">
        <v>4496523</v>
      </c>
      <c r="C688" s="6">
        <v>11037</v>
      </c>
      <c r="D688" s="6">
        <v>5200</v>
      </c>
      <c r="E688" s="6">
        <v>1897</v>
      </c>
      <c r="F688" s="6">
        <v>4425955</v>
      </c>
      <c r="G688" s="6">
        <v>4252267</v>
      </c>
      <c r="H688" s="6">
        <v>2461566</v>
      </c>
      <c r="I688" s="6">
        <v>0</v>
      </c>
      <c r="J688" s="6">
        <v>2346639</v>
      </c>
      <c r="K688" s="6">
        <v>98534</v>
      </c>
      <c r="L688" s="6">
        <v>16393</v>
      </c>
      <c r="M688" s="6">
        <v>0</v>
      </c>
      <c r="N688" s="6">
        <v>38619</v>
      </c>
      <c r="O688" s="6">
        <v>165795</v>
      </c>
      <c r="P688" s="6">
        <v>1124293</v>
      </c>
      <c r="Q688" s="6">
        <v>494988</v>
      </c>
      <c r="R688" s="6">
        <v>637871</v>
      </c>
      <c r="S688" s="6">
        <v>32944</v>
      </c>
      <c r="T688" s="6">
        <v>1757757</v>
      </c>
      <c r="U688" s="6">
        <v>190224</v>
      </c>
      <c r="V688" s="6">
        <v>-16609</v>
      </c>
      <c r="W688" s="6">
        <v>0</v>
      </c>
      <c r="X688" s="6">
        <v>73</v>
      </c>
      <c r="Y688" s="6"/>
      <c r="Z688" s="6"/>
      <c r="AA688" s="6"/>
      <c r="AB688" s="6">
        <v>193</v>
      </c>
      <c r="AC688" s="6">
        <v>2234</v>
      </c>
      <c r="AD688" s="6">
        <v>926</v>
      </c>
      <c r="AE688" s="6">
        <v>19609</v>
      </c>
      <c r="AF688" s="6">
        <v>27757</v>
      </c>
    </row>
    <row r="689" spans="1:32" x14ac:dyDescent="0.35">
      <c r="A689" s="1">
        <v>42368</v>
      </c>
      <c r="B689" s="6">
        <v>4486587</v>
      </c>
      <c r="C689" s="6">
        <v>11037</v>
      </c>
      <c r="D689" s="6">
        <v>5200</v>
      </c>
      <c r="E689" s="6">
        <v>1887</v>
      </c>
      <c r="F689" s="6">
        <v>4415564</v>
      </c>
      <c r="G689" s="6">
        <v>4241965</v>
      </c>
      <c r="H689" s="6">
        <v>2461554</v>
      </c>
      <c r="I689" s="6">
        <v>0</v>
      </c>
      <c r="J689" s="6">
        <v>2346639</v>
      </c>
      <c r="K689" s="6">
        <v>98534</v>
      </c>
      <c r="L689" s="6">
        <v>16381</v>
      </c>
      <c r="M689" s="6">
        <v>0</v>
      </c>
      <c r="N689" s="6">
        <v>38619</v>
      </c>
      <c r="O689" s="6">
        <v>165794</v>
      </c>
      <c r="P689" s="6">
        <v>1124291</v>
      </c>
      <c r="Q689" s="6">
        <v>494987</v>
      </c>
      <c r="R689" s="6">
        <v>637863</v>
      </c>
      <c r="S689" s="6">
        <v>32944</v>
      </c>
      <c r="T689" s="6">
        <v>1747467</v>
      </c>
      <c r="U689" s="6">
        <v>189539</v>
      </c>
      <c r="V689" s="6">
        <v>-16575</v>
      </c>
      <c r="W689" s="6">
        <v>0</v>
      </c>
      <c r="X689" s="6">
        <v>635</v>
      </c>
      <c r="Y689" s="6"/>
      <c r="Z689" s="6"/>
      <c r="AA689" s="6"/>
      <c r="AB689" s="6">
        <v>153</v>
      </c>
      <c r="AC689" s="6">
        <v>2244</v>
      </c>
      <c r="AD689" s="6">
        <v>997</v>
      </c>
      <c r="AE689" s="6">
        <v>19757</v>
      </c>
      <c r="AF689" s="6">
        <v>28029</v>
      </c>
    </row>
    <row r="690" spans="1:32" x14ac:dyDescent="0.35">
      <c r="A690" s="1">
        <v>42375</v>
      </c>
      <c r="B690" s="6">
        <v>4486606</v>
      </c>
      <c r="C690" s="6">
        <v>11037</v>
      </c>
      <c r="D690" s="6">
        <v>5200</v>
      </c>
      <c r="E690" s="6">
        <v>1893</v>
      </c>
      <c r="F690" s="6">
        <v>4414694</v>
      </c>
      <c r="G690" s="6">
        <v>4241916</v>
      </c>
      <c r="H690" s="6">
        <v>2461505</v>
      </c>
      <c r="I690" s="6">
        <v>0</v>
      </c>
      <c r="J690" s="6">
        <v>2346639</v>
      </c>
      <c r="K690" s="6">
        <v>98534</v>
      </c>
      <c r="L690" s="6">
        <v>16333</v>
      </c>
      <c r="M690" s="6">
        <v>0</v>
      </c>
      <c r="N690" s="6">
        <v>62206</v>
      </c>
      <c r="O690" s="6">
        <v>153907</v>
      </c>
      <c r="P690" s="6">
        <v>1118342</v>
      </c>
      <c r="Q690" s="6">
        <v>489219</v>
      </c>
      <c r="R690" s="6">
        <v>637831</v>
      </c>
      <c r="S690" s="6">
        <v>32944</v>
      </c>
      <c r="T690" s="6">
        <v>1747467</v>
      </c>
      <c r="U690" s="6">
        <v>189170</v>
      </c>
      <c r="V690" s="6">
        <v>-16544</v>
      </c>
      <c r="W690" s="6">
        <v>0</v>
      </c>
      <c r="X690" s="6">
        <v>151</v>
      </c>
      <c r="Y690" s="6"/>
      <c r="Z690" s="6"/>
      <c r="AA690" s="6"/>
      <c r="AB690" s="6">
        <v>181</v>
      </c>
      <c r="AC690" s="6">
        <v>2235</v>
      </c>
      <c r="AD690" s="6">
        <v>997</v>
      </c>
      <c r="AE690" s="6">
        <v>19667</v>
      </c>
      <c r="AF690" s="6">
        <v>28984</v>
      </c>
    </row>
    <row r="691" spans="1:32" x14ac:dyDescent="0.35">
      <c r="A691" s="1">
        <v>42382</v>
      </c>
      <c r="B691" s="6">
        <v>4501695</v>
      </c>
      <c r="C691" s="6">
        <v>11037</v>
      </c>
      <c r="D691" s="6">
        <v>5200</v>
      </c>
      <c r="E691" s="6">
        <v>1922</v>
      </c>
      <c r="F691" s="6">
        <v>4427801</v>
      </c>
      <c r="G691" s="6">
        <v>4254996</v>
      </c>
      <c r="H691" s="6">
        <v>2461450</v>
      </c>
      <c r="I691" s="6">
        <v>0</v>
      </c>
      <c r="J691" s="6">
        <v>2346639</v>
      </c>
      <c r="K691" s="6">
        <v>98534</v>
      </c>
      <c r="L691" s="6">
        <v>16278</v>
      </c>
      <c r="M691" s="6">
        <v>0</v>
      </c>
      <c r="N691" s="6">
        <v>62206</v>
      </c>
      <c r="O691" s="6">
        <v>153905</v>
      </c>
      <c r="P691" s="6">
        <v>1118334</v>
      </c>
      <c r="Q691" s="6">
        <v>489211</v>
      </c>
      <c r="R691" s="6">
        <v>637795</v>
      </c>
      <c r="S691" s="6">
        <v>32944</v>
      </c>
      <c r="T691" s="6">
        <v>1760602</v>
      </c>
      <c r="U691" s="6">
        <v>189290</v>
      </c>
      <c r="V691" s="6">
        <v>-16514</v>
      </c>
      <c r="W691" s="6">
        <v>0</v>
      </c>
      <c r="X691" s="6">
        <v>29</v>
      </c>
      <c r="Y691" s="6"/>
      <c r="Z691" s="6"/>
      <c r="AA691" s="6"/>
      <c r="AB691" s="6">
        <v>147</v>
      </c>
      <c r="AC691" s="6">
        <v>2236</v>
      </c>
      <c r="AD691" s="6">
        <v>118</v>
      </c>
      <c r="AE691" s="6">
        <v>19785</v>
      </c>
      <c r="AF691" s="6">
        <v>31731</v>
      </c>
    </row>
    <row r="692" spans="1:32" x14ac:dyDescent="0.35">
      <c r="A692" s="1">
        <v>42389</v>
      </c>
      <c r="B692" s="6">
        <v>4488840</v>
      </c>
      <c r="C692" s="6">
        <v>11037</v>
      </c>
      <c r="D692" s="6">
        <v>5200</v>
      </c>
      <c r="E692" s="6">
        <v>1950</v>
      </c>
      <c r="F692" s="6">
        <v>4415076</v>
      </c>
      <c r="G692" s="6">
        <v>4242989</v>
      </c>
      <c r="H692" s="6">
        <v>2461396</v>
      </c>
      <c r="I692" s="6">
        <v>0</v>
      </c>
      <c r="J692" s="6">
        <v>2346639</v>
      </c>
      <c r="K692" s="6">
        <v>98534</v>
      </c>
      <c r="L692" s="6">
        <v>16223</v>
      </c>
      <c r="M692" s="6">
        <v>1911</v>
      </c>
      <c r="N692" s="6">
        <v>60689</v>
      </c>
      <c r="O692" s="6">
        <v>156559</v>
      </c>
      <c r="P692" s="6">
        <v>1120360</v>
      </c>
      <c r="Q692" s="6">
        <v>488387</v>
      </c>
      <c r="R692" s="6">
        <v>633489</v>
      </c>
      <c r="S692" s="6">
        <v>31318</v>
      </c>
      <c r="T692" s="6">
        <v>1750275</v>
      </c>
      <c r="U692" s="6">
        <v>188545</v>
      </c>
      <c r="V692" s="6">
        <v>-16477</v>
      </c>
      <c r="W692" s="6">
        <v>0</v>
      </c>
      <c r="X692" s="6">
        <v>20</v>
      </c>
      <c r="Y692" s="6"/>
      <c r="Z692" s="6"/>
      <c r="AA692" s="6"/>
      <c r="AB692" s="6">
        <v>227</v>
      </c>
      <c r="AC692" s="6">
        <v>2237</v>
      </c>
      <c r="AD692" s="6">
        <v>125</v>
      </c>
      <c r="AE692" s="6">
        <v>19949</v>
      </c>
      <c r="AF692" s="6">
        <v>31322</v>
      </c>
    </row>
    <row r="693" spans="1:32" x14ac:dyDescent="0.35">
      <c r="A693" s="1">
        <v>42396</v>
      </c>
      <c r="B693" s="6">
        <v>4482349</v>
      </c>
      <c r="C693" s="6">
        <v>11037</v>
      </c>
      <c r="D693" s="6">
        <v>5200</v>
      </c>
      <c r="E693" s="6">
        <v>1971</v>
      </c>
      <c r="F693" s="6">
        <v>4408550</v>
      </c>
      <c r="G693" s="6">
        <v>4236838</v>
      </c>
      <c r="H693" s="6">
        <v>2461341</v>
      </c>
      <c r="I693" s="6">
        <v>0</v>
      </c>
      <c r="J693" s="6">
        <v>2346639</v>
      </c>
      <c r="K693" s="6">
        <v>98534</v>
      </c>
      <c r="L693" s="6">
        <v>16168</v>
      </c>
      <c r="M693" s="6">
        <v>1911</v>
      </c>
      <c r="N693" s="6">
        <v>60689</v>
      </c>
      <c r="O693" s="6">
        <v>156556</v>
      </c>
      <c r="P693" s="6">
        <v>1120351</v>
      </c>
      <c r="Q693" s="6">
        <v>488379</v>
      </c>
      <c r="R693" s="6">
        <v>633455</v>
      </c>
      <c r="S693" s="6">
        <v>31318</v>
      </c>
      <c r="T693" s="6">
        <v>1744179</v>
      </c>
      <c r="U693" s="6">
        <v>188025</v>
      </c>
      <c r="V693" s="6">
        <v>-16437</v>
      </c>
      <c r="W693" s="6">
        <v>0</v>
      </c>
      <c r="X693" s="6">
        <v>124</v>
      </c>
      <c r="Y693" s="6"/>
      <c r="Z693" s="6"/>
      <c r="AA693" s="6"/>
      <c r="AB693" s="6">
        <v>195</v>
      </c>
      <c r="AC693" s="6">
        <v>2238</v>
      </c>
      <c r="AD693" s="6">
        <v>102</v>
      </c>
      <c r="AE693" s="6">
        <v>19734</v>
      </c>
      <c r="AF693" s="6">
        <v>31600</v>
      </c>
    </row>
    <row r="694" spans="1:32" x14ac:dyDescent="0.35">
      <c r="A694" s="1">
        <v>42403</v>
      </c>
      <c r="B694" s="6">
        <v>4483495</v>
      </c>
      <c r="C694" s="6">
        <v>11037</v>
      </c>
      <c r="D694" s="6">
        <v>5200</v>
      </c>
      <c r="E694" s="6">
        <v>1999</v>
      </c>
      <c r="F694" s="6">
        <v>4408021</v>
      </c>
      <c r="G694" s="6">
        <v>4236766</v>
      </c>
      <c r="H694" s="6">
        <v>2461269</v>
      </c>
      <c r="I694" s="6">
        <v>0</v>
      </c>
      <c r="J694" s="6">
        <v>2346639</v>
      </c>
      <c r="K694" s="6">
        <v>98534</v>
      </c>
      <c r="L694" s="6">
        <v>16097</v>
      </c>
      <c r="M694" s="6">
        <v>4868</v>
      </c>
      <c r="N694" s="6">
        <v>83192</v>
      </c>
      <c r="O694" s="6">
        <v>136537</v>
      </c>
      <c r="P694" s="6">
        <v>1118233</v>
      </c>
      <c r="Q694" s="6">
        <v>485029</v>
      </c>
      <c r="R694" s="6">
        <v>633410</v>
      </c>
      <c r="S694" s="6">
        <v>31318</v>
      </c>
      <c r="T694" s="6">
        <v>1744179</v>
      </c>
      <c r="U694" s="6">
        <v>187656</v>
      </c>
      <c r="V694" s="6">
        <v>-16411</v>
      </c>
      <c r="W694" s="6">
        <v>0</v>
      </c>
      <c r="X694" s="6">
        <v>10</v>
      </c>
      <c r="Y694" s="6"/>
      <c r="Z694" s="6"/>
      <c r="AA694" s="6"/>
      <c r="AB694" s="6">
        <v>191</v>
      </c>
      <c r="AC694" s="6">
        <v>2230</v>
      </c>
      <c r="AD694" s="6">
        <v>91</v>
      </c>
      <c r="AE694" s="6">
        <v>20001</v>
      </c>
      <c r="AF694" s="6">
        <v>33002</v>
      </c>
    </row>
    <row r="695" spans="1:32" x14ac:dyDescent="0.35">
      <c r="A695" s="1">
        <v>42410</v>
      </c>
      <c r="B695" s="6">
        <v>4486278</v>
      </c>
      <c r="C695" s="6">
        <v>11037</v>
      </c>
      <c r="D695" s="6">
        <v>5200</v>
      </c>
      <c r="E695" s="6">
        <v>2006</v>
      </c>
      <c r="F695" s="6">
        <v>4407622</v>
      </c>
      <c r="G695" s="6">
        <v>4236672</v>
      </c>
      <c r="H695" s="6">
        <v>2461174</v>
      </c>
      <c r="I695" s="6">
        <v>0</v>
      </c>
      <c r="J695" s="6">
        <v>2346639</v>
      </c>
      <c r="K695" s="6">
        <v>98534</v>
      </c>
      <c r="L695" s="6">
        <v>16002</v>
      </c>
      <c r="M695" s="6">
        <v>4868</v>
      </c>
      <c r="N695" s="6">
        <v>83192</v>
      </c>
      <c r="O695" s="6">
        <v>136531</v>
      </c>
      <c r="P695" s="6">
        <v>1118217</v>
      </c>
      <c r="Q695" s="6">
        <v>485016</v>
      </c>
      <c r="R695" s="6">
        <v>633351</v>
      </c>
      <c r="S695" s="6">
        <v>31318</v>
      </c>
      <c r="T695" s="6">
        <v>1744180</v>
      </c>
      <c r="U695" s="6">
        <v>187319</v>
      </c>
      <c r="V695" s="6">
        <v>-16380</v>
      </c>
      <c r="W695" s="6">
        <v>0</v>
      </c>
      <c r="X695" s="6">
        <v>11</v>
      </c>
      <c r="Y695" s="6"/>
      <c r="Z695" s="6"/>
      <c r="AA695" s="6"/>
      <c r="AB695" s="6">
        <v>172</v>
      </c>
      <c r="AC695" s="6">
        <v>2231</v>
      </c>
      <c r="AD695" s="6">
        <v>91</v>
      </c>
      <c r="AE695" s="6">
        <v>20458</v>
      </c>
      <c r="AF695" s="6">
        <v>35741</v>
      </c>
    </row>
    <row r="696" spans="1:32" x14ac:dyDescent="0.35">
      <c r="A696" s="1">
        <v>42417</v>
      </c>
      <c r="B696" s="6">
        <v>4483629</v>
      </c>
      <c r="C696" s="6">
        <v>11037</v>
      </c>
      <c r="D696" s="6">
        <v>5200</v>
      </c>
      <c r="E696" s="6">
        <v>1995</v>
      </c>
      <c r="F696" s="6">
        <v>4420345</v>
      </c>
      <c r="G696" s="6">
        <v>4249169</v>
      </c>
      <c r="H696" s="6">
        <v>2461080</v>
      </c>
      <c r="I696" s="6">
        <v>0</v>
      </c>
      <c r="J696" s="6">
        <v>2346639</v>
      </c>
      <c r="K696" s="6">
        <v>98534</v>
      </c>
      <c r="L696" s="6">
        <v>15907</v>
      </c>
      <c r="M696" s="6">
        <v>31839</v>
      </c>
      <c r="N696" s="6">
        <v>65374</v>
      </c>
      <c r="O696" s="6">
        <v>129663</v>
      </c>
      <c r="P696" s="6">
        <v>1141973</v>
      </c>
      <c r="Q696" s="6">
        <v>455956</v>
      </c>
      <c r="R696" s="6">
        <v>636276</v>
      </c>
      <c r="S696" s="6">
        <v>31318</v>
      </c>
      <c r="T696" s="6">
        <v>1756771</v>
      </c>
      <c r="U696" s="6">
        <v>187468</v>
      </c>
      <c r="V696" s="6">
        <v>-16365</v>
      </c>
      <c r="W696" s="6">
        <v>0</v>
      </c>
      <c r="X696" s="6">
        <v>73</v>
      </c>
      <c r="Y696" s="6"/>
      <c r="Z696" s="6"/>
      <c r="AA696" s="6"/>
      <c r="AB696" s="6">
        <v>191</v>
      </c>
      <c r="AC696" s="6">
        <v>2231</v>
      </c>
      <c r="AD696" s="6">
        <v>98</v>
      </c>
      <c r="AE696" s="6">
        <v>20360</v>
      </c>
      <c r="AF696" s="6">
        <v>20450</v>
      </c>
    </row>
    <row r="697" spans="1:32" x14ac:dyDescent="0.35">
      <c r="A697" s="1">
        <v>42424</v>
      </c>
      <c r="B697" s="6">
        <v>4489796</v>
      </c>
      <c r="C697" s="6">
        <v>11037</v>
      </c>
      <c r="D697" s="6">
        <v>5200</v>
      </c>
      <c r="E697" s="6">
        <v>1970</v>
      </c>
      <c r="F697" s="6">
        <v>4424521</v>
      </c>
      <c r="G697" s="6">
        <v>4253447</v>
      </c>
      <c r="H697" s="6">
        <v>2461211</v>
      </c>
      <c r="I697" s="6">
        <v>0</v>
      </c>
      <c r="J697" s="6">
        <v>2346865</v>
      </c>
      <c r="K697" s="6">
        <v>98534</v>
      </c>
      <c r="L697" s="6">
        <v>15813</v>
      </c>
      <c r="M697" s="6">
        <v>31839</v>
      </c>
      <c r="N697" s="6">
        <v>65373</v>
      </c>
      <c r="O697" s="6">
        <v>129658</v>
      </c>
      <c r="P697" s="6">
        <v>1141956</v>
      </c>
      <c r="Q697" s="6">
        <v>462562</v>
      </c>
      <c r="R697" s="6">
        <v>629824</v>
      </c>
      <c r="S697" s="6">
        <v>31318</v>
      </c>
      <c r="T697" s="6">
        <v>1760918</v>
      </c>
      <c r="U697" s="6">
        <v>187387</v>
      </c>
      <c r="V697" s="6">
        <v>-16333</v>
      </c>
      <c r="W697" s="6">
        <v>0</v>
      </c>
      <c r="X697" s="6">
        <v>19</v>
      </c>
      <c r="Y697" s="6"/>
      <c r="Z697" s="6"/>
      <c r="AA697" s="6"/>
      <c r="AB697" s="6">
        <v>141</v>
      </c>
      <c r="AC697" s="6">
        <v>2229</v>
      </c>
      <c r="AD697" s="6">
        <v>89</v>
      </c>
      <c r="AE697" s="6">
        <v>20436</v>
      </c>
      <c r="AF697" s="6">
        <v>22451</v>
      </c>
    </row>
    <row r="698" spans="1:32" x14ac:dyDescent="0.35">
      <c r="A698" s="1">
        <v>42431</v>
      </c>
      <c r="B698" s="6">
        <v>4478485</v>
      </c>
      <c r="C698" s="6">
        <v>11037</v>
      </c>
      <c r="D698" s="6">
        <v>5200</v>
      </c>
      <c r="E698" s="6">
        <v>1938</v>
      </c>
      <c r="F698" s="6">
        <v>4414615</v>
      </c>
      <c r="G698" s="6">
        <v>4244299</v>
      </c>
      <c r="H698" s="6">
        <v>2461152</v>
      </c>
      <c r="I698" s="6">
        <v>0</v>
      </c>
      <c r="J698" s="6">
        <v>2344518</v>
      </c>
      <c r="K698" s="6">
        <v>100880</v>
      </c>
      <c r="L698" s="6">
        <v>15753</v>
      </c>
      <c r="M698" s="6">
        <v>0</v>
      </c>
      <c r="N698" s="6">
        <v>90621</v>
      </c>
      <c r="O698" s="6">
        <v>117582</v>
      </c>
      <c r="P698" s="6">
        <v>1152276</v>
      </c>
      <c r="Q698" s="6">
        <v>468542</v>
      </c>
      <c r="R698" s="6">
        <v>632131</v>
      </c>
      <c r="S698" s="6">
        <v>31318</v>
      </c>
      <c r="T698" s="6">
        <v>1751829</v>
      </c>
      <c r="U698" s="6">
        <v>186743</v>
      </c>
      <c r="V698" s="6">
        <v>-16437</v>
      </c>
      <c r="W698" s="6">
        <v>0</v>
      </c>
      <c r="X698" s="6">
        <v>11</v>
      </c>
      <c r="Y698" s="6"/>
      <c r="Z698" s="6"/>
      <c r="AA698" s="6"/>
      <c r="AB698" s="6">
        <v>184</v>
      </c>
      <c r="AC698" s="6">
        <v>2225</v>
      </c>
      <c r="AD698" s="6">
        <v>88</v>
      </c>
      <c r="AE698" s="6">
        <v>20143</v>
      </c>
      <c r="AF698" s="6">
        <v>21335</v>
      </c>
    </row>
    <row r="699" spans="1:32" x14ac:dyDescent="0.35">
      <c r="A699" s="1">
        <v>42438</v>
      </c>
      <c r="B699" s="6">
        <v>4481083</v>
      </c>
      <c r="C699" s="6">
        <v>11037</v>
      </c>
      <c r="D699" s="6">
        <v>5200</v>
      </c>
      <c r="E699" s="6">
        <v>1930</v>
      </c>
      <c r="F699" s="6">
        <v>4414362</v>
      </c>
      <c r="G699" s="6">
        <v>4244344</v>
      </c>
      <c r="H699" s="6">
        <v>2461196</v>
      </c>
      <c r="I699" s="6">
        <v>0</v>
      </c>
      <c r="J699" s="6">
        <v>2344518</v>
      </c>
      <c r="K699" s="6">
        <v>100880</v>
      </c>
      <c r="L699" s="6">
        <v>15797</v>
      </c>
      <c r="M699" s="6">
        <v>0</v>
      </c>
      <c r="N699" s="6">
        <v>90621</v>
      </c>
      <c r="O699" s="6">
        <v>117584</v>
      </c>
      <c r="P699" s="6">
        <v>1152283</v>
      </c>
      <c r="Q699" s="6">
        <v>468548</v>
      </c>
      <c r="R699" s="6">
        <v>632159</v>
      </c>
      <c r="S699" s="6">
        <v>31318</v>
      </c>
      <c r="T699" s="6">
        <v>1751830</v>
      </c>
      <c r="U699" s="6">
        <v>186413</v>
      </c>
      <c r="V699" s="6">
        <v>-16406</v>
      </c>
      <c r="W699" s="6">
        <v>0</v>
      </c>
      <c r="X699" s="6">
        <v>12</v>
      </c>
      <c r="Y699" s="6"/>
      <c r="Z699" s="6"/>
      <c r="AA699" s="6"/>
      <c r="AB699" s="6">
        <v>147</v>
      </c>
      <c r="AC699" s="6">
        <v>2225</v>
      </c>
      <c r="AD699" s="6">
        <v>95</v>
      </c>
      <c r="AE699" s="6">
        <v>20310</v>
      </c>
      <c r="AF699" s="6">
        <v>24055</v>
      </c>
    </row>
    <row r="700" spans="1:32" x14ac:dyDescent="0.35">
      <c r="A700" s="1">
        <v>42445</v>
      </c>
      <c r="B700" s="6">
        <v>4486333</v>
      </c>
      <c r="C700" s="6">
        <v>11037</v>
      </c>
      <c r="D700" s="6">
        <v>5200</v>
      </c>
      <c r="E700" s="6">
        <v>1917</v>
      </c>
      <c r="F700" s="6">
        <v>4418619</v>
      </c>
      <c r="G700" s="6">
        <v>4248579</v>
      </c>
      <c r="H700" s="6">
        <v>2461239</v>
      </c>
      <c r="I700" s="6">
        <v>0</v>
      </c>
      <c r="J700" s="6">
        <v>2344518</v>
      </c>
      <c r="K700" s="6">
        <v>100880</v>
      </c>
      <c r="L700" s="6">
        <v>15841</v>
      </c>
      <c r="M700" s="6">
        <v>23587</v>
      </c>
      <c r="N700" s="6">
        <v>67034</v>
      </c>
      <c r="O700" s="6">
        <v>117587</v>
      </c>
      <c r="P700" s="6">
        <v>1152291</v>
      </c>
      <c r="Q700" s="6">
        <v>468555</v>
      </c>
      <c r="R700" s="6">
        <v>632186</v>
      </c>
      <c r="S700" s="6">
        <v>29257</v>
      </c>
      <c r="T700" s="6">
        <v>1758082</v>
      </c>
      <c r="U700" s="6">
        <v>186371</v>
      </c>
      <c r="V700" s="6">
        <v>-16367</v>
      </c>
      <c r="W700" s="6">
        <v>0</v>
      </c>
      <c r="X700" s="6">
        <v>37</v>
      </c>
      <c r="Y700" s="6"/>
      <c r="Z700" s="6"/>
      <c r="AA700" s="6"/>
      <c r="AB700" s="6">
        <v>150</v>
      </c>
      <c r="AC700" s="6">
        <v>2227</v>
      </c>
      <c r="AD700" s="6">
        <v>76</v>
      </c>
      <c r="AE700" s="6">
        <v>20323</v>
      </c>
      <c r="AF700" s="6">
        <v>25064</v>
      </c>
    </row>
    <row r="701" spans="1:32" x14ac:dyDescent="0.35">
      <c r="A701" s="1">
        <v>42452</v>
      </c>
      <c r="B701" s="6">
        <v>4492857</v>
      </c>
      <c r="C701" s="6">
        <v>11037</v>
      </c>
      <c r="D701" s="6">
        <v>5200</v>
      </c>
      <c r="E701" s="6">
        <v>1896</v>
      </c>
      <c r="F701" s="6">
        <v>4423381</v>
      </c>
      <c r="G701" s="6">
        <v>4253473</v>
      </c>
      <c r="H701" s="6">
        <v>2461283</v>
      </c>
      <c r="I701" s="6">
        <v>0</v>
      </c>
      <c r="J701" s="6">
        <v>2344518</v>
      </c>
      <c r="K701" s="6">
        <v>100880</v>
      </c>
      <c r="L701" s="6">
        <v>15884</v>
      </c>
      <c r="M701" s="6">
        <v>23587</v>
      </c>
      <c r="N701" s="6">
        <v>67034</v>
      </c>
      <c r="O701" s="6">
        <v>117589</v>
      </c>
      <c r="P701" s="6">
        <v>1152298</v>
      </c>
      <c r="Q701" s="6">
        <v>468561</v>
      </c>
      <c r="R701" s="6">
        <v>632214</v>
      </c>
      <c r="S701" s="6">
        <v>29257</v>
      </c>
      <c r="T701" s="6">
        <v>1762933</v>
      </c>
      <c r="U701" s="6">
        <v>186225</v>
      </c>
      <c r="V701" s="6">
        <v>-16335</v>
      </c>
      <c r="W701" s="6">
        <v>0</v>
      </c>
      <c r="X701" s="6">
        <v>18</v>
      </c>
      <c r="Y701" s="6"/>
      <c r="Z701" s="6"/>
      <c r="AA701" s="6"/>
      <c r="AB701" s="6">
        <v>148</v>
      </c>
      <c r="AC701" s="6">
        <v>2227</v>
      </c>
      <c r="AD701" s="6">
        <v>53</v>
      </c>
      <c r="AE701" s="6">
        <v>20508</v>
      </c>
      <c r="AF701" s="6">
        <v>26686</v>
      </c>
    </row>
    <row r="702" spans="1:32" x14ac:dyDescent="0.35">
      <c r="A702" s="1">
        <v>42459</v>
      </c>
      <c r="B702" s="6">
        <v>4482840</v>
      </c>
      <c r="C702" s="6">
        <v>11037</v>
      </c>
      <c r="D702" s="6">
        <v>5200</v>
      </c>
      <c r="E702" s="6">
        <v>1876</v>
      </c>
      <c r="F702" s="6">
        <v>4412953</v>
      </c>
      <c r="G702" s="6">
        <v>4243666</v>
      </c>
      <c r="H702" s="6">
        <v>2461326</v>
      </c>
      <c r="I702" s="6">
        <v>0</v>
      </c>
      <c r="J702" s="6">
        <v>2344518</v>
      </c>
      <c r="K702" s="6">
        <v>100880</v>
      </c>
      <c r="L702" s="6">
        <v>15928</v>
      </c>
      <c r="M702" s="6">
        <v>23587</v>
      </c>
      <c r="N702" s="6">
        <v>67034</v>
      </c>
      <c r="O702" s="6">
        <v>117592</v>
      </c>
      <c r="P702" s="6">
        <v>1155990</v>
      </c>
      <c r="Q702" s="6">
        <v>464882</v>
      </c>
      <c r="R702" s="6">
        <v>632241</v>
      </c>
      <c r="S702" s="6">
        <v>29257</v>
      </c>
      <c r="T702" s="6">
        <v>1753082</v>
      </c>
      <c r="U702" s="6">
        <v>185557</v>
      </c>
      <c r="V702" s="6">
        <v>-16301</v>
      </c>
      <c r="W702" s="6">
        <v>0</v>
      </c>
      <c r="X702" s="6">
        <v>32</v>
      </c>
      <c r="Y702" s="6"/>
      <c r="Z702" s="6"/>
      <c r="AA702" s="6"/>
      <c r="AB702" s="6">
        <v>142</v>
      </c>
      <c r="AC702" s="6">
        <v>2226</v>
      </c>
      <c r="AD702" s="6">
        <v>48</v>
      </c>
      <c r="AE702" s="6">
        <v>20681</v>
      </c>
      <c r="AF702" s="6">
        <v>26956</v>
      </c>
    </row>
    <row r="703" spans="1:32" x14ac:dyDescent="0.35">
      <c r="A703" s="1">
        <v>42466</v>
      </c>
      <c r="B703" s="6">
        <v>4484069</v>
      </c>
      <c r="C703" s="6">
        <v>11037</v>
      </c>
      <c r="D703" s="6">
        <v>5200</v>
      </c>
      <c r="E703" s="6">
        <v>1873</v>
      </c>
      <c r="F703" s="6">
        <v>4412648</v>
      </c>
      <c r="G703" s="6">
        <v>4243689</v>
      </c>
      <c r="H703" s="6">
        <v>2461345</v>
      </c>
      <c r="I703" s="6">
        <v>0</v>
      </c>
      <c r="J703" s="6">
        <v>2341898</v>
      </c>
      <c r="K703" s="6">
        <v>103501</v>
      </c>
      <c r="L703" s="6">
        <v>15946</v>
      </c>
      <c r="M703" s="6">
        <v>394</v>
      </c>
      <c r="N703" s="6">
        <v>80207</v>
      </c>
      <c r="O703" s="6">
        <v>117586</v>
      </c>
      <c r="P703" s="6">
        <v>1156730</v>
      </c>
      <c r="Q703" s="6">
        <v>474170</v>
      </c>
      <c r="R703" s="6">
        <v>632257</v>
      </c>
      <c r="S703" s="6">
        <v>29257</v>
      </c>
      <c r="T703" s="6">
        <v>1753087</v>
      </c>
      <c r="U703" s="6">
        <v>185271</v>
      </c>
      <c r="V703" s="6">
        <v>-16349</v>
      </c>
      <c r="W703" s="6">
        <v>0</v>
      </c>
      <c r="X703" s="6">
        <v>37</v>
      </c>
      <c r="Y703" s="6"/>
      <c r="Z703" s="6"/>
      <c r="AA703" s="6"/>
      <c r="AB703" s="6">
        <v>168</v>
      </c>
      <c r="AC703" s="6">
        <v>2220</v>
      </c>
      <c r="AD703" s="6">
        <v>146</v>
      </c>
      <c r="AE703" s="6">
        <v>21015</v>
      </c>
      <c r="AF703" s="6">
        <v>28041</v>
      </c>
    </row>
    <row r="704" spans="1:32" x14ac:dyDescent="0.35">
      <c r="A704" s="1">
        <v>42473</v>
      </c>
      <c r="B704" s="6">
        <v>4499729</v>
      </c>
      <c r="C704" s="6">
        <v>11037</v>
      </c>
      <c r="D704" s="6">
        <v>5200</v>
      </c>
      <c r="E704" s="6">
        <v>1874</v>
      </c>
      <c r="F704" s="6">
        <v>4425827</v>
      </c>
      <c r="G704" s="6">
        <v>4256748</v>
      </c>
      <c r="H704" s="6">
        <v>2461368</v>
      </c>
      <c r="I704" s="6">
        <v>0</v>
      </c>
      <c r="J704" s="6">
        <v>2341898</v>
      </c>
      <c r="K704" s="6">
        <v>103501</v>
      </c>
      <c r="L704" s="6">
        <v>15969</v>
      </c>
      <c r="M704" s="6">
        <v>394</v>
      </c>
      <c r="N704" s="6">
        <v>80207</v>
      </c>
      <c r="O704" s="6">
        <v>117587</v>
      </c>
      <c r="P704" s="6">
        <v>1156734</v>
      </c>
      <c r="Q704" s="6">
        <v>474174</v>
      </c>
      <c r="R704" s="6">
        <v>632271</v>
      </c>
      <c r="S704" s="6">
        <v>29257</v>
      </c>
      <c r="T704" s="6">
        <v>1766123</v>
      </c>
      <c r="U704" s="6">
        <v>185357</v>
      </c>
      <c r="V704" s="6">
        <v>-16318</v>
      </c>
      <c r="W704" s="6">
        <v>0</v>
      </c>
      <c r="X704" s="6">
        <v>41</v>
      </c>
      <c r="Y704" s="6"/>
      <c r="Z704" s="6"/>
      <c r="AA704" s="6"/>
      <c r="AB704" s="6">
        <v>169</v>
      </c>
      <c r="AC704" s="6">
        <v>2222</v>
      </c>
      <c r="AD704" s="6">
        <v>45</v>
      </c>
      <c r="AE704" s="6">
        <v>20884</v>
      </c>
      <c r="AF704" s="6">
        <v>30749</v>
      </c>
    </row>
    <row r="705" spans="1:32" x14ac:dyDescent="0.35">
      <c r="A705" s="1">
        <v>42480</v>
      </c>
      <c r="B705" s="6">
        <v>4490131</v>
      </c>
      <c r="C705" s="6">
        <v>11037</v>
      </c>
      <c r="D705" s="6">
        <v>5200</v>
      </c>
      <c r="E705" s="6">
        <v>1877</v>
      </c>
      <c r="F705" s="6">
        <v>4416669</v>
      </c>
      <c r="G705" s="6">
        <v>4248103</v>
      </c>
      <c r="H705" s="6">
        <v>2461390</v>
      </c>
      <c r="I705" s="6">
        <v>0</v>
      </c>
      <c r="J705" s="6">
        <v>2342292</v>
      </c>
      <c r="K705" s="6">
        <v>103134</v>
      </c>
      <c r="L705" s="6">
        <v>15965</v>
      </c>
      <c r="M705" s="6">
        <v>27371</v>
      </c>
      <c r="N705" s="6">
        <v>56443</v>
      </c>
      <c r="O705" s="6">
        <v>114430</v>
      </c>
      <c r="P705" s="6">
        <v>1156458</v>
      </c>
      <c r="Q705" s="6">
        <v>474318</v>
      </c>
      <c r="R705" s="6">
        <v>632370</v>
      </c>
      <c r="S705" s="6">
        <v>27096</v>
      </c>
      <c r="T705" s="6">
        <v>1759617</v>
      </c>
      <c r="U705" s="6">
        <v>184786</v>
      </c>
      <c r="V705" s="6">
        <v>-16284</v>
      </c>
      <c r="W705" s="6">
        <v>0</v>
      </c>
      <c r="X705" s="6">
        <v>64</v>
      </c>
      <c r="Y705" s="6"/>
      <c r="Z705" s="6"/>
      <c r="AA705" s="6"/>
      <c r="AB705" s="6">
        <v>148</v>
      </c>
      <c r="AC705" s="6">
        <v>2222</v>
      </c>
      <c r="AD705" s="6">
        <v>33</v>
      </c>
      <c r="AE705" s="6">
        <v>20915</v>
      </c>
      <c r="AF705" s="6">
        <v>30308</v>
      </c>
    </row>
    <row r="706" spans="1:32" x14ac:dyDescent="0.35">
      <c r="A706" s="1">
        <v>42487</v>
      </c>
      <c r="B706" s="6">
        <v>4474665</v>
      </c>
      <c r="C706" s="6">
        <v>11037</v>
      </c>
      <c r="D706" s="6">
        <v>5200</v>
      </c>
      <c r="E706" s="6">
        <v>1867</v>
      </c>
      <c r="F706" s="6">
        <v>4401115</v>
      </c>
      <c r="G706" s="6">
        <v>4233335</v>
      </c>
      <c r="H706" s="6">
        <v>2461413</v>
      </c>
      <c r="I706" s="6">
        <v>0</v>
      </c>
      <c r="J706" s="6">
        <v>2342292</v>
      </c>
      <c r="K706" s="6">
        <v>103134</v>
      </c>
      <c r="L706" s="6">
        <v>15987</v>
      </c>
      <c r="M706" s="6">
        <v>27371</v>
      </c>
      <c r="N706" s="6">
        <v>56444</v>
      </c>
      <c r="O706" s="6">
        <v>114431</v>
      </c>
      <c r="P706" s="6">
        <v>1156462</v>
      </c>
      <c r="Q706" s="6">
        <v>474322</v>
      </c>
      <c r="R706" s="6">
        <v>632384</v>
      </c>
      <c r="S706" s="6">
        <v>27096</v>
      </c>
      <c r="T706" s="6">
        <v>1744826</v>
      </c>
      <c r="U706" s="6">
        <v>183791</v>
      </c>
      <c r="V706" s="6">
        <v>-16082</v>
      </c>
      <c r="W706" s="6">
        <v>0</v>
      </c>
      <c r="X706" s="6">
        <v>70</v>
      </c>
      <c r="Y706" s="6"/>
      <c r="Z706" s="6"/>
      <c r="AA706" s="6"/>
      <c r="AB706" s="6">
        <v>182</v>
      </c>
      <c r="AC706" s="6">
        <v>2222</v>
      </c>
      <c r="AD706" s="6">
        <v>0</v>
      </c>
      <c r="AE706" s="6">
        <v>20772</v>
      </c>
      <c r="AF706" s="6">
        <v>30557</v>
      </c>
    </row>
    <row r="707" spans="1:32" x14ac:dyDescent="0.35">
      <c r="A707" s="1">
        <v>42494</v>
      </c>
      <c r="B707" s="6">
        <v>4477270</v>
      </c>
      <c r="C707" s="6">
        <v>11037</v>
      </c>
      <c r="D707" s="6">
        <v>5200</v>
      </c>
      <c r="E707" s="6">
        <v>1870</v>
      </c>
      <c r="F707" s="6">
        <v>4400819</v>
      </c>
      <c r="G707" s="6">
        <v>4233412</v>
      </c>
      <c r="H707" s="6">
        <v>2461489</v>
      </c>
      <c r="I707" s="6">
        <v>0</v>
      </c>
      <c r="J707" s="6">
        <v>2342292</v>
      </c>
      <c r="K707" s="6">
        <v>103134</v>
      </c>
      <c r="L707" s="6">
        <v>16063</v>
      </c>
      <c r="M707" s="6">
        <v>14021</v>
      </c>
      <c r="N707" s="6">
        <v>49618</v>
      </c>
      <c r="O707" s="6">
        <v>121298</v>
      </c>
      <c r="P707" s="6">
        <v>1164675</v>
      </c>
      <c r="Q707" s="6">
        <v>479447</v>
      </c>
      <c r="R707" s="6">
        <v>632431</v>
      </c>
      <c r="S707" s="6">
        <v>27096</v>
      </c>
      <c r="T707" s="6">
        <v>1744827</v>
      </c>
      <c r="U707" s="6">
        <v>183430</v>
      </c>
      <c r="V707" s="6">
        <v>-16082</v>
      </c>
      <c r="W707" s="6">
        <v>0</v>
      </c>
      <c r="X707" s="6">
        <v>60</v>
      </c>
      <c r="Y707" s="6"/>
      <c r="Z707" s="6"/>
      <c r="AA707" s="6"/>
      <c r="AB707" s="6">
        <v>150</v>
      </c>
      <c r="AC707" s="6">
        <v>2219</v>
      </c>
      <c r="AD707" s="6">
        <v>1200</v>
      </c>
      <c r="AE707" s="6">
        <v>21276</v>
      </c>
      <c r="AF707" s="6">
        <v>31785</v>
      </c>
    </row>
    <row r="708" spans="1:32" x14ac:dyDescent="0.35">
      <c r="A708" s="1">
        <v>42501</v>
      </c>
      <c r="B708" s="6">
        <v>4478411</v>
      </c>
      <c r="C708" s="6">
        <v>11037</v>
      </c>
      <c r="D708" s="6">
        <v>5200</v>
      </c>
      <c r="E708" s="6">
        <v>1877</v>
      </c>
      <c r="F708" s="6">
        <v>4400648</v>
      </c>
      <c r="G708" s="6">
        <v>4233528</v>
      </c>
      <c r="H708" s="6">
        <v>2461605</v>
      </c>
      <c r="I708" s="6">
        <v>0</v>
      </c>
      <c r="J708" s="6">
        <v>2342292</v>
      </c>
      <c r="K708" s="6">
        <v>103134</v>
      </c>
      <c r="L708" s="6">
        <v>16179</v>
      </c>
      <c r="M708" s="6">
        <v>14021</v>
      </c>
      <c r="N708" s="6">
        <v>49621</v>
      </c>
      <c r="O708" s="6">
        <v>121301</v>
      </c>
      <c r="P708" s="6">
        <v>1164693</v>
      </c>
      <c r="Q708" s="6">
        <v>479465</v>
      </c>
      <c r="R708" s="6">
        <v>632503</v>
      </c>
      <c r="S708" s="6">
        <v>27096</v>
      </c>
      <c r="T708" s="6">
        <v>1744827</v>
      </c>
      <c r="U708" s="6">
        <v>183103</v>
      </c>
      <c r="V708" s="6">
        <v>-16051</v>
      </c>
      <c r="W708" s="6">
        <v>0</v>
      </c>
      <c r="X708" s="6">
        <v>68</v>
      </c>
      <c r="Y708" s="6"/>
      <c r="Z708" s="6"/>
      <c r="AA708" s="6"/>
      <c r="AB708" s="6">
        <v>135</v>
      </c>
      <c r="AC708" s="6">
        <v>2219</v>
      </c>
      <c r="AD708" s="6">
        <v>0</v>
      </c>
      <c r="AE708" s="6">
        <v>21120</v>
      </c>
      <c r="AF708" s="6">
        <v>34463</v>
      </c>
    </row>
    <row r="709" spans="1:32" x14ac:dyDescent="0.35">
      <c r="A709" s="1">
        <v>42508</v>
      </c>
      <c r="B709" s="6">
        <v>4473741</v>
      </c>
      <c r="C709" s="6">
        <v>11037</v>
      </c>
      <c r="D709" s="6">
        <v>5200</v>
      </c>
      <c r="E709" s="6">
        <v>1858</v>
      </c>
      <c r="F709" s="6">
        <v>4408580</v>
      </c>
      <c r="G709" s="6">
        <v>4241550</v>
      </c>
      <c r="H709" s="6">
        <v>2461721</v>
      </c>
      <c r="I709" s="6">
        <v>0</v>
      </c>
      <c r="J709" s="6">
        <v>2342292</v>
      </c>
      <c r="K709" s="6">
        <v>103134</v>
      </c>
      <c r="L709" s="6">
        <v>16295</v>
      </c>
      <c r="M709" s="6">
        <v>25248</v>
      </c>
      <c r="N709" s="6">
        <v>30727</v>
      </c>
      <c r="O709" s="6">
        <v>135438</v>
      </c>
      <c r="P709" s="6">
        <v>1193128</v>
      </c>
      <c r="Q709" s="6">
        <v>441214</v>
      </c>
      <c r="R709" s="6">
        <v>635967</v>
      </c>
      <c r="S709" s="6">
        <v>25096</v>
      </c>
      <c r="T709" s="6">
        <v>1754733</v>
      </c>
      <c r="U709" s="6">
        <v>183091</v>
      </c>
      <c r="V709" s="6">
        <v>-16135</v>
      </c>
      <c r="W709" s="6">
        <v>0</v>
      </c>
      <c r="X709" s="6">
        <v>74</v>
      </c>
      <c r="Y709" s="6"/>
      <c r="Z709" s="6"/>
      <c r="AA709" s="6"/>
      <c r="AB709" s="6">
        <v>179</v>
      </c>
      <c r="AC709" s="6">
        <v>2220</v>
      </c>
      <c r="AD709" s="6">
        <v>1006</v>
      </c>
      <c r="AE709" s="6">
        <v>20844</v>
      </c>
      <c r="AF709" s="6">
        <v>21104</v>
      </c>
    </row>
    <row r="710" spans="1:32" x14ac:dyDescent="0.35">
      <c r="A710" s="1">
        <v>42515</v>
      </c>
      <c r="B710" s="6">
        <v>4461111</v>
      </c>
      <c r="C710" s="6">
        <v>11037</v>
      </c>
      <c r="D710" s="6">
        <v>5200</v>
      </c>
      <c r="E710" s="6">
        <v>1837</v>
      </c>
      <c r="F710" s="6">
        <v>4396845</v>
      </c>
      <c r="G710" s="6">
        <v>4229807</v>
      </c>
      <c r="H710" s="6">
        <v>2461637</v>
      </c>
      <c r="I710" s="6">
        <v>0</v>
      </c>
      <c r="J710" s="6">
        <v>2342092</v>
      </c>
      <c r="K710" s="6">
        <v>103134</v>
      </c>
      <c r="L710" s="6">
        <v>16411</v>
      </c>
      <c r="M710" s="6">
        <v>25248</v>
      </c>
      <c r="N710" s="6">
        <v>30731</v>
      </c>
      <c r="O710" s="6">
        <v>135441</v>
      </c>
      <c r="P710" s="6">
        <v>1192946</v>
      </c>
      <c r="Q710" s="6">
        <v>441232</v>
      </c>
      <c r="R710" s="6">
        <v>636039</v>
      </c>
      <c r="S710" s="6">
        <v>25096</v>
      </c>
      <c r="T710" s="6">
        <v>1743074</v>
      </c>
      <c r="U710" s="6">
        <v>182397</v>
      </c>
      <c r="V710" s="6">
        <v>-16089</v>
      </c>
      <c r="W710" s="6">
        <v>610</v>
      </c>
      <c r="X710" s="6">
        <v>120</v>
      </c>
      <c r="Y710" s="6"/>
      <c r="Z710" s="6"/>
      <c r="AA710" s="6"/>
      <c r="AB710" s="6">
        <v>144</v>
      </c>
      <c r="AC710" s="6">
        <v>2220</v>
      </c>
      <c r="AD710" s="6">
        <v>1006</v>
      </c>
      <c r="AE710" s="6">
        <v>20667</v>
      </c>
      <c r="AF710" s="6">
        <v>20442</v>
      </c>
    </row>
    <row r="711" spans="1:32" x14ac:dyDescent="0.35">
      <c r="A711" s="1">
        <v>42522</v>
      </c>
      <c r="B711" s="6">
        <v>4461393</v>
      </c>
      <c r="C711" s="6">
        <v>11037</v>
      </c>
      <c r="D711" s="6">
        <v>5200</v>
      </c>
      <c r="E711" s="6">
        <v>1828</v>
      </c>
      <c r="F711" s="6">
        <v>4396075</v>
      </c>
      <c r="G711" s="6">
        <v>4229933</v>
      </c>
      <c r="H711" s="6">
        <v>2461761</v>
      </c>
      <c r="I711" s="6">
        <v>0</v>
      </c>
      <c r="J711" s="6">
        <v>2339286</v>
      </c>
      <c r="K711" s="6">
        <v>105939</v>
      </c>
      <c r="L711" s="6">
        <v>16536</v>
      </c>
      <c r="M711" s="6">
        <v>0</v>
      </c>
      <c r="N711" s="6">
        <v>30734</v>
      </c>
      <c r="O711" s="6">
        <v>147354</v>
      </c>
      <c r="P711" s="6">
        <v>1197951</v>
      </c>
      <c r="Q711" s="6">
        <v>449610</v>
      </c>
      <c r="R711" s="6">
        <v>636112</v>
      </c>
      <c r="S711" s="6">
        <v>25096</v>
      </c>
      <c r="T711" s="6">
        <v>1743076</v>
      </c>
      <c r="U711" s="6">
        <v>182112</v>
      </c>
      <c r="V711" s="6">
        <v>-16059</v>
      </c>
      <c r="W711" s="6">
        <v>0</v>
      </c>
      <c r="X711" s="6">
        <v>89</v>
      </c>
      <c r="Y711" s="6"/>
      <c r="Z711" s="6"/>
      <c r="AA711" s="6"/>
      <c r="AB711" s="6">
        <v>240</v>
      </c>
      <c r="AC711" s="6">
        <v>2214</v>
      </c>
      <c r="AD711" s="6">
        <v>801</v>
      </c>
      <c r="AE711" s="6">
        <v>20730</v>
      </c>
      <c r="AF711" s="6">
        <v>21556</v>
      </c>
    </row>
    <row r="712" spans="1:32" x14ac:dyDescent="0.35">
      <c r="A712" s="1">
        <v>42529</v>
      </c>
      <c r="B712" s="6">
        <v>4463542</v>
      </c>
      <c r="C712" s="6">
        <v>11037</v>
      </c>
      <c r="D712" s="6">
        <v>5200</v>
      </c>
      <c r="E712" s="6">
        <v>1839</v>
      </c>
      <c r="F712" s="6">
        <v>4395929</v>
      </c>
      <c r="G712" s="6">
        <v>4230073</v>
      </c>
      <c r="H712" s="6">
        <v>2461897</v>
      </c>
      <c r="I712" s="6">
        <v>0</v>
      </c>
      <c r="J712" s="6">
        <v>2339286</v>
      </c>
      <c r="K712" s="6">
        <v>105939</v>
      </c>
      <c r="L712" s="6">
        <v>16671</v>
      </c>
      <c r="M712" s="6">
        <v>0</v>
      </c>
      <c r="N712" s="6">
        <v>37714</v>
      </c>
      <c r="O712" s="6">
        <v>140383</v>
      </c>
      <c r="P712" s="6">
        <v>1197972</v>
      </c>
      <c r="Q712" s="6">
        <v>449634</v>
      </c>
      <c r="R712" s="6">
        <v>636194</v>
      </c>
      <c r="S712" s="6">
        <v>25096</v>
      </c>
      <c r="T712" s="6">
        <v>1743081</v>
      </c>
      <c r="U712" s="6">
        <v>181790</v>
      </c>
      <c r="V712" s="6">
        <v>-16028</v>
      </c>
      <c r="W712" s="6">
        <v>0</v>
      </c>
      <c r="X712" s="6">
        <v>94</v>
      </c>
      <c r="Y712" s="6"/>
      <c r="Z712" s="6"/>
      <c r="AA712" s="6"/>
      <c r="AB712" s="6">
        <v>166</v>
      </c>
      <c r="AC712" s="6">
        <v>2214</v>
      </c>
      <c r="AD712" s="6">
        <v>0</v>
      </c>
      <c r="AE712" s="6">
        <v>21217</v>
      </c>
      <c r="AF712" s="6">
        <v>24228</v>
      </c>
    </row>
    <row r="713" spans="1:32" x14ac:dyDescent="0.35">
      <c r="A713" s="1">
        <v>42536</v>
      </c>
      <c r="B713" s="6">
        <v>4472817</v>
      </c>
      <c r="C713" s="6">
        <v>11037</v>
      </c>
      <c r="D713" s="6">
        <v>5200</v>
      </c>
      <c r="E713" s="6">
        <v>1844</v>
      </c>
      <c r="F713" s="6">
        <v>4404322</v>
      </c>
      <c r="G713" s="6">
        <v>4238453</v>
      </c>
      <c r="H713" s="6">
        <v>2462032</v>
      </c>
      <c r="I713" s="6">
        <v>0</v>
      </c>
      <c r="J713" s="6">
        <v>2339286</v>
      </c>
      <c r="K713" s="6">
        <v>105939</v>
      </c>
      <c r="L713" s="6">
        <v>16807</v>
      </c>
      <c r="M713" s="6">
        <v>13567</v>
      </c>
      <c r="N713" s="6">
        <v>24151</v>
      </c>
      <c r="O713" s="6">
        <v>140387</v>
      </c>
      <c r="P713" s="6">
        <v>1197994</v>
      </c>
      <c r="Q713" s="6">
        <v>449658</v>
      </c>
      <c r="R713" s="6">
        <v>636276</v>
      </c>
      <c r="S713" s="6">
        <v>25096</v>
      </c>
      <c r="T713" s="6">
        <v>1751324</v>
      </c>
      <c r="U713" s="6">
        <v>181739</v>
      </c>
      <c r="V713" s="6">
        <v>-15991</v>
      </c>
      <c r="W713" s="6">
        <v>0</v>
      </c>
      <c r="X713" s="6">
        <v>121</v>
      </c>
      <c r="Y713" s="6"/>
      <c r="Z713" s="6"/>
      <c r="AA713" s="6"/>
      <c r="AB713" s="6">
        <v>164</v>
      </c>
      <c r="AC713" s="6">
        <v>2217</v>
      </c>
      <c r="AD713" s="6">
        <v>6</v>
      </c>
      <c r="AE713" s="6">
        <v>21107</v>
      </c>
      <c r="AF713" s="6">
        <v>25208</v>
      </c>
    </row>
    <row r="714" spans="1:32" x14ac:dyDescent="0.35">
      <c r="A714" s="1">
        <v>42543</v>
      </c>
      <c r="B714" s="6">
        <v>4482009</v>
      </c>
      <c r="C714" s="6">
        <v>11037</v>
      </c>
      <c r="D714" s="6">
        <v>5200</v>
      </c>
      <c r="E714" s="6">
        <v>1863</v>
      </c>
      <c r="F714" s="6">
        <v>4411592</v>
      </c>
      <c r="G714" s="6">
        <v>4245772</v>
      </c>
      <c r="H714" s="6">
        <v>2462168</v>
      </c>
      <c r="I714" s="6">
        <v>0</v>
      </c>
      <c r="J714" s="6">
        <v>2339286</v>
      </c>
      <c r="K714" s="6">
        <v>105939</v>
      </c>
      <c r="L714" s="6">
        <v>16942</v>
      </c>
      <c r="M714" s="6">
        <v>13567</v>
      </c>
      <c r="N714" s="6">
        <v>24155</v>
      </c>
      <c r="O714" s="6">
        <v>140391</v>
      </c>
      <c r="P714" s="6">
        <v>1198015</v>
      </c>
      <c r="Q714" s="6">
        <v>449682</v>
      </c>
      <c r="R714" s="6">
        <v>636358</v>
      </c>
      <c r="S714" s="6">
        <v>25096</v>
      </c>
      <c r="T714" s="6">
        <v>1758508</v>
      </c>
      <c r="U714" s="6">
        <v>181634</v>
      </c>
      <c r="V714" s="6">
        <v>-15958</v>
      </c>
      <c r="W714" s="6">
        <v>0</v>
      </c>
      <c r="X714" s="6">
        <v>144</v>
      </c>
      <c r="Y714" s="6"/>
      <c r="Z714" s="6"/>
      <c r="AA714" s="6"/>
      <c r="AB714" s="6">
        <v>171</v>
      </c>
      <c r="AC714" s="6">
        <v>2218</v>
      </c>
      <c r="AD714" s="6">
        <v>0</v>
      </c>
      <c r="AE714" s="6">
        <v>21269</v>
      </c>
      <c r="AF714" s="6">
        <v>26946</v>
      </c>
    </row>
    <row r="715" spans="1:32" x14ac:dyDescent="0.35">
      <c r="A715" s="1">
        <v>42550</v>
      </c>
      <c r="B715" s="6">
        <v>4466482</v>
      </c>
      <c r="C715" s="6">
        <v>11037</v>
      </c>
      <c r="D715" s="6">
        <v>5200</v>
      </c>
      <c r="E715" s="6">
        <v>1853</v>
      </c>
      <c r="F715" s="6">
        <v>4396004</v>
      </c>
      <c r="G715" s="6">
        <v>4230940</v>
      </c>
      <c r="H715" s="6">
        <v>2462303</v>
      </c>
      <c r="I715" s="6">
        <v>0</v>
      </c>
      <c r="J715" s="6">
        <v>2339286</v>
      </c>
      <c r="K715" s="6">
        <v>105939</v>
      </c>
      <c r="L715" s="6">
        <v>17077</v>
      </c>
      <c r="M715" s="6">
        <v>13567</v>
      </c>
      <c r="N715" s="6">
        <v>24159</v>
      </c>
      <c r="O715" s="6">
        <v>140394</v>
      </c>
      <c r="P715" s="6">
        <v>1199997</v>
      </c>
      <c r="Q715" s="6">
        <v>447746</v>
      </c>
      <c r="R715" s="6">
        <v>636440</v>
      </c>
      <c r="S715" s="6">
        <v>25096</v>
      </c>
      <c r="T715" s="6">
        <v>1743541</v>
      </c>
      <c r="U715" s="6">
        <v>180818</v>
      </c>
      <c r="V715" s="6">
        <v>-15910</v>
      </c>
      <c r="W715" s="6">
        <v>0</v>
      </c>
      <c r="X715" s="6">
        <v>156</v>
      </c>
      <c r="Y715" s="6"/>
      <c r="Z715" s="6"/>
      <c r="AA715" s="6"/>
      <c r="AB715" s="6">
        <v>137</v>
      </c>
      <c r="AC715" s="6">
        <v>2220</v>
      </c>
      <c r="AD715" s="6">
        <v>2</v>
      </c>
      <c r="AE715" s="6">
        <v>21247</v>
      </c>
      <c r="AF715" s="6">
        <v>27070</v>
      </c>
    </row>
    <row r="716" spans="1:32" x14ac:dyDescent="0.35">
      <c r="A716" s="1">
        <v>42557</v>
      </c>
      <c r="B716" s="6">
        <v>4470605</v>
      </c>
      <c r="C716" s="6">
        <v>11037</v>
      </c>
      <c r="D716" s="6">
        <v>5200</v>
      </c>
      <c r="E716" s="6">
        <v>1841</v>
      </c>
      <c r="F716" s="6">
        <v>4395753</v>
      </c>
      <c r="G716" s="6">
        <v>4231064</v>
      </c>
      <c r="H716" s="6">
        <v>2462427</v>
      </c>
      <c r="I716" s="6">
        <v>0</v>
      </c>
      <c r="J716" s="6">
        <v>2338557</v>
      </c>
      <c r="K716" s="6">
        <v>106669</v>
      </c>
      <c r="L716" s="6">
        <v>17202</v>
      </c>
      <c r="M716" s="6">
        <v>3644</v>
      </c>
      <c r="N716" s="6">
        <v>27346</v>
      </c>
      <c r="O716" s="6">
        <v>146455</v>
      </c>
      <c r="P716" s="6">
        <v>1195883</v>
      </c>
      <c r="Q716" s="6">
        <v>451851</v>
      </c>
      <c r="R716" s="6">
        <v>637247</v>
      </c>
      <c r="S716" s="6">
        <v>25096</v>
      </c>
      <c r="T716" s="6">
        <v>1743541</v>
      </c>
      <c r="U716" s="6">
        <v>180466</v>
      </c>
      <c r="V716" s="6">
        <v>-15924</v>
      </c>
      <c r="W716" s="6">
        <v>0</v>
      </c>
      <c r="X716" s="6">
        <v>147</v>
      </c>
      <c r="Y716" s="6"/>
      <c r="Z716" s="6"/>
      <c r="AA716" s="6"/>
      <c r="AB716" s="6">
        <v>282</v>
      </c>
      <c r="AC716" s="6">
        <v>2212</v>
      </c>
      <c r="AD716" s="6">
        <v>2994</v>
      </c>
      <c r="AE716" s="6">
        <v>21344</v>
      </c>
      <c r="AF716" s="6">
        <v>28229</v>
      </c>
    </row>
    <row r="717" spans="1:32" x14ac:dyDescent="0.35">
      <c r="A717" s="1">
        <v>42564</v>
      </c>
      <c r="B717" s="6">
        <v>4472202</v>
      </c>
      <c r="C717" s="6">
        <v>11037</v>
      </c>
      <c r="D717" s="6">
        <v>5200</v>
      </c>
      <c r="E717" s="6">
        <v>1868</v>
      </c>
      <c r="F717" s="6">
        <v>4395720</v>
      </c>
      <c r="G717" s="6">
        <v>4231178</v>
      </c>
      <c r="H717" s="6">
        <v>2462541</v>
      </c>
      <c r="I717" s="6">
        <v>0</v>
      </c>
      <c r="J717" s="6">
        <v>2338557</v>
      </c>
      <c r="K717" s="6">
        <v>106669</v>
      </c>
      <c r="L717" s="6">
        <v>17316</v>
      </c>
      <c r="M717" s="6">
        <v>3647</v>
      </c>
      <c r="N717" s="6">
        <v>27346</v>
      </c>
      <c r="O717" s="6">
        <v>146458</v>
      </c>
      <c r="P717" s="6">
        <v>1195901</v>
      </c>
      <c r="Q717" s="6">
        <v>451872</v>
      </c>
      <c r="R717" s="6">
        <v>637317</v>
      </c>
      <c r="S717" s="6">
        <v>25096</v>
      </c>
      <c r="T717" s="6">
        <v>1743541</v>
      </c>
      <c r="U717" s="6">
        <v>180146</v>
      </c>
      <c r="V717" s="6">
        <v>-15893</v>
      </c>
      <c r="W717" s="6">
        <v>0</v>
      </c>
      <c r="X717" s="6">
        <v>289</v>
      </c>
      <c r="Y717" s="6"/>
      <c r="Z717" s="6"/>
      <c r="AA717" s="6"/>
      <c r="AB717" s="6">
        <v>229</v>
      </c>
      <c r="AC717" s="6">
        <v>2212</v>
      </c>
      <c r="AD717" s="6">
        <v>2220</v>
      </c>
      <c r="AE717" s="6">
        <v>21118</v>
      </c>
      <c r="AF717" s="6">
        <v>30886</v>
      </c>
    </row>
    <row r="718" spans="1:32" x14ac:dyDescent="0.35">
      <c r="A718" s="1">
        <v>42571</v>
      </c>
      <c r="B718" s="6">
        <v>4480973</v>
      </c>
      <c r="C718" s="6">
        <v>11037</v>
      </c>
      <c r="D718" s="6">
        <v>5200</v>
      </c>
      <c r="E718" s="6">
        <v>1896</v>
      </c>
      <c r="F718" s="6">
        <v>4407211</v>
      </c>
      <c r="G718" s="6">
        <v>4242398</v>
      </c>
      <c r="H718" s="6">
        <v>2462652</v>
      </c>
      <c r="I718" s="6">
        <v>0</v>
      </c>
      <c r="J718" s="6">
        <v>2342204</v>
      </c>
      <c r="K718" s="6">
        <v>103596</v>
      </c>
      <c r="L718" s="6">
        <v>16852</v>
      </c>
      <c r="M718" s="6">
        <v>7193</v>
      </c>
      <c r="N718" s="6">
        <v>20153</v>
      </c>
      <c r="O718" s="6">
        <v>147715</v>
      </c>
      <c r="P718" s="6">
        <v>1197133</v>
      </c>
      <c r="Q718" s="6">
        <v>452290</v>
      </c>
      <c r="R718" s="6">
        <v>638167</v>
      </c>
      <c r="S718" s="6">
        <v>22492</v>
      </c>
      <c r="T718" s="6">
        <v>1757254</v>
      </c>
      <c r="U718" s="6">
        <v>180399</v>
      </c>
      <c r="V718" s="6">
        <v>-15786</v>
      </c>
      <c r="W718" s="6">
        <v>0</v>
      </c>
      <c r="X718" s="6">
        <v>200</v>
      </c>
      <c r="Y718" s="6"/>
      <c r="Z718" s="6"/>
      <c r="AA718" s="6"/>
      <c r="AB718" s="6">
        <v>240</v>
      </c>
      <c r="AC718" s="6">
        <v>2214</v>
      </c>
      <c r="AD718" s="6">
        <v>185</v>
      </c>
      <c r="AE718" s="6">
        <v>20789</v>
      </c>
      <c r="AF718" s="6">
        <v>30488</v>
      </c>
    </row>
    <row r="719" spans="1:32" x14ac:dyDescent="0.35">
      <c r="A719" s="1">
        <v>42578</v>
      </c>
      <c r="B719" s="6">
        <v>4464498</v>
      </c>
      <c r="C719" s="6">
        <v>11037</v>
      </c>
      <c r="D719" s="6">
        <v>5200</v>
      </c>
      <c r="E719" s="6">
        <v>1899</v>
      </c>
      <c r="F719" s="6">
        <v>4390455</v>
      </c>
      <c r="G719" s="6">
        <v>4226345</v>
      </c>
      <c r="H719" s="6">
        <v>2462763</v>
      </c>
      <c r="I719" s="6">
        <v>0</v>
      </c>
      <c r="J719" s="6">
        <v>2342204</v>
      </c>
      <c r="K719" s="6">
        <v>103596</v>
      </c>
      <c r="L719" s="6">
        <v>16963</v>
      </c>
      <c r="M719" s="6">
        <v>7193</v>
      </c>
      <c r="N719" s="6">
        <v>20153</v>
      </c>
      <c r="O719" s="6">
        <v>147720</v>
      </c>
      <c r="P719" s="6">
        <v>1197151</v>
      </c>
      <c r="Q719" s="6">
        <v>452309</v>
      </c>
      <c r="R719" s="6">
        <v>638237</v>
      </c>
      <c r="S719" s="6">
        <v>22492</v>
      </c>
      <c r="T719" s="6">
        <v>1741091</v>
      </c>
      <c r="U719" s="6">
        <v>179557</v>
      </c>
      <c r="V719" s="6">
        <v>-15744</v>
      </c>
      <c r="W719" s="6">
        <v>0</v>
      </c>
      <c r="X719" s="6">
        <v>297</v>
      </c>
      <c r="Y719" s="6"/>
      <c r="Z719" s="6"/>
      <c r="AA719" s="6"/>
      <c r="AB719" s="6">
        <v>225</v>
      </c>
      <c r="AC719" s="6">
        <v>2214</v>
      </c>
      <c r="AD719" s="6">
        <v>180</v>
      </c>
      <c r="AE719" s="6">
        <v>20851</v>
      </c>
      <c r="AF719" s="6">
        <v>30735</v>
      </c>
    </row>
    <row r="720" spans="1:32" x14ac:dyDescent="0.35">
      <c r="A720" s="1">
        <v>42585</v>
      </c>
      <c r="B720" s="6">
        <v>4466793</v>
      </c>
      <c r="C720" s="6">
        <v>11037</v>
      </c>
      <c r="D720" s="6">
        <v>5200</v>
      </c>
      <c r="E720" s="6">
        <v>1900</v>
      </c>
      <c r="F720" s="6">
        <v>4390121</v>
      </c>
      <c r="G720" s="6">
        <v>4226461</v>
      </c>
      <c r="H720" s="6">
        <v>2462865</v>
      </c>
      <c r="I720" s="6">
        <v>0</v>
      </c>
      <c r="J720" s="6">
        <v>2342204</v>
      </c>
      <c r="K720" s="6">
        <v>103596</v>
      </c>
      <c r="L720" s="6">
        <v>17065</v>
      </c>
      <c r="M720" s="6">
        <v>6351</v>
      </c>
      <c r="N720" s="6">
        <v>20332</v>
      </c>
      <c r="O720" s="6">
        <v>152989</v>
      </c>
      <c r="P720" s="6">
        <v>1190620</v>
      </c>
      <c r="Q720" s="6">
        <v>454273</v>
      </c>
      <c r="R720" s="6">
        <v>638301</v>
      </c>
      <c r="S720" s="6">
        <v>22492</v>
      </c>
      <c r="T720" s="6">
        <v>1741104</v>
      </c>
      <c r="U720" s="6">
        <v>179205</v>
      </c>
      <c r="V720" s="6">
        <v>-15730</v>
      </c>
      <c r="W720" s="6">
        <v>0</v>
      </c>
      <c r="X720" s="6">
        <v>186</v>
      </c>
      <c r="Y720" s="6"/>
      <c r="Z720" s="6"/>
      <c r="AA720" s="6"/>
      <c r="AB720" s="6">
        <v>210</v>
      </c>
      <c r="AC720" s="6">
        <v>2210</v>
      </c>
      <c r="AD720" s="6">
        <v>930</v>
      </c>
      <c r="AE720" s="6">
        <v>21426</v>
      </c>
      <c r="AF720" s="6">
        <v>32054</v>
      </c>
    </row>
    <row r="721" spans="1:32" x14ac:dyDescent="0.35">
      <c r="A721" s="1">
        <v>42592</v>
      </c>
      <c r="B721" s="6">
        <v>4468929</v>
      </c>
      <c r="C721" s="6">
        <v>11037</v>
      </c>
      <c r="D721" s="6">
        <v>5200</v>
      </c>
      <c r="E721" s="6">
        <v>1912</v>
      </c>
      <c r="F721" s="6">
        <v>4389943</v>
      </c>
      <c r="G721" s="6">
        <v>4226556</v>
      </c>
      <c r="H721" s="6">
        <v>2462956</v>
      </c>
      <c r="I721" s="6">
        <v>0</v>
      </c>
      <c r="J721" s="6">
        <v>2342204</v>
      </c>
      <c r="K721" s="6">
        <v>103596</v>
      </c>
      <c r="L721" s="6">
        <v>17156</v>
      </c>
      <c r="M721" s="6">
        <v>6351</v>
      </c>
      <c r="N721" s="6">
        <v>20332</v>
      </c>
      <c r="O721" s="6">
        <v>152993</v>
      </c>
      <c r="P721" s="6">
        <v>1190634</v>
      </c>
      <c r="Q721" s="6">
        <v>454289</v>
      </c>
      <c r="R721" s="6">
        <v>638357</v>
      </c>
      <c r="S721" s="6">
        <v>22492</v>
      </c>
      <c r="T721" s="6">
        <v>1741109</v>
      </c>
      <c r="U721" s="6">
        <v>178885</v>
      </c>
      <c r="V721" s="6">
        <v>-15699</v>
      </c>
      <c r="W721" s="6">
        <v>0</v>
      </c>
      <c r="X721" s="6">
        <v>200</v>
      </c>
      <c r="Y721" s="6"/>
      <c r="Z721" s="6"/>
      <c r="AA721" s="6"/>
      <c r="AB721" s="6">
        <v>225</v>
      </c>
      <c r="AC721" s="6">
        <v>2210</v>
      </c>
      <c r="AD721" s="6">
        <v>575</v>
      </c>
      <c r="AE721" s="6">
        <v>21432</v>
      </c>
      <c r="AF721" s="6">
        <v>34689</v>
      </c>
    </row>
    <row r="722" spans="1:32" x14ac:dyDescent="0.35">
      <c r="A722" s="1">
        <v>42599</v>
      </c>
      <c r="B722" s="6">
        <v>4466476</v>
      </c>
      <c r="C722" s="6">
        <v>11037</v>
      </c>
      <c r="D722" s="6">
        <v>5200</v>
      </c>
      <c r="E722" s="6">
        <v>1930</v>
      </c>
      <c r="F722" s="6">
        <v>4402957</v>
      </c>
      <c r="G722" s="6">
        <v>4239293</v>
      </c>
      <c r="H722" s="6">
        <v>2463447</v>
      </c>
      <c r="I722" s="6">
        <v>0</v>
      </c>
      <c r="J722" s="6">
        <v>2342604</v>
      </c>
      <c r="K722" s="6">
        <v>103596</v>
      </c>
      <c r="L722" s="6">
        <v>17247</v>
      </c>
      <c r="M722" s="6">
        <v>6976</v>
      </c>
      <c r="N722" s="6">
        <v>26929</v>
      </c>
      <c r="O722" s="6">
        <v>158078</v>
      </c>
      <c r="P722" s="6">
        <v>1207329</v>
      </c>
      <c r="Q722" s="6">
        <v>429152</v>
      </c>
      <c r="R722" s="6">
        <v>634983</v>
      </c>
      <c r="S722" s="6">
        <v>22492</v>
      </c>
      <c r="T722" s="6">
        <v>1753354</v>
      </c>
      <c r="U722" s="6">
        <v>179130</v>
      </c>
      <c r="V722" s="6">
        <v>-15677</v>
      </c>
      <c r="W722" s="6">
        <v>0</v>
      </c>
      <c r="X722" s="6">
        <v>212</v>
      </c>
      <c r="Y722" s="6"/>
      <c r="Z722" s="6"/>
      <c r="AA722" s="6"/>
      <c r="AB722" s="6">
        <v>221</v>
      </c>
      <c r="AC722" s="6">
        <v>2211</v>
      </c>
      <c r="AD722" s="6">
        <v>105</v>
      </c>
      <c r="AE722" s="6">
        <v>21627</v>
      </c>
      <c r="AF722" s="6">
        <v>19481</v>
      </c>
    </row>
    <row r="723" spans="1:32" x14ac:dyDescent="0.35">
      <c r="A723" s="1">
        <v>42606</v>
      </c>
      <c r="B723" s="6">
        <v>4473840</v>
      </c>
      <c r="C723" s="6">
        <v>11037</v>
      </c>
      <c r="D723" s="6">
        <v>5200</v>
      </c>
      <c r="E723" s="6">
        <v>1935</v>
      </c>
      <c r="F723" s="6">
        <v>4408741</v>
      </c>
      <c r="G723" s="6">
        <v>4245050</v>
      </c>
      <c r="H723" s="6">
        <v>2463538</v>
      </c>
      <c r="I723" s="6">
        <v>0</v>
      </c>
      <c r="J723" s="6">
        <v>2342604</v>
      </c>
      <c r="K723" s="6">
        <v>103596</v>
      </c>
      <c r="L723" s="6">
        <v>17338</v>
      </c>
      <c r="M723" s="6">
        <v>6976</v>
      </c>
      <c r="N723" s="6">
        <v>26929</v>
      </c>
      <c r="O723" s="6">
        <v>158082</v>
      </c>
      <c r="P723" s="6">
        <v>1207343</v>
      </c>
      <c r="Q723" s="6">
        <v>429168</v>
      </c>
      <c r="R723" s="6">
        <v>635040</v>
      </c>
      <c r="S723" s="6">
        <v>22492</v>
      </c>
      <c r="T723" s="6">
        <v>1759020</v>
      </c>
      <c r="U723" s="6">
        <v>179107</v>
      </c>
      <c r="V723" s="6">
        <v>-15643</v>
      </c>
      <c r="W723" s="6">
        <v>0</v>
      </c>
      <c r="X723" s="6">
        <v>228</v>
      </c>
      <c r="Y723" s="6"/>
      <c r="Z723" s="6"/>
      <c r="AA723" s="6"/>
      <c r="AB723" s="6">
        <v>206</v>
      </c>
      <c r="AC723" s="6">
        <v>2213</v>
      </c>
      <c r="AD723" s="6">
        <v>22</v>
      </c>
      <c r="AE723" s="6">
        <v>21595</v>
      </c>
      <c r="AF723" s="6">
        <v>21184</v>
      </c>
    </row>
    <row r="724" spans="1:32" x14ac:dyDescent="0.35">
      <c r="A724" s="1">
        <v>42613</v>
      </c>
      <c r="B724" s="6">
        <v>4457907</v>
      </c>
      <c r="C724" s="6">
        <v>11037</v>
      </c>
      <c r="D724" s="6">
        <v>5200</v>
      </c>
      <c r="E724" s="6">
        <v>1931</v>
      </c>
      <c r="F724" s="6">
        <v>4393034</v>
      </c>
      <c r="G724" s="6">
        <v>4230119</v>
      </c>
      <c r="H724" s="6">
        <v>2463645</v>
      </c>
      <c r="I724" s="6">
        <v>0</v>
      </c>
      <c r="J724" s="6">
        <v>2341647</v>
      </c>
      <c r="K724" s="6">
        <v>104553</v>
      </c>
      <c r="L724" s="6">
        <v>17445</v>
      </c>
      <c r="M724" s="6">
        <v>0</v>
      </c>
      <c r="N724" s="6">
        <v>26929</v>
      </c>
      <c r="O724" s="6">
        <v>161282</v>
      </c>
      <c r="P724" s="6">
        <v>1209239</v>
      </c>
      <c r="Q724" s="6">
        <v>431098</v>
      </c>
      <c r="R724" s="6">
        <v>635097</v>
      </c>
      <c r="S724" s="6">
        <v>22492</v>
      </c>
      <c r="T724" s="6">
        <v>1743982</v>
      </c>
      <c r="U724" s="6">
        <v>178323</v>
      </c>
      <c r="V724" s="6">
        <v>-15615</v>
      </c>
      <c r="W724" s="6">
        <v>0</v>
      </c>
      <c r="X724" s="6">
        <v>207</v>
      </c>
      <c r="Y724" s="6"/>
      <c r="Z724" s="6"/>
      <c r="AA724" s="6"/>
      <c r="AB724" s="6">
        <v>218</v>
      </c>
      <c r="AC724" s="6">
        <v>2212</v>
      </c>
      <c r="AD724" s="6">
        <v>1351</v>
      </c>
      <c r="AE724" s="6">
        <v>21228</v>
      </c>
      <c r="AF724" s="6">
        <v>19990</v>
      </c>
    </row>
    <row r="725" spans="1:32" x14ac:dyDescent="0.35">
      <c r="A725" s="1">
        <v>42620</v>
      </c>
      <c r="B725" s="6">
        <v>4459394</v>
      </c>
      <c r="C725" s="6">
        <v>11037</v>
      </c>
      <c r="D725" s="6">
        <v>5200</v>
      </c>
      <c r="E725" s="6">
        <v>1919</v>
      </c>
      <c r="F725" s="6">
        <v>4392652</v>
      </c>
      <c r="G725" s="6">
        <v>4230075</v>
      </c>
      <c r="H725" s="6">
        <v>2463599</v>
      </c>
      <c r="I725" s="6">
        <v>0</v>
      </c>
      <c r="J725" s="6">
        <v>2341647</v>
      </c>
      <c r="K725" s="6">
        <v>104553</v>
      </c>
      <c r="L725" s="6">
        <v>17399</v>
      </c>
      <c r="M725" s="6">
        <v>0</v>
      </c>
      <c r="N725" s="6">
        <v>37466</v>
      </c>
      <c r="O725" s="6">
        <v>150744</v>
      </c>
      <c r="P725" s="6">
        <v>1209231</v>
      </c>
      <c r="Q725" s="6">
        <v>431090</v>
      </c>
      <c r="R725" s="6">
        <v>635068</v>
      </c>
      <c r="S725" s="6">
        <v>22492</v>
      </c>
      <c r="T725" s="6">
        <v>1743984</v>
      </c>
      <c r="U725" s="6">
        <v>177973</v>
      </c>
      <c r="V725" s="6">
        <v>-15583</v>
      </c>
      <c r="W725" s="6">
        <v>0</v>
      </c>
      <c r="X725" s="6">
        <v>188</v>
      </c>
      <c r="Y725" s="6"/>
      <c r="Z725" s="6"/>
      <c r="AA725" s="6"/>
      <c r="AB725" s="6">
        <v>220</v>
      </c>
      <c r="AC725" s="6">
        <v>2204</v>
      </c>
      <c r="AD725" s="6">
        <v>350</v>
      </c>
      <c r="AE725" s="6">
        <v>21463</v>
      </c>
      <c r="AF725" s="6">
        <v>22641</v>
      </c>
    </row>
    <row r="726" spans="1:32" x14ac:dyDescent="0.35">
      <c r="A726" s="1">
        <v>42627</v>
      </c>
      <c r="B726" s="6">
        <v>4481635</v>
      </c>
      <c r="C726" s="6">
        <v>11037</v>
      </c>
      <c r="D726" s="6">
        <v>5200</v>
      </c>
      <c r="E726" s="6">
        <v>1925</v>
      </c>
      <c r="F726" s="6">
        <v>4412606</v>
      </c>
      <c r="G726" s="6">
        <v>4249517</v>
      </c>
      <c r="H726" s="6">
        <v>2463553</v>
      </c>
      <c r="I726" s="6">
        <v>0</v>
      </c>
      <c r="J726" s="6">
        <v>2341647</v>
      </c>
      <c r="K726" s="6">
        <v>104553</v>
      </c>
      <c r="L726" s="6">
        <v>17352</v>
      </c>
      <c r="M726" s="6">
        <v>0</v>
      </c>
      <c r="N726" s="6">
        <v>37466</v>
      </c>
      <c r="O726" s="6">
        <v>150742</v>
      </c>
      <c r="P726" s="6">
        <v>1209223</v>
      </c>
      <c r="Q726" s="6">
        <v>431082</v>
      </c>
      <c r="R726" s="6">
        <v>635039</v>
      </c>
      <c r="S726" s="6">
        <v>22492</v>
      </c>
      <c r="T726" s="6">
        <v>1763473</v>
      </c>
      <c r="U726" s="6">
        <v>178425</v>
      </c>
      <c r="V726" s="6">
        <v>-15551</v>
      </c>
      <c r="W726" s="6">
        <v>0</v>
      </c>
      <c r="X726" s="6">
        <v>215</v>
      </c>
      <c r="Y726" s="6"/>
      <c r="Z726" s="6"/>
      <c r="AA726" s="6"/>
      <c r="AB726" s="6">
        <v>213</v>
      </c>
      <c r="AC726" s="6">
        <v>2204</v>
      </c>
      <c r="AD726" s="6">
        <v>6</v>
      </c>
      <c r="AE726" s="6">
        <v>21444</v>
      </c>
      <c r="AF726" s="6">
        <v>25293</v>
      </c>
    </row>
    <row r="727" spans="1:32" x14ac:dyDescent="0.35">
      <c r="A727" s="1">
        <v>42634</v>
      </c>
      <c r="B727" s="6">
        <v>4473032</v>
      </c>
      <c r="C727" s="6">
        <v>11037</v>
      </c>
      <c r="D727" s="6">
        <v>5200</v>
      </c>
      <c r="E727" s="6">
        <v>1927</v>
      </c>
      <c r="F727" s="6">
        <v>4404118</v>
      </c>
      <c r="G727" s="6">
        <v>4241341</v>
      </c>
      <c r="H727" s="6">
        <v>2463506</v>
      </c>
      <c r="I727" s="6">
        <v>0</v>
      </c>
      <c r="J727" s="6">
        <v>2341647</v>
      </c>
      <c r="K727" s="6">
        <v>104553</v>
      </c>
      <c r="L727" s="6">
        <v>17306</v>
      </c>
      <c r="M727" s="6">
        <v>6827</v>
      </c>
      <c r="N727" s="6">
        <v>30639</v>
      </c>
      <c r="O727" s="6">
        <v>150740</v>
      </c>
      <c r="P727" s="6">
        <v>1209216</v>
      </c>
      <c r="Q727" s="6">
        <v>431074</v>
      </c>
      <c r="R727" s="6">
        <v>635011</v>
      </c>
      <c r="S727" s="6">
        <v>20492</v>
      </c>
      <c r="T727" s="6">
        <v>1757343</v>
      </c>
      <c r="U727" s="6">
        <v>178060</v>
      </c>
      <c r="V727" s="6">
        <v>-15513</v>
      </c>
      <c r="W727" s="6">
        <v>0</v>
      </c>
      <c r="X727" s="6">
        <v>229</v>
      </c>
      <c r="Y727" s="6"/>
      <c r="Z727" s="6"/>
      <c r="AA727" s="6"/>
      <c r="AB727" s="6">
        <v>67</v>
      </c>
      <c r="AC727" s="6">
        <v>2205</v>
      </c>
      <c r="AD727" s="6">
        <v>2</v>
      </c>
      <c r="AE727" s="6">
        <v>21483</v>
      </c>
      <c r="AF727" s="6">
        <v>25286</v>
      </c>
    </row>
    <row r="728" spans="1:32" x14ac:dyDescent="0.35">
      <c r="A728" s="1">
        <v>42641</v>
      </c>
      <c r="B728" s="6">
        <v>4452002</v>
      </c>
      <c r="C728" s="6">
        <v>11037</v>
      </c>
      <c r="D728" s="6">
        <v>5200</v>
      </c>
      <c r="E728" s="6">
        <v>1927</v>
      </c>
      <c r="F728" s="6">
        <v>4382682</v>
      </c>
      <c r="G728" s="6">
        <v>4220827</v>
      </c>
      <c r="H728" s="6">
        <v>2463460</v>
      </c>
      <c r="I728" s="6">
        <v>0</v>
      </c>
      <c r="J728" s="6">
        <v>2341647</v>
      </c>
      <c r="K728" s="6">
        <v>104553</v>
      </c>
      <c r="L728" s="6">
        <v>17260</v>
      </c>
      <c r="M728" s="6">
        <v>6827</v>
      </c>
      <c r="N728" s="6">
        <v>30639</v>
      </c>
      <c r="O728" s="6">
        <v>150738</v>
      </c>
      <c r="P728" s="6">
        <v>1209208</v>
      </c>
      <c r="Q728" s="6">
        <v>431066</v>
      </c>
      <c r="R728" s="6">
        <v>634982</v>
      </c>
      <c r="S728" s="6">
        <v>20492</v>
      </c>
      <c r="T728" s="6">
        <v>1736875</v>
      </c>
      <c r="U728" s="6">
        <v>177089</v>
      </c>
      <c r="V728" s="6">
        <v>-15477</v>
      </c>
      <c r="W728" s="6">
        <v>0</v>
      </c>
      <c r="X728" s="6">
        <v>242</v>
      </c>
      <c r="Y728" s="6"/>
      <c r="Z728" s="6"/>
      <c r="AA728" s="6"/>
      <c r="AB728" s="6">
        <v>54</v>
      </c>
      <c r="AC728" s="6">
        <v>2206</v>
      </c>
      <c r="AD728" s="6">
        <v>291</v>
      </c>
      <c r="AE728" s="6">
        <v>21525</v>
      </c>
      <c r="AF728" s="6">
        <v>25372</v>
      </c>
    </row>
    <row r="729" spans="1:32" x14ac:dyDescent="0.35">
      <c r="A729" s="1">
        <v>42648</v>
      </c>
      <c r="B729" s="6">
        <v>4459407</v>
      </c>
      <c r="C729" s="6">
        <v>11037</v>
      </c>
      <c r="D729" s="6">
        <v>5200</v>
      </c>
      <c r="E729" s="6">
        <v>1922</v>
      </c>
      <c r="F729" s="6">
        <v>4382308</v>
      </c>
      <c r="G729" s="6">
        <v>4220842</v>
      </c>
      <c r="H729" s="6">
        <v>2463473</v>
      </c>
      <c r="I729" s="6">
        <v>0</v>
      </c>
      <c r="J729" s="6">
        <v>2340976</v>
      </c>
      <c r="K729" s="6">
        <v>105224</v>
      </c>
      <c r="L729" s="6">
        <v>17273</v>
      </c>
      <c r="M729" s="6">
        <v>0</v>
      </c>
      <c r="N729" s="6">
        <v>42341</v>
      </c>
      <c r="O729" s="6">
        <v>149983</v>
      </c>
      <c r="P729" s="6">
        <v>1202712</v>
      </c>
      <c r="Q729" s="6">
        <v>433453</v>
      </c>
      <c r="R729" s="6">
        <v>634984</v>
      </c>
      <c r="S729" s="6">
        <v>20492</v>
      </c>
      <c r="T729" s="6">
        <v>1736877</v>
      </c>
      <c r="U729" s="6">
        <v>176741</v>
      </c>
      <c r="V729" s="6">
        <v>-15448</v>
      </c>
      <c r="W729" s="6">
        <v>0</v>
      </c>
      <c r="X729" s="6">
        <v>173</v>
      </c>
      <c r="Y729" s="6"/>
      <c r="Z729" s="6"/>
      <c r="AA729" s="6"/>
      <c r="AB729" s="6">
        <v>61</v>
      </c>
      <c r="AC729" s="6">
        <v>2201</v>
      </c>
      <c r="AD729" s="6">
        <v>7003</v>
      </c>
      <c r="AE729" s="6">
        <v>21255</v>
      </c>
      <c r="AF729" s="6">
        <v>26713</v>
      </c>
    </row>
    <row r="730" spans="1:32" x14ac:dyDescent="0.35">
      <c r="A730" s="1">
        <v>42655</v>
      </c>
      <c r="B730" s="6">
        <v>4457698</v>
      </c>
      <c r="C730" s="6">
        <v>11037</v>
      </c>
      <c r="D730" s="6">
        <v>5200</v>
      </c>
      <c r="E730" s="6">
        <v>1901</v>
      </c>
      <c r="F730" s="6">
        <v>4382033</v>
      </c>
      <c r="G730" s="6">
        <v>4220866</v>
      </c>
      <c r="H730" s="6">
        <v>2463497</v>
      </c>
      <c r="I730" s="6">
        <v>0</v>
      </c>
      <c r="J730" s="6">
        <v>2340976</v>
      </c>
      <c r="K730" s="6">
        <v>105224</v>
      </c>
      <c r="L730" s="6">
        <v>17297</v>
      </c>
      <c r="M730" s="6">
        <v>0</v>
      </c>
      <c r="N730" s="6">
        <v>42341</v>
      </c>
      <c r="O730" s="6">
        <v>149984</v>
      </c>
      <c r="P730" s="6">
        <v>1202716</v>
      </c>
      <c r="Q730" s="6">
        <v>433457</v>
      </c>
      <c r="R730" s="6">
        <v>634999</v>
      </c>
      <c r="S730" s="6">
        <v>20492</v>
      </c>
      <c r="T730" s="6">
        <v>1736877</v>
      </c>
      <c r="U730" s="6">
        <v>176434</v>
      </c>
      <c r="V730" s="6">
        <v>-15417</v>
      </c>
      <c r="W730" s="6">
        <v>0</v>
      </c>
      <c r="X730" s="6">
        <v>150</v>
      </c>
      <c r="Y730" s="6"/>
      <c r="Z730" s="6"/>
      <c r="AA730" s="6"/>
      <c r="AB730" s="6">
        <v>104</v>
      </c>
      <c r="AC730" s="6">
        <v>2201</v>
      </c>
      <c r="AD730" s="6">
        <v>3220</v>
      </c>
      <c r="AE730" s="6">
        <v>20974</v>
      </c>
      <c r="AF730" s="6">
        <v>29320</v>
      </c>
    </row>
    <row r="731" spans="1:32" x14ac:dyDescent="0.35">
      <c r="A731" s="1">
        <v>42662</v>
      </c>
      <c r="B731" s="6">
        <v>4467382</v>
      </c>
      <c r="C731" s="6">
        <v>11037</v>
      </c>
      <c r="D731" s="6">
        <v>5200</v>
      </c>
      <c r="E731" s="6">
        <v>1898</v>
      </c>
      <c r="F731" s="6">
        <v>4394197</v>
      </c>
      <c r="G731" s="6">
        <v>4232747</v>
      </c>
      <c r="H731" s="6">
        <v>2463520</v>
      </c>
      <c r="I731" s="6">
        <v>0</v>
      </c>
      <c r="J731" s="6">
        <v>2340976</v>
      </c>
      <c r="K731" s="6">
        <v>105224</v>
      </c>
      <c r="L731" s="6">
        <v>17320</v>
      </c>
      <c r="M731" s="6">
        <v>6529</v>
      </c>
      <c r="N731" s="6">
        <v>38905</v>
      </c>
      <c r="O731" s="6">
        <v>146892</v>
      </c>
      <c r="P731" s="6">
        <v>1202720</v>
      </c>
      <c r="Q731" s="6">
        <v>433461</v>
      </c>
      <c r="R731" s="6">
        <v>635014</v>
      </c>
      <c r="S731" s="6">
        <v>18493</v>
      </c>
      <c r="T731" s="6">
        <v>1750733</v>
      </c>
      <c r="U731" s="6">
        <v>176735</v>
      </c>
      <c r="V731" s="6">
        <v>-15379</v>
      </c>
      <c r="W731" s="6">
        <v>0</v>
      </c>
      <c r="X731" s="6">
        <v>94</v>
      </c>
      <c r="Y731" s="6"/>
      <c r="Z731" s="6"/>
      <c r="AA731" s="6"/>
      <c r="AB731" s="6">
        <v>76</v>
      </c>
      <c r="AC731" s="6">
        <v>2203</v>
      </c>
      <c r="AD731" s="6">
        <v>180</v>
      </c>
      <c r="AE731" s="6">
        <v>21023</v>
      </c>
      <c r="AF731" s="6">
        <v>29860</v>
      </c>
    </row>
    <row r="732" spans="1:32" x14ac:dyDescent="0.35">
      <c r="A732" s="1">
        <v>42669</v>
      </c>
      <c r="B732" s="6">
        <v>4454326</v>
      </c>
      <c r="C732" s="6">
        <v>11037</v>
      </c>
      <c r="D732" s="6">
        <v>5200</v>
      </c>
      <c r="E732" s="6">
        <v>1895</v>
      </c>
      <c r="F732" s="6">
        <v>4378668</v>
      </c>
      <c r="G732" s="6">
        <v>4217878</v>
      </c>
      <c r="H732" s="6">
        <v>2463544</v>
      </c>
      <c r="I732" s="6">
        <v>0</v>
      </c>
      <c r="J732" s="6">
        <v>2340976</v>
      </c>
      <c r="K732" s="6">
        <v>105224</v>
      </c>
      <c r="L732" s="6">
        <v>17344</v>
      </c>
      <c r="M732" s="6">
        <v>6529</v>
      </c>
      <c r="N732" s="6">
        <v>38905</v>
      </c>
      <c r="O732" s="6">
        <v>146893</v>
      </c>
      <c r="P732" s="6">
        <v>1202724</v>
      </c>
      <c r="Q732" s="6">
        <v>433465</v>
      </c>
      <c r="R732" s="6">
        <v>635028</v>
      </c>
      <c r="S732" s="6">
        <v>18493</v>
      </c>
      <c r="T732" s="6">
        <v>1735841</v>
      </c>
      <c r="U732" s="6">
        <v>176056</v>
      </c>
      <c r="V732" s="6">
        <v>-15343</v>
      </c>
      <c r="W732" s="6">
        <v>0</v>
      </c>
      <c r="X732" s="6">
        <v>76</v>
      </c>
      <c r="Y732" s="6"/>
      <c r="Z732" s="6"/>
      <c r="AA732" s="6"/>
      <c r="AB732" s="6">
        <v>62</v>
      </c>
      <c r="AC732" s="6">
        <v>2202</v>
      </c>
      <c r="AD732" s="6">
        <v>3541</v>
      </c>
      <c r="AE732" s="6">
        <v>20871</v>
      </c>
      <c r="AF732" s="6">
        <v>29145</v>
      </c>
    </row>
    <row r="733" spans="1:32" x14ac:dyDescent="0.35">
      <c r="A733" s="1">
        <v>42676</v>
      </c>
      <c r="B733" s="6">
        <v>4453087</v>
      </c>
      <c r="C733" s="6">
        <v>11037</v>
      </c>
      <c r="D733" s="6">
        <v>5200</v>
      </c>
      <c r="E733" s="6">
        <v>1884</v>
      </c>
      <c r="F733" s="6">
        <v>4378375</v>
      </c>
      <c r="G733" s="6">
        <v>4217925</v>
      </c>
      <c r="H733" s="6">
        <v>2463586</v>
      </c>
      <c r="I733" s="6">
        <v>0</v>
      </c>
      <c r="J733" s="6">
        <v>2340674</v>
      </c>
      <c r="K733" s="6">
        <v>105526</v>
      </c>
      <c r="L733" s="6">
        <v>17385</v>
      </c>
      <c r="M733" s="6">
        <v>13573</v>
      </c>
      <c r="N733" s="6">
        <v>32689</v>
      </c>
      <c r="O733" s="6">
        <v>148238</v>
      </c>
      <c r="P733" s="6">
        <v>1198562</v>
      </c>
      <c r="Q733" s="6">
        <v>435165</v>
      </c>
      <c r="R733" s="6">
        <v>635358</v>
      </c>
      <c r="S733" s="6">
        <v>18493</v>
      </c>
      <c r="T733" s="6">
        <v>1735847</v>
      </c>
      <c r="U733" s="6">
        <v>175708</v>
      </c>
      <c r="V733" s="6">
        <v>-15294</v>
      </c>
      <c r="W733" s="6">
        <v>0</v>
      </c>
      <c r="X733" s="6">
        <v>35</v>
      </c>
      <c r="Y733" s="6"/>
      <c r="Z733" s="6"/>
      <c r="AA733" s="6"/>
      <c r="AB733" s="6">
        <v>75</v>
      </c>
      <c r="AC733" s="6">
        <v>2199</v>
      </c>
      <c r="AD733" s="6">
        <v>1015</v>
      </c>
      <c r="AE733" s="6">
        <v>21307</v>
      </c>
      <c r="AF733" s="6">
        <v>30288</v>
      </c>
    </row>
    <row r="734" spans="1:32" x14ac:dyDescent="0.35">
      <c r="A734" s="1">
        <v>42683</v>
      </c>
      <c r="B734" s="6">
        <v>4455087</v>
      </c>
      <c r="C734" s="6">
        <v>11037</v>
      </c>
      <c r="D734" s="6">
        <v>5200</v>
      </c>
      <c r="E734" s="6">
        <v>1878</v>
      </c>
      <c r="F734" s="6">
        <v>4378166</v>
      </c>
      <c r="G734" s="6">
        <v>4217995</v>
      </c>
      <c r="H734" s="6">
        <v>2463654</v>
      </c>
      <c r="I734" s="6">
        <v>0</v>
      </c>
      <c r="J734" s="6">
        <v>2340674</v>
      </c>
      <c r="K734" s="6">
        <v>105526</v>
      </c>
      <c r="L734" s="6">
        <v>17454</v>
      </c>
      <c r="M734" s="6">
        <v>13573</v>
      </c>
      <c r="N734" s="6">
        <v>32691</v>
      </c>
      <c r="O734" s="6">
        <v>148239</v>
      </c>
      <c r="P734" s="6">
        <v>1198574</v>
      </c>
      <c r="Q734" s="6">
        <v>435177</v>
      </c>
      <c r="R734" s="6">
        <v>635400</v>
      </c>
      <c r="S734" s="6">
        <v>18493</v>
      </c>
      <c r="T734" s="6">
        <v>1735848</v>
      </c>
      <c r="U734" s="6">
        <v>175402</v>
      </c>
      <c r="V734" s="6">
        <v>-15263</v>
      </c>
      <c r="W734" s="6">
        <v>0</v>
      </c>
      <c r="X734" s="6">
        <v>32</v>
      </c>
      <c r="Y734" s="6"/>
      <c r="Z734" s="6"/>
      <c r="AA734" s="6"/>
      <c r="AB734" s="6">
        <v>105</v>
      </c>
      <c r="AC734" s="6">
        <v>2200</v>
      </c>
      <c r="AD734" s="6">
        <v>1000</v>
      </c>
      <c r="AE734" s="6">
        <v>20875</v>
      </c>
      <c r="AF734" s="6">
        <v>32918</v>
      </c>
    </row>
    <row r="735" spans="1:32" x14ac:dyDescent="0.35">
      <c r="A735" s="1">
        <v>42690</v>
      </c>
      <c r="B735" s="6">
        <v>4453633</v>
      </c>
      <c r="C735" s="6">
        <v>11037</v>
      </c>
      <c r="D735" s="6">
        <v>5200</v>
      </c>
      <c r="E735" s="6">
        <v>1866</v>
      </c>
      <c r="F735" s="6">
        <v>4390312</v>
      </c>
      <c r="G735" s="6">
        <v>4230006</v>
      </c>
      <c r="H735" s="6">
        <v>2463722</v>
      </c>
      <c r="I735" s="6">
        <v>0</v>
      </c>
      <c r="J735" s="6">
        <v>2340674</v>
      </c>
      <c r="K735" s="6">
        <v>105526</v>
      </c>
      <c r="L735" s="6">
        <v>17522</v>
      </c>
      <c r="M735" s="6">
        <v>10537</v>
      </c>
      <c r="N735" s="6">
        <v>22156</v>
      </c>
      <c r="O735" s="6">
        <v>159283</v>
      </c>
      <c r="P735" s="6">
        <v>1243286</v>
      </c>
      <c r="Q735" s="6">
        <v>384699</v>
      </c>
      <c r="R735" s="6">
        <v>643762</v>
      </c>
      <c r="S735" s="6">
        <v>18493</v>
      </c>
      <c r="T735" s="6">
        <v>1747791</v>
      </c>
      <c r="U735" s="6">
        <v>175535</v>
      </c>
      <c r="V735" s="6">
        <v>-15258</v>
      </c>
      <c r="W735" s="6">
        <v>0</v>
      </c>
      <c r="X735" s="6">
        <v>28</v>
      </c>
      <c r="Y735" s="6"/>
      <c r="Z735" s="6"/>
      <c r="AA735" s="6"/>
      <c r="AB735" s="6">
        <v>77</v>
      </c>
      <c r="AC735" s="6">
        <v>2204</v>
      </c>
      <c r="AD735" s="6">
        <v>971</v>
      </c>
      <c r="AE735" s="6">
        <v>20245</v>
      </c>
      <c r="AF735" s="6">
        <v>20013</v>
      </c>
    </row>
    <row r="736" spans="1:32" x14ac:dyDescent="0.35">
      <c r="A736" s="1">
        <v>42697</v>
      </c>
      <c r="B736" s="6">
        <v>4465782</v>
      </c>
      <c r="C736" s="6">
        <v>11037</v>
      </c>
      <c r="D736" s="6">
        <v>5200</v>
      </c>
      <c r="E736" s="6">
        <v>1830</v>
      </c>
      <c r="F736" s="6">
        <v>4401788</v>
      </c>
      <c r="G736" s="6">
        <v>4241330</v>
      </c>
      <c r="H736" s="6">
        <v>2463801</v>
      </c>
      <c r="I736" s="6">
        <v>0</v>
      </c>
      <c r="J736" s="6">
        <v>2340674</v>
      </c>
      <c r="K736" s="6">
        <v>105526</v>
      </c>
      <c r="L736" s="6">
        <v>17601</v>
      </c>
      <c r="M736" s="6">
        <v>10537</v>
      </c>
      <c r="N736" s="6">
        <v>29316</v>
      </c>
      <c r="O736" s="6">
        <v>152126</v>
      </c>
      <c r="P736" s="6">
        <v>1243299</v>
      </c>
      <c r="Q736" s="6">
        <v>395485</v>
      </c>
      <c r="R736" s="6">
        <v>633038</v>
      </c>
      <c r="S736" s="6">
        <v>18493</v>
      </c>
      <c r="T736" s="6">
        <v>1759036</v>
      </c>
      <c r="U736" s="6">
        <v>175630</v>
      </c>
      <c r="V736" s="6">
        <v>-15218</v>
      </c>
      <c r="W736" s="6">
        <v>0</v>
      </c>
      <c r="X736" s="6">
        <v>47</v>
      </c>
      <c r="Y736" s="6"/>
      <c r="Z736" s="6"/>
      <c r="AA736" s="6"/>
      <c r="AB736" s="6">
        <v>63</v>
      </c>
      <c r="AC736" s="6">
        <v>2204</v>
      </c>
      <c r="AD736" s="6">
        <v>201</v>
      </c>
      <c r="AE736" s="6">
        <v>19834</v>
      </c>
      <c r="AF736" s="6">
        <v>21924</v>
      </c>
    </row>
    <row r="737" spans="1:32" x14ac:dyDescent="0.35">
      <c r="A737" s="1">
        <v>42704</v>
      </c>
      <c r="B737" s="6">
        <v>4446307</v>
      </c>
      <c r="C737" s="6">
        <v>11037</v>
      </c>
      <c r="D737" s="6">
        <v>5200</v>
      </c>
      <c r="E737" s="6">
        <v>1829</v>
      </c>
      <c r="F737" s="6">
        <v>4382618</v>
      </c>
      <c r="G737" s="6">
        <v>4223028</v>
      </c>
      <c r="H737" s="6">
        <v>2463861</v>
      </c>
      <c r="I737" s="6">
        <v>0</v>
      </c>
      <c r="J737" s="6">
        <v>2339503</v>
      </c>
      <c r="K737" s="6">
        <v>106697</v>
      </c>
      <c r="L737" s="6">
        <v>17661</v>
      </c>
      <c r="M737" s="6">
        <v>0</v>
      </c>
      <c r="N737" s="6">
        <v>42493</v>
      </c>
      <c r="O737" s="6">
        <v>146820</v>
      </c>
      <c r="P737" s="6">
        <v>1241826</v>
      </c>
      <c r="Q737" s="6">
        <v>399648</v>
      </c>
      <c r="R737" s="6">
        <v>633074</v>
      </c>
      <c r="S737" s="6">
        <v>18493</v>
      </c>
      <c r="T737" s="6">
        <v>1740674</v>
      </c>
      <c r="U737" s="6">
        <v>174779</v>
      </c>
      <c r="V737" s="6">
        <v>-15229</v>
      </c>
      <c r="W737" s="6">
        <v>0</v>
      </c>
      <c r="X737" s="6">
        <v>40</v>
      </c>
      <c r="Y737" s="6"/>
      <c r="Z737" s="6"/>
      <c r="AA737" s="6"/>
      <c r="AB737" s="6">
        <v>57</v>
      </c>
      <c r="AC737" s="6">
        <v>2210</v>
      </c>
      <c r="AD737" s="6">
        <v>1340</v>
      </c>
      <c r="AE737" s="6">
        <v>19738</v>
      </c>
      <c r="AF737" s="6">
        <v>20571</v>
      </c>
    </row>
    <row r="738" spans="1:32" x14ac:dyDescent="0.35">
      <c r="A738" s="1">
        <v>42711</v>
      </c>
      <c r="B738" s="6">
        <v>4448618</v>
      </c>
      <c r="C738" s="6">
        <v>11037</v>
      </c>
      <c r="D738" s="6">
        <v>5200</v>
      </c>
      <c r="E738" s="6">
        <v>1849</v>
      </c>
      <c r="F738" s="6">
        <v>4382058</v>
      </c>
      <c r="G738" s="6">
        <v>4222666</v>
      </c>
      <c r="H738" s="6">
        <v>2463496</v>
      </c>
      <c r="I738" s="6">
        <v>0</v>
      </c>
      <c r="J738" s="6">
        <v>2339103</v>
      </c>
      <c r="K738" s="6">
        <v>106697</v>
      </c>
      <c r="L738" s="6">
        <v>17696</v>
      </c>
      <c r="M738" s="6">
        <v>0</v>
      </c>
      <c r="N738" s="6">
        <v>42494</v>
      </c>
      <c r="O738" s="6">
        <v>146820</v>
      </c>
      <c r="P738" s="6">
        <v>1241832</v>
      </c>
      <c r="Q738" s="6">
        <v>399255</v>
      </c>
      <c r="R738" s="6">
        <v>633096</v>
      </c>
      <c r="S738" s="6">
        <v>18493</v>
      </c>
      <c r="T738" s="6">
        <v>1740677</v>
      </c>
      <c r="U738" s="6">
        <v>174450</v>
      </c>
      <c r="V738" s="6">
        <v>-15197</v>
      </c>
      <c r="W738" s="6">
        <v>59</v>
      </c>
      <c r="X738" s="6">
        <v>79</v>
      </c>
      <c r="Y738" s="6"/>
      <c r="Z738" s="6"/>
      <c r="AA738" s="6"/>
      <c r="AB738" s="6">
        <v>77</v>
      </c>
      <c r="AC738" s="6">
        <v>2199</v>
      </c>
      <c r="AD738" s="6">
        <v>1329</v>
      </c>
      <c r="AE738" s="6">
        <v>19982</v>
      </c>
      <c r="AF738" s="6">
        <v>23181</v>
      </c>
    </row>
    <row r="739" spans="1:32" x14ac:dyDescent="0.35">
      <c r="A739" s="1">
        <v>42718</v>
      </c>
      <c r="B739" s="6">
        <v>4470973</v>
      </c>
      <c r="C739" s="6">
        <v>11037</v>
      </c>
      <c r="D739" s="6">
        <v>5200</v>
      </c>
      <c r="E739" s="6">
        <v>1870</v>
      </c>
      <c r="F739" s="6">
        <v>4401802</v>
      </c>
      <c r="G739" s="6">
        <v>4242440</v>
      </c>
      <c r="H739" s="6">
        <v>2463531</v>
      </c>
      <c r="I739" s="6">
        <v>0</v>
      </c>
      <c r="J739" s="6">
        <v>2339103</v>
      </c>
      <c r="K739" s="6">
        <v>106697</v>
      </c>
      <c r="L739" s="6">
        <v>17731</v>
      </c>
      <c r="M739" s="6">
        <v>0</v>
      </c>
      <c r="N739" s="6">
        <v>42495</v>
      </c>
      <c r="O739" s="6">
        <v>146821</v>
      </c>
      <c r="P739" s="6">
        <v>1241837</v>
      </c>
      <c r="Q739" s="6">
        <v>399261</v>
      </c>
      <c r="R739" s="6">
        <v>633117</v>
      </c>
      <c r="S739" s="6">
        <v>18493</v>
      </c>
      <c r="T739" s="6">
        <v>1760415</v>
      </c>
      <c r="U739" s="6">
        <v>174478</v>
      </c>
      <c r="V739" s="6">
        <v>-15165</v>
      </c>
      <c r="W739" s="6">
        <v>0</v>
      </c>
      <c r="X739" s="6">
        <v>50</v>
      </c>
      <c r="Y739" s="6"/>
      <c r="Z739" s="6"/>
      <c r="AA739" s="6"/>
      <c r="AB739" s="6">
        <v>74</v>
      </c>
      <c r="AC739" s="6">
        <v>2200</v>
      </c>
      <c r="AD739" s="6">
        <v>1476</v>
      </c>
      <c r="AE739" s="6">
        <v>19759</v>
      </c>
      <c r="AF739" s="6">
        <v>25848</v>
      </c>
    </row>
    <row r="740" spans="1:32" x14ac:dyDescent="0.35">
      <c r="A740" s="1">
        <v>42725</v>
      </c>
      <c r="B740" s="6">
        <v>4469089</v>
      </c>
      <c r="C740" s="6">
        <v>11037</v>
      </c>
      <c r="D740" s="6">
        <v>5200</v>
      </c>
      <c r="E740" s="6">
        <v>1872</v>
      </c>
      <c r="F740" s="6">
        <v>4397108</v>
      </c>
      <c r="G740" s="6">
        <v>4238227</v>
      </c>
      <c r="H740" s="6">
        <v>2463566</v>
      </c>
      <c r="I740" s="6">
        <v>0</v>
      </c>
      <c r="J740" s="6">
        <v>2339103</v>
      </c>
      <c r="K740" s="6">
        <v>106697</v>
      </c>
      <c r="L740" s="6">
        <v>17766</v>
      </c>
      <c r="M740" s="6">
        <v>11702</v>
      </c>
      <c r="N740" s="6">
        <v>30794</v>
      </c>
      <c r="O740" s="6">
        <v>146821</v>
      </c>
      <c r="P740" s="6">
        <v>1241843</v>
      </c>
      <c r="Q740" s="6">
        <v>399268</v>
      </c>
      <c r="R740" s="6">
        <v>633138</v>
      </c>
      <c r="S740" s="6">
        <v>16180</v>
      </c>
      <c r="T740" s="6">
        <v>1758481</v>
      </c>
      <c r="U740" s="6">
        <v>173967</v>
      </c>
      <c r="V740" s="6">
        <v>-15127</v>
      </c>
      <c r="W740" s="6">
        <v>0</v>
      </c>
      <c r="X740" s="6">
        <v>42</v>
      </c>
      <c r="Y740" s="6"/>
      <c r="Z740" s="6"/>
      <c r="AA740" s="6"/>
      <c r="AB740" s="6">
        <v>66</v>
      </c>
      <c r="AC740" s="6">
        <v>2204</v>
      </c>
      <c r="AD740" s="6">
        <v>4743</v>
      </c>
      <c r="AE740" s="6">
        <v>19318</v>
      </c>
      <c r="AF740" s="6">
        <v>25834</v>
      </c>
    </row>
    <row r="741" spans="1:32" x14ac:dyDescent="0.35">
      <c r="A741" s="1">
        <v>42732</v>
      </c>
      <c r="B741" s="6">
        <v>4451451</v>
      </c>
      <c r="C741" s="6">
        <v>11037</v>
      </c>
      <c r="D741" s="6">
        <v>5200</v>
      </c>
      <c r="E741" s="6">
        <v>1874</v>
      </c>
      <c r="F741" s="6">
        <v>4379233</v>
      </c>
      <c r="G741" s="6">
        <v>4221168</v>
      </c>
      <c r="H741" s="6">
        <v>2463601</v>
      </c>
      <c r="I741" s="6">
        <v>0</v>
      </c>
      <c r="J741" s="6">
        <v>2339103</v>
      </c>
      <c r="K741" s="6">
        <v>106697</v>
      </c>
      <c r="L741" s="6">
        <v>17801</v>
      </c>
      <c r="M741" s="6">
        <v>11702</v>
      </c>
      <c r="N741" s="6">
        <v>30795</v>
      </c>
      <c r="O741" s="6">
        <v>146822</v>
      </c>
      <c r="P741" s="6">
        <v>1241849</v>
      </c>
      <c r="Q741" s="6">
        <v>399275</v>
      </c>
      <c r="R741" s="6">
        <v>633160</v>
      </c>
      <c r="S741" s="6">
        <v>16180</v>
      </c>
      <c r="T741" s="6">
        <v>1741387</v>
      </c>
      <c r="U741" s="6">
        <v>173109</v>
      </c>
      <c r="V741" s="6">
        <v>-15092</v>
      </c>
      <c r="W741" s="6">
        <v>0</v>
      </c>
      <c r="X741" s="6">
        <v>47</v>
      </c>
      <c r="Y741" s="6"/>
      <c r="Z741" s="6"/>
      <c r="AA741" s="6"/>
      <c r="AB741" s="6">
        <v>94</v>
      </c>
      <c r="AC741" s="6">
        <v>2210</v>
      </c>
      <c r="AD741" s="6">
        <v>4826</v>
      </c>
      <c r="AE741" s="6">
        <v>19288</v>
      </c>
      <c r="AF741" s="6">
        <v>25983</v>
      </c>
    </row>
    <row r="742" spans="1:32" x14ac:dyDescent="0.35">
      <c r="A742" s="1">
        <v>42739</v>
      </c>
      <c r="B742" s="6">
        <v>4453101</v>
      </c>
      <c r="C742" s="6">
        <v>11037</v>
      </c>
      <c r="D742" s="6">
        <v>5200</v>
      </c>
      <c r="E742" s="6">
        <v>1875</v>
      </c>
      <c r="F742" s="6">
        <v>4378908</v>
      </c>
      <c r="G742" s="6">
        <v>4221162</v>
      </c>
      <c r="H742" s="6">
        <v>2463591</v>
      </c>
      <c r="I742" s="6">
        <v>0</v>
      </c>
      <c r="J742" s="6">
        <v>2339103</v>
      </c>
      <c r="K742" s="6">
        <v>106697</v>
      </c>
      <c r="L742" s="6">
        <v>17791</v>
      </c>
      <c r="M742" s="6">
        <v>3105</v>
      </c>
      <c r="N742" s="6">
        <v>41249</v>
      </c>
      <c r="O742" s="6">
        <v>150766</v>
      </c>
      <c r="P742" s="6">
        <v>1232322</v>
      </c>
      <c r="Q742" s="6">
        <v>402996</v>
      </c>
      <c r="R742" s="6">
        <v>633154</v>
      </c>
      <c r="S742" s="6">
        <v>16180</v>
      </c>
      <c r="T742" s="6">
        <v>1741391</v>
      </c>
      <c r="U742" s="6">
        <v>172789</v>
      </c>
      <c r="V742" s="6">
        <v>-15083</v>
      </c>
      <c r="W742" s="6">
        <v>0</v>
      </c>
      <c r="X742" s="6">
        <v>40</v>
      </c>
      <c r="Y742" s="6"/>
      <c r="Z742" s="6"/>
      <c r="AA742" s="6"/>
      <c r="AB742" s="6">
        <v>168</v>
      </c>
      <c r="AC742" s="6">
        <v>2202</v>
      </c>
      <c r="AD742" s="6">
        <v>5563</v>
      </c>
      <c r="AE742" s="6">
        <v>19401</v>
      </c>
      <c r="AF742" s="6">
        <v>27041</v>
      </c>
    </row>
    <row r="743" spans="1:32" x14ac:dyDescent="0.35">
      <c r="A743" s="1">
        <v>42746</v>
      </c>
      <c r="B743" s="6">
        <v>4452509</v>
      </c>
      <c r="C743" s="6">
        <v>11037</v>
      </c>
      <c r="D743" s="6">
        <v>5200</v>
      </c>
      <c r="E743" s="6">
        <v>1890</v>
      </c>
      <c r="F743" s="6">
        <v>4378596</v>
      </c>
      <c r="G743" s="6">
        <v>4221125</v>
      </c>
      <c r="H743" s="6">
        <v>2463548</v>
      </c>
      <c r="I743" s="6">
        <v>0</v>
      </c>
      <c r="J743" s="6">
        <v>2339103</v>
      </c>
      <c r="K743" s="6">
        <v>106697</v>
      </c>
      <c r="L743" s="6">
        <v>17748</v>
      </c>
      <c r="M743" s="6">
        <v>3103</v>
      </c>
      <c r="N743" s="6">
        <v>41249</v>
      </c>
      <c r="O743" s="6">
        <v>150765</v>
      </c>
      <c r="P743" s="6">
        <v>1232315</v>
      </c>
      <c r="Q743" s="6">
        <v>402988</v>
      </c>
      <c r="R743" s="6">
        <v>633127</v>
      </c>
      <c r="S743" s="6">
        <v>16180</v>
      </c>
      <c r="T743" s="6">
        <v>1741398</v>
      </c>
      <c r="U743" s="6">
        <v>172520</v>
      </c>
      <c r="V743" s="6">
        <v>-15054</v>
      </c>
      <c r="W743" s="6">
        <v>0</v>
      </c>
      <c r="X743" s="6">
        <v>5</v>
      </c>
      <c r="Y743" s="6"/>
      <c r="Z743" s="6"/>
      <c r="AA743" s="6"/>
      <c r="AB743" s="6">
        <v>98</v>
      </c>
      <c r="AC743" s="6">
        <v>2203</v>
      </c>
      <c r="AD743" s="6">
        <v>2626</v>
      </c>
      <c r="AE743" s="6">
        <v>19505</v>
      </c>
      <c r="AF743" s="6">
        <v>29651</v>
      </c>
    </row>
    <row r="744" spans="1:32" x14ac:dyDescent="0.35">
      <c r="A744" s="1">
        <v>42753</v>
      </c>
      <c r="B744" s="6">
        <v>4460758</v>
      </c>
      <c r="C744" s="6">
        <v>11037</v>
      </c>
      <c r="D744" s="6">
        <v>5200</v>
      </c>
      <c r="E744" s="6">
        <v>1911</v>
      </c>
      <c r="F744" s="6">
        <v>4387787</v>
      </c>
      <c r="G744" s="6">
        <v>4230625</v>
      </c>
      <c r="H744" s="6">
        <v>2463504</v>
      </c>
      <c r="I744" s="6">
        <v>0</v>
      </c>
      <c r="J744" s="6">
        <v>2342206</v>
      </c>
      <c r="K744" s="6">
        <v>104106</v>
      </c>
      <c r="L744" s="6">
        <v>17192</v>
      </c>
      <c r="M744" s="6">
        <v>7356</v>
      </c>
      <c r="N744" s="6">
        <v>34350</v>
      </c>
      <c r="O744" s="6">
        <v>153341</v>
      </c>
      <c r="P744" s="6">
        <v>1233270</v>
      </c>
      <c r="Q744" s="6">
        <v>405075</v>
      </c>
      <c r="R744" s="6">
        <v>630113</v>
      </c>
      <c r="S744" s="6">
        <v>16180</v>
      </c>
      <c r="T744" s="6">
        <v>1750940</v>
      </c>
      <c r="U744" s="6">
        <v>172216</v>
      </c>
      <c r="V744" s="6">
        <v>-15102</v>
      </c>
      <c r="W744" s="6">
        <v>0</v>
      </c>
      <c r="X744" s="6">
        <v>48</v>
      </c>
      <c r="Y744" s="6"/>
      <c r="Z744" s="6"/>
      <c r="AA744" s="6"/>
      <c r="AB744" s="6">
        <v>115</v>
      </c>
      <c r="AC744" s="6">
        <v>2204</v>
      </c>
      <c r="AD744" s="6">
        <v>615</v>
      </c>
      <c r="AE744" s="6">
        <v>19907</v>
      </c>
      <c r="AF744" s="6">
        <v>30277</v>
      </c>
    </row>
    <row r="745" spans="1:32" x14ac:dyDescent="0.35">
      <c r="A745" s="1">
        <v>42760</v>
      </c>
      <c r="B745" s="6">
        <v>4452838</v>
      </c>
      <c r="C745" s="6">
        <v>11037</v>
      </c>
      <c r="D745" s="6">
        <v>5200</v>
      </c>
      <c r="E745" s="6">
        <v>1938</v>
      </c>
      <c r="F745" s="6">
        <v>4380674</v>
      </c>
      <c r="G745" s="6">
        <v>4224236</v>
      </c>
      <c r="H745" s="6">
        <v>2463462</v>
      </c>
      <c r="I745" s="6">
        <v>0</v>
      </c>
      <c r="J745" s="6">
        <v>2342206</v>
      </c>
      <c r="K745" s="6">
        <v>104106</v>
      </c>
      <c r="L745" s="6">
        <v>17149</v>
      </c>
      <c r="M745" s="6">
        <v>7356</v>
      </c>
      <c r="N745" s="6">
        <v>34350</v>
      </c>
      <c r="O745" s="6">
        <v>153339</v>
      </c>
      <c r="P745" s="6">
        <v>1233263</v>
      </c>
      <c r="Q745" s="6">
        <v>405066</v>
      </c>
      <c r="R745" s="6">
        <v>630088</v>
      </c>
      <c r="S745" s="6">
        <v>16180</v>
      </c>
      <c r="T745" s="6">
        <v>1744594</v>
      </c>
      <c r="U745" s="6">
        <v>171505</v>
      </c>
      <c r="V745" s="6">
        <v>-15071</v>
      </c>
      <c r="W745" s="6">
        <v>0</v>
      </c>
      <c r="X745" s="6">
        <v>4</v>
      </c>
      <c r="Y745" s="6"/>
      <c r="Z745" s="6"/>
      <c r="AA745" s="6"/>
      <c r="AB745" s="6">
        <v>81</v>
      </c>
      <c r="AC745" s="6">
        <v>2205</v>
      </c>
      <c r="AD745" s="6">
        <v>465</v>
      </c>
      <c r="AE745" s="6">
        <v>19958</v>
      </c>
      <c r="AF745" s="6">
        <v>29573</v>
      </c>
    </row>
    <row r="746" spans="1:32" x14ac:dyDescent="0.35">
      <c r="A746" s="1">
        <v>42767</v>
      </c>
      <c r="B746" s="6">
        <v>4453881</v>
      </c>
      <c r="C746" s="6">
        <v>11037</v>
      </c>
      <c r="D746" s="6">
        <v>5200</v>
      </c>
      <c r="E746" s="6">
        <v>1951</v>
      </c>
      <c r="F746" s="6">
        <v>4380385</v>
      </c>
      <c r="G746" s="6">
        <v>4224242</v>
      </c>
      <c r="H746" s="6">
        <v>2463426</v>
      </c>
      <c r="I746" s="6">
        <v>0</v>
      </c>
      <c r="J746" s="6">
        <v>2341382</v>
      </c>
      <c r="K746" s="6">
        <v>104930</v>
      </c>
      <c r="L746" s="6">
        <v>17114</v>
      </c>
      <c r="M746" s="6">
        <v>7159</v>
      </c>
      <c r="N746" s="6">
        <v>41249</v>
      </c>
      <c r="O746" s="6">
        <v>167127</v>
      </c>
      <c r="P746" s="6">
        <v>1210166</v>
      </c>
      <c r="Q746" s="6">
        <v>407659</v>
      </c>
      <c r="R746" s="6">
        <v>630067</v>
      </c>
      <c r="S746" s="6">
        <v>16180</v>
      </c>
      <c r="T746" s="6">
        <v>1744636</v>
      </c>
      <c r="U746" s="6">
        <v>171203</v>
      </c>
      <c r="V746" s="6">
        <v>-15070</v>
      </c>
      <c r="W746" s="6">
        <v>0</v>
      </c>
      <c r="X746" s="6">
        <v>10</v>
      </c>
      <c r="Y746" s="6"/>
      <c r="Z746" s="6"/>
      <c r="AA746" s="6"/>
      <c r="AB746" s="6">
        <v>82</v>
      </c>
      <c r="AC746" s="6">
        <v>2197</v>
      </c>
      <c r="AD746" s="6">
        <v>392</v>
      </c>
      <c r="AE746" s="6">
        <v>19996</v>
      </c>
      <c r="AF746" s="6">
        <v>30935</v>
      </c>
    </row>
    <row r="747" spans="1:32" x14ac:dyDescent="0.35">
      <c r="A747" s="1">
        <v>42774</v>
      </c>
      <c r="B747" s="6">
        <v>4456236</v>
      </c>
      <c r="C747" s="6">
        <v>11037</v>
      </c>
      <c r="D747" s="6">
        <v>5200</v>
      </c>
      <c r="E747" s="6">
        <v>1961</v>
      </c>
      <c r="F747" s="6">
        <v>4380159</v>
      </c>
      <c r="G747" s="6">
        <v>4224258</v>
      </c>
      <c r="H747" s="6">
        <v>2463436</v>
      </c>
      <c r="I747" s="6">
        <v>0</v>
      </c>
      <c r="J747" s="6">
        <v>2341382</v>
      </c>
      <c r="K747" s="6">
        <v>104930</v>
      </c>
      <c r="L747" s="6">
        <v>17124</v>
      </c>
      <c r="M747" s="6">
        <v>7159</v>
      </c>
      <c r="N747" s="6">
        <v>41249</v>
      </c>
      <c r="O747" s="6">
        <v>167127</v>
      </c>
      <c r="P747" s="6">
        <v>1210167</v>
      </c>
      <c r="Q747" s="6">
        <v>407661</v>
      </c>
      <c r="R747" s="6">
        <v>630073</v>
      </c>
      <c r="S747" s="6">
        <v>16180</v>
      </c>
      <c r="T747" s="6">
        <v>1744642</v>
      </c>
      <c r="U747" s="6">
        <v>170931</v>
      </c>
      <c r="V747" s="6">
        <v>-15040</v>
      </c>
      <c r="W747" s="6">
        <v>0</v>
      </c>
      <c r="X747" s="6">
        <v>11</v>
      </c>
      <c r="Y747" s="6"/>
      <c r="Z747" s="6"/>
      <c r="AA747" s="6"/>
      <c r="AB747" s="6">
        <v>81</v>
      </c>
      <c r="AC747" s="6">
        <v>2199</v>
      </c>
      <c r="AD747" s="6">
        <v>265</v>
      </c>
      <c r="AE747" s="6">
        <v>20056</v>
      </c>
      <c r="AF747" s="6">
        <v>33573</v>
      </c>
    </row>
    <row r="748" spans="1:32" x14ac:dyDescent="0.35">
      <c r="A748" s="1">
        <v>42781</v>
      </c>
      <c r="B748" s="6">
        <v>4454676</v>
      </c>
      <c r="C748" s="6">
        <v>11037</v>
      </c>
      <c r="D748" s="6">
        <v>5200</v>
      </c>
      <c r="E748" s="6">
        <v>1970</v>
      </c>
      <c r="F748" s="6">
        <v>4393901</v>
      </c>
      <c r="G748" s="6">
        <v>4237975</v>
      </c>
      <c r="H748" s="6">
        <v>2463446</v>
      </c>
      <c r="I748" s="6">
        <v>0</v>
      </c>
      <c r="J748" s="6">
        <v>2341382</v>
      </c>
      <c r="K748" s="6">
        <v>104930</v>
      </c>
      <c r="L748" s="6">
        <v>17133</v>
      </c>
      <c r="M748" s="6">
        <v>13175</v>
      </c>
      <c r="N748" s="6">
        <v>48558</v>
      </c>
      <c r="O748" s="6">
        <v>163208</v>
      </c>
      <c r="P748" s="6">
        <v>1240508</v>
      </c>
      <c r="Q748" s="6">
        <v>363532</v>
      </c>
      <c r="R748" s="6">
        <v>634466</v>
      </c>
      <c r="S748" s="6">
        <v>14829</v>
      </c>
      <c r="T748" s="6">
        <v>1759700</v>
      </c>
      <c r="U748" s="6">
        <v>170972</v>
      </c>
      <c r="V748" s="6">
        <v>-15061</v>
      </c>
      <c r="W748" s="6">
        <v>0</v>
      </c>
      <c r="X748" s="6">
        <v>15</v>
      </c>
      <c r="Y748" s="6"/>
      <c r="Z748" s="6"/>
      <c r="AA748" s="6"/>
      <c r="AB748" s="6">
        <v>106</v>
      </c>
      <c r="AC748" s="6">
        <v>2199</v>
      </c>
      <c r="AD748" s="6">
        <v>236</v>
      </c>
      <c r="AE748" s="6">
        <v>19756</v>
      </c>
      <c r="AF748" s="6">
        <v>18566</v>
      </c>
    </row>
    <row r="749" spans="1:32" x14ac:dyDescent="0.35">
      <c r="A749" s="1">
        <v>42788</v>
      </c>
      <c r="B749" s="6">
        <v>4468702</v>
      </c>
      <c r="C749" s="6">
        <v>11037</v>
      </c>
      <c r="D749" s="6">
        <v>5200</v>
      </c>
      <c r="E749" s="6">
        <v>1967</v>
      </c>
      <c r="F749" s="6">
        <v>4406424</v>
      </c>
      <c r="G749" s="6">
        <v>4250406</v>
      </c>
      <c r="H749" s="6">
        <v>2463456</v>
      </c>
      <c r="I749" s="6">
        <v>0</v>
      </c>
      <c r="J749" s="6">
        <v>2341382</v>
      </c>
      <c r="K749" s="6">
        <v>104930</v>
      </c>
      <c r="L749" s="6">
        <v>17144</v>
      </c>
      <c r="M749" s="6">
        <v>13175</v>
      </c>
      <c r="N749" s="6">
        <v>48558</v>
      </c>
      <c r="O749" s="6">
        <v>163208</v>
      </c>
      <c r="P749" s="6">
        <v>1240509</v>
      </c>
      <c r="Q749" s="6">
        <v>372215</v>
      </c>
      <c r="R749" s="6">
        <v>625791</v>
      </c>
      <c r="S749" s="6">
        <v>13329</v>
      </c>
      <c r="T749" s="6">
        <v>1773621</v>
      </c>
      <c r="U749" s="6">
        <v>171046</v>
      </c>
      <c r="V749" s="6">
        <v>-15031</v>
      </c>
      <c r="W749" s="6">
        <v>0</v>
      </c>
      <c r="X749" s="6">
        <v>3</v>
      </c>
      <c r="Y749" s="6"/>
      <c r="Z749" s="6"/>
      <c r="AA749" s="6"/>
      <c r="AB749" s="6">
        <v>127</v>
      </c>
      <c r="AC749" s="6">
        <v>2202</v>
      </c>
      <c r="AD749" s="6">
        <v>143</v>
      </c>
      <c r="AE749" s="6">
        <v>19761</v>
      </c>
      <c r="AF749" s="6">
        <v>20137</v>
      </c>
    </row>
    <row r="750" spans="1:32" x14ac:dyDescent="0.35">
      <c r="A750" s="1">
        <v>42795</v>
      </c>
      <c r="B750" s="6">
        <v>4458018</v>
      </c>
      <c r="C750" s="6">
        <v>11037</v>
      </c>
      <c r="D750" s="6">
        <v>5200</v>
      </c>
      <c r="E750" s="6">
        <v>1942</v>
      </c>
      <c r="F750" s="6">
        <v>4395386</v>
      </c>
      <c r="G750" s="6">
        <v>4240003</v>
      </c>
      <c r="H750" s="6">
        <v>2463488</v>
      </c>
      <c r="I750" s="6">
        <v>0</v>
      </c>
      <c r="J750" s="6">
        <v>2340411</v>
      </c>
      <c r="K750" s="6">
        <v>105901</v>
      </c>
      <c r="L750" s="6">
        <v>17175</v>
      </c>
      <c r="M750" s="6">
        <v>0</v>
      </c>
      <c r="N750" s="6">
        <v>48558</v>
      </c>
      <c r="O750" s="6">
        <v>195256</v>
      </c>
      <c r="P750" s="6">
        <v>1216789</v>
      </c>
      <c r="Q750" s="6">
        <v>376104</v>
      </c>
      <c r="R750" s="6">
        <v>626781</v>
      </c>
      <c r="S750" s="6">
        <v>13329</v>
      </c>
      <c r="T750" s="6">
        <v>1763186</v>
      </c>
      <c r="U750" s="6">
        <v>170434</v>
      </c>
      <c r="V750" s="6">
        <v>-15052</v>
      </c>
      <c r="W750" s="6">
        <v>0</v>
      </c>
      <c r="X750" s="6">
        <v>2</v>
      </c>
      <c r="Y750" s="6"/>
      <c r="Z750" s="6"/>
      <c r="AA750" s="6"/>
      <c r="AB750" s="6">
        <v>79</v>
      </c>
      <c r="AC750" s="6">
        <v>2196</v>
      </c>
      <c r="AD750" s="6">
        <v>1132</v>
      </c>
      <c r="AE750" s="6">
        <v>19755</v>
      </c>
      <c r="AF750" s="6">
        <v>19585</v>
      </c>
    </row>
    <row r="751" spans="1:32" x14ac:dyDescent="0.35">
      <c r="A751" s="1">
        <v>42802</v>
      </c>
      <c r="B751" s="6">
        <v>4459840</v>
      </c>
      <c r="C751" s="6">
        <v>11037</v>
      </c>
      <c r="D751" s="6">
        <v>5200</v>
      </c>
      <c r="E751" s="6">
        <v>1934</v>
      </c>
      <c r="F751" s="6">
        <v>4395331</v>
      </c>
      <c r="G751" s="6">
        <v>4240169</v>
      </c>
      <c r="H751" s="6">
        <v>2463650</v>
      </c>
      <c r="I751" s="6">
        <v>0</v>
      </c>
      <c r="J751" s="6">
        <v>2340411</v>
      </c>
      <c r="K751" s="6">
        <v>105901</v>
      </c>
      <c r="L751" s="6">
        <v>17337</v>
      </c>
      <c r="M751" s="6">
        <v>0</v>
      </c>
      <c r="N751" s="6">
        <v>60468</v>
      </c>
      <c r="O751" s="6">
        <v>183351</v>
      </c>
      <c r="P751" s="6">
        <v>1216815</v>
      </c>
      <c r="Q751" s="6">
        <v>376137</v>
      </c>
      <c r="R751" s="6">
        <v>626878</v>
      </c>
      <c r="S751" s="6">
        <v>13329</v>
      </c>
      <c r="T751" s="6">
        <v>1763191</v>
      </c>
      <c r="U751" s="6">
        <v>170171</v>
      </c>
      <c r="V751" s="6">
        <v>-15025</v>
      </c>
      <c r="W751" s="6">
        <v>0</v>
      </c>
      <c r="X751" s="6">
        <v>15</v>
      </c>
      <c r="Y751" s="6"/>
      <c r="Z751" s="6"/>
      <c r="AA751" s="6"/>
      <c r="AB751" s="6">
        <v>66</v>
      </c>
      <c r="AC751" s="6">
        <v>2197</v>
      </c>
      <c r="AD751" s="6">
        <v>491</v>
      </c>
      <c r="AE751" s="6">
        <v>19670</v>
      </c>
      <c r="AF751" s="6">
        <v>22209</v>
      </c>
    </row>
    <row r="752" spans="1:32" x14ac:dyDescent="0.35">
      <c r="A752" s="1">
        <v>42809</v>
      </c>
      <c r="B752" s="6">
        <v>4469577</v>
      </c>
      <c r="C752" s="6">
        <v>11037</v>
      </c>
      <c r="D752" s="6">
        <v>5200</v>
      </c>
      <c r="E752" s="6">
        <v>1929</v>
      </c>
      <c r="F752" s="6">
        <v>4403462</v>
      </c>
      <c r="G752" s="6">
        <v>4248325</v>
      </c>
      <c r="H752" s="6">
        <v>2463812</v>
      </c>
      <c r="I752" s="6">
        <v>0</v>
      </c>
      <c r="J752" s="6">
        <v>2340411</v>
      </c>
      <c r="K752" s="6">
        <v>105901</v>
      </c>
      <c r="L752" s="6">
        <v>17499</v>
      </c>
      <c r="M752" s="6">
        <v>0</v>
      </c>
      <c r="N752" s="6">
        <v>60469</v>
      </c>
      <c r="O752" s="6">
        <v>183357</v>
      </c>
      <c r="P752" s="6">
        <v>1216841</v>
      </c>
      <c r="Q752" s="6">
        <v>376170</v>
      </c>
      <c r="R752" s="6">
        <v>626975</v>
      </c>
      <c r="S752" s="6">
        <v>13329</v>
      </c>
      <c r="T752" s="6">
        <v>1771184</v>
      </c>
      <c r="U752" s="6">
        <v>170126</v>
      </c>
      <c r="V752" s="6">
        <v>-15004</v>
      </c>
      <c r="W752" s="6">
        <v>0</v>
      </c>
      <c r="X752" s="6">
        <v>15</v>
      </c>
      <c r="Y752" s="6"/>
      <c r="Z752" s="6"/>
      <c r="AA752" s="6"/>
      <c r="AB752" s="6">
        <v>62</v>
      </c>
      <c r="AC752" s="6">
        <v>2197</v>
      </c>
      <c r="AD752" s="6">
        <v>917</v>
      </c>
      <c r="AE752" s="6">
        <v>19756</v>
      </c>
      <c r="AF752" s="6">
        <v>23312</v>
      </c>
    </row>
    <row r="753" spans="1:32" x14ac:dyDescent="0.35">
      <c r="A753" s="1">
        <v>42816</v>
      </c>
      <c r="B753" s="6">
        <v>4478236</v>
      </c>
      <c r="C753" s="6">
        <v>11037</v>
      </c>
      <c r="D753" s="6">
        <v>5200</v>
      </c>
      <c r="E753" s="6">
        <v>1921</v>
      </c>
      <c r="F753" s="6">
        <v>4409999</v>
      </c>
      <c r="G753" s="6">
        <v>4254947</v>
      </c>
      <c r="H753" s="6">
        <v>2463974</v>
      </c>
      <c r="I753" s="6">
        <v>0</v>
      </c>
      <c r="J753" s="6">
        <v>2340411</v>
      </c>
      <c r="K753" s="6">
        <v>105901</v>
      </c>
      <c r="L753" s="6">
        <v>17661</v>
      </c>
      <c r="M753" s="6">
        <v>13559</v>
      </c>
      <c r="N753" s="6">
        <v>46910</v>
      </c>
      <c r="O753" s="6">
        <v>183363</v>
      </c>
      <c r="P753" s="6">
        <v>1216867</v>
      </c>
      <c r="Q753" s="6">
        <v>376203</v>
      </c>
      <c r="R753" s="6">
        <v>627071</v>
      </c>
      <c r="S753" s="6">
        <v>13329</v>
      </c>
      <c r="T753" s="6">
        <v>1777645</v>
      </c>
      <c r="U753" s="6">
        <v>170019</v>
      </c>
      <c r="V753" s="6">
        <v>-14976</v>
      </c>
      <c r="W753" s="6">
        <v>0</v>
      </c>
      <c r="X753" s="6">
        <v>9</v>
      </c>
      <c r="Y753" s="6"/>
      <c r="Z753" s="6"/>
      <c r="AA753" s="6"/>
      <c r="AB753" s="6">
        <v>49</v>
      </c>
      <c r="AC753" s="6">
        <v>2199</v>
      </c>
      <c r="AD753" s="6">
        <v>1019</v>
      </c>
      <c r="AE753" s="6">
        <v>20205</v>
      </c>
      <c r="AF753" s="6">
        <v>24898</v>
      </c>
    </row>
    <row r="754" spans="1:32" x14ac:dyDescent="0.35">
      <c r="A754" s="1">
        <v>42823</v>
      </c>
      <c r="B754" s="6">
        <v>4469618</v>
      </c>
      <c r="C754" s="6">
        <v>11037</v>
      </c>
      <c r="D754" s="6">
        <v>5200</v>
      </c>
      <c r="E754" s="6">
        <v>1912</v>
      </c>
      <c r="F754" s="6">
        <v>4401348</v>
      </c>
      <c r="G754" s="6">
        <v>4246783</v>
      </c>
      <c r="H754" s="6">
        <v>2464335</v>
      </c>
      <c r="I754" s="6">
        <v>0</v>
      </c>
      <c r="J754" s="6">
        <v>2340611</v>
      </c>
      <c r="K754" s="6">
        <v>105901</v>
      </c>
      <c r="L754" s="6">
        <v>17823</v>
      </c>
      <c r="M754" s="6">
        <v>13559</v>
      </c>
      <c r="N754" s="6">
        <v>46911</v>
      </c>
      <c r="O754" s="6">
        <v>183368</v>
      </c>
      <c r="P754" s="6">
        <v>1216893</v>
      </c>
      <c r="Q754" s="6">
        <v>376236</v>
      </c>
      <c r="R754" s="6">
        <v>627368</v>
      </c>
      <c r="S754" s="6">
        <v>13329</v>
      </c>
      <c r="T754" s="6">
        <v>1769118</v>
      </c>
      <c r="U754" s="6">
        <v>169503</v>
      </c>
      <c r="V754" s="6">
        <v>-14948</v>
      </c>
      <c r="W754" s="6">
        <v>0</v>
      </c>
      <c r="X754" s="6">
        <v>11</v>
      </c>
      <c r="Y754" s="6"/>
      <c r="Z754" s="6"/>
      <c r="AA754" s="6"/>
      <c r="AB754" s="6">
        <v>65</v>
      </c>
      <c r="AC754" s="6">
        <v>2200</v>
      </c>
      <c r="AD754" s="6">
        <v>1007</v>
      </c>
      <c r="AE754" s="6">
        <v>20158</v>
      </c>
      <c r="AF754" s="6">
        <v>24984</v>
      </c>
    </row>
    <row r="755" spans="1:32" x14ac:dyDescent="0.35">
      <c r="A755" s="1">
        <v>42830</v>
      </c>
      <c r="B755" s="6">
        <v>4474634</v>
      </c>
      <c r="C755" s="6">
        <v>11037</v>
      </c>
      <c r="D755" s="6">
        <v>5200</v>
      </c>
      <c r="E755" s="6">
        <v>1908</v>
      </c>
      <c r="F755" s="6">
        <v>4401166</v>
      </c>
      <c r="G755" s="6">
        <v>4246906</v>
      </c>
      <c r="H755" s="6">
        <v>2464454</v>
      </c>
      <c r="I755" s="6">
        <v>0</v>
      </c>
      <c r="J755" s="6">
        <v>2339280</v>
      </c>
      <c r="K755" s="6">
        <v>107233</v>
      </c>
      <c r="L755" s="6">
        <v>17942</v>
      </c>
      <c r="M755" s="6">
        <v>460</v>
      </c>
      <c r="N755" s="6">
        <v>59336</v>
      </c>
      <c r="O755" s="6">
        <v>201689</v>
      </c>
      <c r="P755" s="6">
        <v>1194547</v>
      </c>
      <c r="Q755" s="6">
        <v>380988</v>
      </c>
      <c r="R755" s="6">
        <v>627435</v>
      </c>
      <c r="S755" s="6">
        <v>13329</v>
      </c>
      <c r="T755" s="6">
        <v>1769122</v>
      </c>
      <c r="U755" s="6">
        <v>169214</v>
      </c>
      <c r="V755" s="6">
        <v>-14966</v>
      </c>
      <c r="W755" s="6">
        <v>0</v>
      </c>
      <c r="X755" s="6">
        <v>13</v>
      </c>
      <c r="Y755" s="6"/>
      <c r="Z755" s="6"/>
      <c r="AA755" s="6"/>
      <c r="AB755" s="6">
        <v>72</v>
      </c>
      <c r="AC755" s="6">
        <v>2199</v>
      </c>
      <c r="AD755" s="6">
        <v>5075</v>
      </c>
      <c r="AE755" s="6">
        <v>20042</v>
      </c>
      <c r="AF755" s="6">
        <v>26216</v>
      </c>
    </row>
    <row r="756" spans="1:32" x14ac:dyDescent="0.35">
      <c r="A756" s="1">
        <v>42837</v>
      </c>
      <c r="B756" s="6">
        <v>4484492</v>
      </c>
      <c r="C756" s="6">
        <v>11037</v>
      </c>
      <c r="D756" s="6">
        <v>5200</v>
      </c>
      <c r="E756" s="6">
        <v>1899</v>
      </c>
      <c r="F756" s="6">
        <v>4413341</v>
      </c>
      <c r="G756" s="6">
        <v>4258966</v>
      </c>
      <c r="H756" s="6">
        <v>2464546</v>
      </c>
      <c r="I756" s="6">
        <v>0</v>
      </c>
      <c r="J756" s="6">
        <v>2339280</v>
      </c>
      <c r="K756" s="6">
        <v>107233</v>
      </c>
      <c r="L756" s="6">
        <v>18034</v>
      </c>
      <c r="M756" s="6">
        <v>460</v>
      </c>
      <c r="N756" s="6">
        <v>59336</v>
      </c>
      <c r="O756" s="6">
        <v>201692</v>
      </c>
      <c r="P756" s="6">
        <v>1194562</v>
      </c>
      <c r="Q756" s="6">
        <v>381007</v>
      </c>
      <c r="R756" s="6">
        <v>627489</v>
      </c>
      <c r="S756" s="6">
        <v>13329</v>
      </c>
      <c r="T756" s="6">
        <v>1781091</v>
      </c>
      <c r="U756" s="6">
        <v>169292</v>
      </c>
      <c r="V756" s="6">
        <v>-14941</v>
      </c>
      <c r="W756" s="6">
        <v>0</v>
      </c>
      <c r="X756" s="6">
        <v>24</v>
      </c>
      <c r="Y756" s="6"/>
      <c r="Z756" s="6"/>
      <c r="AA756" s="6"/>
      <c r="AB756" s="6">
        <v>90</v>
      </c>
      <c r="AC756" s="6">
        <v>2198</v>
      </c>
      <c r="AD756" s="6">
        <v>45</v>
      </c>
      <c r="AE756" s="6">
        <v>20115</v>
      </c>
      <c r="AF756" s="6">
        <v>28860</v>
      </c>
    </row>
    <row r="757" spans="1:32" x14ac:dyDescent="0.35">
      <c r="A757" s="1">
        <v>42844</v>
      </c>
      <c r="B757" s="6">
        <v>4479270</v>
      </c>
      <c r="C757" s="6">
        <v>11037</v>
      </c>
      <c r="D757" s="6">
        <v>5200</v>
      </c>
      <c r="E757" s="6">
        <v>1888</v>
      </c>
      <c r="F757" s="6">
        <v>4407412</v>
      </c>
      <c r="G757" s="6">
        <v>4253384</v>
      </c>
      <c r="H757" s="6">
        <v>2464638</v>
      </c>
      <c r="I757" s="6">
        <v>0</v>
      </c>
      <c r="J757" s="6">
        <v>2339740</v>
      </c>
      <c r="K757" s="6">
        <v>106803</v>
      </c>
      <c r="L757" s="6">
        <v>18095</v>
      </c>
      <c r="M757" s="6">
        <v>14058</v>
      </c>
      <c r="N757" s="6">
        <v>46550</v>
      </c>
      <c r="O757" s="6">
        <v>200648</v>
      </c>
      <c r="P757" s="6">
        <v>1194549</v>
      </c>
      <c r="Q757" s="6">
        <v>381191</v>
      </c>
      <c r="R757" s="6">
        <v>627642</v>
      </c>
      <c r="S757" s="6">
        <v>11829</v>
      </c>
      <c r="T757" s="6">
        <v>1776917</v>
      </c>
      <c r="U757" s="6">
        <v>168863</v>
      </c>
      <c r="V757" s="6">
        <v>-14909</v>
      </c>
      <c r="W757" s="6">
        <v>0</v>
      </c>
      <c r="X757" s="6">
        <v>73</v>
      </c>
      <c r="Y757" s="6"/>
      <c r="Z757" s="6"/>
      <c r="AA757" s="6"/>
      <c r="AB757" s="6">
        <v>102</v>
      </c>
      <c r="AC757" s="6">
        <v>2199</v>
      </c>
      <c r="AD757" s="6">
        <v>35</v>
      </c>
      <c r="AE757" s="6">
        <v>20258</v>
      </c>
      <c r="AF757" s="6">
        <v>29433</v>
      </c>
    </row>
    <row r="758" spans="1:32" x14ac:dyDescent="0.35">
      <c r="A758" s="1">
        <v>42851</v>
      </c>
      <c r="B758" s="6">
        <v>4470142</v>
      </c>
      <c r="C758" s="6">
        <v>11037</v>
      </c>
      <c r="D758" s="6">
        <v>5200</v>
      </c>
      <c r="E758" s="6">
        <v>1883</v>
      </c>
      <c r="F758" s="6">
        <v>4399032</v>
      </c>
      <c r="G758" s="6">
        <v>4245572</v>
      </c>
      <c r="H758" s="6">
        <v>2464730</v>
      </c>
      <c r="I758" s="6">
        <v>0</v>
      </c>
      <c r="J758" s="6">
        <v>2339740</v>
      </c>
      <c r="K758" s="6">
        <v>106803</v>
      </c>
      <c r="L758" s="6">
        <v>18187</v>
      </c>
      <c r="M758" s="6">
        <v>14058</v>
      </c>
      <c r="N758" s="6">
        <v>46551</v>
      </c>
      <c r="O758" s="6">
        <v>200650</v>
      </c>
      <c r="P758" s="6">
        <v>1194564</v>
      </c>
      <c r="Q758" s="6">
        <v>381211</v>
      </c>
      <c r="R758" s="6">
        <v>627696</v>
      </c>
      <c r="S758" s="6">
        <v>11829</v>
      </c>
      <c r="T758" s="6">
        <v>1769013</v>
      </c>
      <c r="U758" s="6">
        <v>168285</v>
      </c>
      <c r="V758" s="6">
        <v>-14869</v>
      </c>
      <c r="W758" s="6">
        <v>0</v>
      </c>
      <c r="X758" s="6">
        <v>44</v>
      </c>
      <c r="Y758" s="6"/>
      <c r="Z758" s="6"/>
      <c r="AA758" s="6"/>
      <c r="AB758" s="6">
        <v>84</v>
      </c>
      <c r="AC758" s="6">
        <v>2199</v>
      </c>
      <c r="AD758" s="6">
        <v>80</v>
      </c>
      <c r="AE758" s="6">
        <v>20248</v>
      </c>
      <c r="AF758" s="6">
        <v>28669</v>
      </c>
    </row>
    <row r="759" spans="1:32" x14ac:dyDescent="0.35">
      <c r="A759" s="1">
        <v>42858</v>
      </c>
      <c r="B759" s="6">
        <v>4471246</v>
      </c>
      <c r="C759" s="6">
        <v>11037</v>
      </c>
      <c r="D759" s="6">
        <v>5200</v>
      </c>
      <c r="E759" s="6">
        <v>1878</v>
      </c>
      <c r="F759" s="6">
        <v>4398832</v>
      </c>
      <c r="G759" s="6">
        <v>4245636</v>
      </c>
      <c r="H759" s="6">
        <v>2464792</v>
      </c>
      <c r="I759" s="6">
        <v>0</v>
      </c>
      <c r="J759" s="6">
        <v>2339740</v>
      </c>
      <c r="K759" s="6">
        <v>106803</v>
      </c>
      <c r="L759" s="6">
        <v>18249</v>
      </c>
      <c r="M759" s="6">
        <v>20483</v>
      </c>
      <c r="N759" s="6">
        <v>37862</v>
      </c>
      <c r="O759" s="6">
        <v>223203</v>
      </c>
      <c r="P759" s="6">
        <v>1170570</v>
      </c>
      <c r="Q759" s="6">
        <v>384939</v>
      </c>
      <c r="R759" s="6">
        <v>627733</v>
      </c>
      <c r="S759" s="6">
        <v>11829</v>
      </c>
      <c r="T759" s="6">
        <v>1769015</v>
      </c>
      <c r="U759" s="6">
        <v>167992</v>
      </c>
      <c r="V759" s="6">
        <v>-14860</v>
      </c>
      <c r="W759" s="6">
        <v>0</v>
      </c>
      <c r="X759" s="6">
        <v>63</v>
      </c>
      <c r="Y759" s="6"/>
      <c r="Z759" s="6"/>
      <c r="AA759" s="6"/>
      <c r="AB759" s="6">
        <v>113</v>
      </c>
      <c r="AC759" s="6">
        <v>2199</v>
      </c>
      <c r="AD759" s="6">
        <v>35</v>
      </c>
      <c r="AE759" s="6">
        <v>20239</v>
      </c>
      <c r="AF759" s="6">
        <v>30005</v>
      </c>
    </row>
    <row r="760" spans="1:32" x14ac:dyDescent="0.35">
      <c r="A760" s="1">
        <v>42865</v>
      </c>
      <c r="B760" s="6">
        <v>4473459</v>
      </c>
      <c r="C760" s="6">
        <v>11037</v>
      </c>
      <c r="D760" s="6">
        <v>5200</v>
      </c>
      <c r="E760" s="6">
        <v>1860</v>
      </c>
      <c r="F760" s="6">
        <v>4398667</v>
      </c>
      <c r="G760" s="6">
        <v>4245660</v>
      </c>
      <c r="H760" s="6">
        <v>2464815</v>
      </c>
      <c r="I760" s="6">
        <v>0</v>
      </c>
      <c r="J760" s="6">
        <v>2339740</v>
      </c>
      <c r="K760" s="6">
        <v>106803</v>
      </c>
      <c r="L760" s="6">
        <v>18272</v>
      </c>
      <c r="M760" s="6">
        <v>20483</v>
      </c>
      <c r="N760" s="6">
        <v>37862</v>
      </c>
      <c r="O760" s="6">
        <v>223204</v>
      </c>
      <c r="P760" s="6">
        <v>1170574</v>
      </c>
      <c r="Q760" s="6">
        <v>384944</v>
      </c>
      <c r="R760" s="6">
        <v>627747</v>
      </c>
      <c r="S760" s="6">
        <v>11829</v>
      </c>
      <c r="T760" s="6">
        <v>1769016</v>
      </c>
      <c r="U760" s="6">
        <v>167731</v>
      </c>
      <c r="V760" s="6">
        <v>-14830</v>
      </c>
      <c r="W760" s="6">
        <v>62</v>
      </c>
      <c r="X760" s="6">
        <v>45</v>
      </c>
      <c r="Y760" s="6"/>
      <c r="Z760" s="6"/>
      <c r="AA760" s="6"/>
      <c r="AB760" s="6">
        <v>62</v>
      </c>
      <c r="AC760" s="6">
        <v>2196</v>
      </c>
      <c r="AD760" s="6">
        <v>35</v>
      </c>
      <c r="AE760" s="6">
        <v>20064</v>
      </c>
      <c r="AF760" s="6">
        <v>32630</v>
      </c>
    </row>
    <row r="761" spans="1:32" x14ac:dyDescent="0.35">
      <c r="A761" s="1">
        <v>42872</v>
      </c>
      <c r="B761" s="6">
        <v>4467108</v>
      </c>
      <c r="C761" s="6">
        <v>11037</v>
      </c>
      <c r="D761" s="6">
        <v>5200</v>
      </c>
      <c r="E761" s="6">
        <v>1835</v>
      </c>
      <c r="F761" s="6">
        <v>4404606</v>
      </c>
      <c r="G761" s="6">
        <v>4251580</v>
      </c>
      <c r="H761" s="6">
        <v>2464638</v>
      </c>
      <c r="I761" s="6">
        <v>0</v>
      </c>
      <c r="J761" s="6">
        <v>2339540</v>
      </c>
      <c r="K761" s="6">
        <v>106803</v>
      </c>
      <c r="L761" s="6">
        <v>18295</v>
      </c>
      <c r="M761" s="6">
        <v>11910</v>
      </c>
      <c r="N761" s="6">
        <v>44608</v>
      </c>
      <c r="O761" s="6">
        <v>230777</v>
      </c>
      <c r="P761" s="6">
        <v>1195573</v>
      </c>
      <c r="Q761" s="6">
        <v>349054</v>
      </c>
      <c r="R761" s="6">
        <v>632716</v>
      </c>
      <c r="S761" s="6">
        <v>8834</v>
      </c>
      <c r="T761" s="6">
        <v>1778109</v>
      </c>
      <c r="U761" s="6">
        <v>167838</v>
      </c>
      <c r="V761" s="6">
        <v>-14879</v>
      </c>
      <c r="W761" s="6">
        <v>0</v>
      </c>
      <c r="X761" s="6">
        <v>67</v>
      </c>
      <c r="Y761" s="6"/>
      <c r="Z761" s="6"/>
      <c r="AA761" s="6"/>
      <c r="AB761" s="6">
        <v>59</v>
      </c>
      <c r="AC761" s="6">
        <v>2198</v>
      </c>
      <c r="AD761" s="6">
        <v>36</v>
      </c>
      <c r="AE761" s="6">
        <v>20538</v>
      </c>
      <c r="AF761" s="6">
        <v>19890</v>
      </c>
    </row>
    <row r="762" spans="1:32" x14ac:dyDescent="0.35">
      <c r="A762" s="1">
        <v>42879</v>
      </c>
      <c r="B762" s="6">
        <v>4470852</v>
      </c>
      <c r="C762" s="6">
        <v>11037</v>
      </c>
      <c r="D762" s="6">
        <v>5200</v>
      </c>
      <c r="E762" s="6">
        <v>1820</v>
      </c>
      <c r="F762" s="6">
        <v>4406794</v>
      </c>
      <c r="G762" s="6">
        <v>4253877</v>
      </c>
      <c r="H762" s="6">
        <v>2464660</v>
      </c>
      <c r="I762" s="6">
        <v>0</v>
      </c>
      <c r="J762" s="6">
        <v>2339540</v>
      </c>
      <c r="K762" s="6">
        <v>106803</v>
      </c>
      <c r="L762" s="6">
        <v>18317</v>
      </c>
      <c r="M762" s="6">
        <v>11910</v>
      </c>
      <c r="N762" s="6">
        <v>44608</v>
      </c>
      <c r="O762" s="6">
        <v>230778</v>
      </c>
      <c r="P762" s="6">
        <v>1195577</v>
      </c>
      <c r="Q762" s="6">
        <v>349059</v>
      </c>
      <c r="R762" s="6">
        <v>632730</v>
      </c>
      <c r="S762" s="6">
        <v>8834</v>
      </c>
      <c r="T762" s="6">
        <v>1780383</v>
      </c>
      <c r="U762" s="6">
        <v>167646</v>
      </c>
      <c r="V762" s="6">
        <v>-14849</v>
      </c>
      <c r="W762" s="6">
        <v>62</v>
      </c>
      <c r="X762" s="6">
        <v>57</v>
      </c>
      <c r="Y762" s="6"/>
      <c r="Z762" s="6"/>
      <c r="AA762" s="6"/>
      <c r="AB762" s="6">
        <v>60</v>
      </c>
      <c r="AC762" s="6">
        <v>2199</v>
      </c>
      <c r="AD762" s="6">
        <v>41</v>
      </c>
      <c r="AE762" s="6">
        <v>20541</v>
      </c>
      <c r="AF762" s="6">
        <v>21450</v>
      </c>
    </row>
    <row r="763" spans="1:32" x14ac:dyDescent="0.35">
      <c r="A763" s="1">
        <v>42886</v>
      </c>
      <c r="B763" s="6">
        <v>4459914</v>
      </c>
      <c r="C763" s="6">
        <v>11037</v>
      </c>
      <c r="D763" s="6">
        <v>5200</v>
      </c>
      <c r="E763" s="6">
        <v>1791</v>
      </c>
      <c r="F763" s="6">
        <v>4396780</v>
      </c>
      <c r="G763" s="6">
        <v>4244487</v>
      </c>
      <c r="H763" s="6">
        <v>2464696</v>
      </c>
      <c r="I763" s="6">
        <v>0</v>
      </c>
      <c r="J763" s="6">
        <v>2338216</v>
      </c>
      <c r="K763" s="6">
        <v>108126</v>
      </c>
      <c r="L763" s="6">
        <v>18353</v>
      </c>
      <c r="M763" s="6">
        <v>0</v>
      </c>
      <c r="N763" s="6">
        <v>44608</v>
      </c>
      <c r="O763" s="6">
        <v>259257</v>
      </c>
      <c r="P763" s="6">
        <v>1174320</v>
      </c>
      <c r="Q763" s="6">
        <v>353768</v>
      </c>
      <c r="R763" s="6">
        <v>632743</v>
      </c>
      <c r="S763" s="6">
        <v>8834</v>
      </c>
      <c r="T763" s="6">
        <v>1770958</v>
      </c>
      <c r="U763" s="6">
        <v>167082</v>
      </c>
      <c r="V763" s="6">
        <v>-14856</v>
      </c>
      <c r="W763" s="6">
        <v>0</v>
      </c>
      <c r="X763" s="6">
        <v>67</v>
      </c>
      <c r="Y763" s="6"/>
      <c r="Z763" s="6"/>
      <c r="AA763" s="6"/>
      <c r="AB763" s="6">
        <v>99</v>
      </c>
      <c r="AC763" s="6">
        <v>2209</v>
      </c>
      <c r="AD763" s="6">
        <v>35</v>
      </c>
      <c r="AE763" s="6">
        <v>20717</v>
      </c>
      <c r="AF763" s="6">
        <v>20337</v>
      </c>
    </row>
    <row r="764" spans="1:32" x14ac:dyDescent="0.35">
      <c r="A764" s="1">
        <v>42893</v>
      </c>
      <c r="B764" s="6">
        <v>4462443</v>
      </c>
      <c r="C764" s="6">
        <v>11037</v>
      </c>
      <c r="D764" s="6">
        <v>5200</v>
      </c>
      <c r="E764" s="6">
        <v>1809</v>
      </c>
      <c r="F764" s="6">
        <v>4396638</v>
      </c>
      <c r="G764" s="6">
        <v>4244575</v>
      </c>
      <c r="H764" s="6">
        <v>2464783</v>
      </c>
      <c r="I764" s="6">
        <v>0</v>
      </c>
      <c r="J764" s="6">
        <v>2338216</v>
      </c>
      <c r="K764" s="6">
        <v>108126</v>
      </c>
      <c r="L764" s="6">
        <v>18440</v>
      </c>
      <c r="M764" s="6">
        <v>0</v>
      </c>
      <c r="N764" s="6">
        <v>47806</v>
      </c>
      <c r="O764" s="6">
        <v>256062</v>
      </c>
      <c r="P764" s="6">
        <v>1174333</v>
      </c>
      <c r="Q764" s="6">
        <v>353787</v>
      </c>
      <c r="R764" s="6">
        <v>632794</v>
      </c>
      <c r="S764" s="6">
        <v>8834</v>
      </c>
      <c r="T764" s="6">
        <v>1770958</v>
      </c>
      <c r="U764" s="6">
        <v>166822</v>
      </c>
      <c r="V764" s="6">
        <v>-14827</v>
      </c>
      <c r="W764" s="6">
        <v>0</v>
      </c>
      <c r="X764" s="6">
        <v>69</v>
      </c>
      <c r="Y764" s="6"/>
      <c r="Z764" s="6"/>
      <c r="AA764" s="6"/>
      <c r="AB764" s="6">
        <v>84</v>
      </c>
      <c r="AC764" s="6">
        <v>2195</v>
      </c>
      <c r="AD764" s="6">
        <v>40</v>
      </c>
      <c r="AE764" s="6">
        <v>20794</v>
      </c>
      <c r="AF764" s="6">
        <v>22935</v>
      </c>
    </row>
    <row r="765" spans="1:32" x14ac:dyDescent="0.35">
      <c r="A765" s="1">
        <v>42900</v>
      </c>
      <c r="B765" s="6">
        <v>4476269</v>
      </c>
      <c r="C765" s="6">
        <v>11037</v>
      </c>
      <c r="D765" s="6">
        <v>5200</v>
      </c>
      <c r="E765" s="6">
        <v>1814</v>
      </c>
      <c r="F765" s="6">
        <v>4407830</v>
      </c>
      <c r="G765" s="6">
        <v>4255569</v>
      </c>
      <c r="H765" s="6">
        <v>2464871</v>
      </c>
      <c r="I765" s="6">
        <v>0</v>
      </c>
      <c r="J765" s="6">
        <v>2338216</v>
      </c>
      <c r="K765" s="6">
        <v>108126</v>
      </c>
      <c r="L765" s="6">
        <v>18528</v>
      </c>
      <c r="M765" s="6">
        <v>0</v>
      </c>
      <c r="N765" s="6">
        <v>47807</v>
      </c>
      <c r="O765" s="6">
        <v>256065</v>
      </c>
      <c r="P765" s="6">
        <v>1174347</v>
      </c>
      <c r="Q765" s="6">
        <v>353806</v>
      </c>
      <c r="R765" s="6">
        <v>632846</v>
      </c>
      <c r="S765" s="6">
        <v>8097</v>
      </c>
      <c r="T765" s="6">
        <v>1782601</v>
      </c>
      <c r="U765" s="6">
        <v>166981</v>
      </c>
      <c r="V765" s="6">
        <v>-14798</v>
      </c>
      <c r="W765" s="6">
        <v>0</v>
      </c>
      <c r="X765" s="6">
        <v>77</v>
      </c>
      <c r="Y765" s="6"/>
      <c r="Z765" s="6"/>
      <c r="AA765" s="6"/>
      <c r="AB765" s="6">
        <v>65</v>
      </c>
      <c r="AC765" s="6">
        <v>2197</v>
      </c>
      <c r="AD765" s="6">
        <v>36</v>
      </c>
      <c r="AE765" s="6">
        <v>20869</v>
      </c>
      <c r="AF765" s="6">
        <v>25512</v>
      </c>
    </row>
    <row r="766" spans="1:32" x14ac:dyDescent="0.35">
      <c r="A766" s="1">
        <v>42907</v>
      </c>
      <c r="B766" s="6">
        <v>4474257</v>
      </c>
      <c r="C766" s="6">
        <v>11037</v>
      </c>
      <c r="D766" s="6">
        <v>5200</v>
      </c>
      <c r="E766" s="6">
        <v>1819</v>
      </c>
      <c r="F766" s="6">
        <v>4406160</v>
      </c>
      <c r="G766" s="6">
        <v>4254154</v>
      </c>
      <c r="H766" s="6">
        <v>2464958</v>
      </c>
      <c r="I766" s="6">
        <v>0</v>
      </c>
      <c r="J766" s="6">
        <v>2338216</v>
      </c>
      <c r="K766" s="6">
        <v>108126</v>
      </c>
      <c r="L766" s="6">
        <v>18615</v>
      </c>
      <c r="M766" s="6">
        <v>12885</v>
      </c>
      <c r="N766" s="6">
        <v>34923</v>
      </c>
      <c r="O766" s="6">
        <v>256067</v>
      </c>
      <c r="P766" s="6">
        <v>1174361</v>
      </c>
      <c r="Q766" s="6">
        <v>353826</v>
      </c>
      <c r="R766" s="6">
        <v>632897</v>
      </c>
      <c r="S766" s="6">
        <v>8097</v>
      </c>
      <c r="T766" s="6">
        <v>1781099</v>
      </c>
      <c r="U766" s="6">
        <v>166663</v>
      </c>
      <c r="V766" s="6">
        <v>-14765</v>
      </c>
      <c r="W766" s="6">
        <v>0</v>
      </c>
      <c r="X766" s="6">
        <v>107</v>
      </c>
      <c r="Y766" s="6"/>
      <c r="Z766" s="6"/>
      <c r="AA766" s="6"/>
      <c r="AB766" s="6">
        <v>61</v>
      </c>
      <c r="AC766" s="6">
        <v>2198</v>
      </c>
      <c r="AD766" s="6">
        <v>42</v>
      </c>
      <c r="AE766" s="6">
        <v>20537</v>
      </c>
      <c r="AF766" s="6">
        <v>25495</v>
      </c>
    </row>
    <row r="767" spans="1:32" x14ac:dyDescent="0.35">
      <c r="A767" s="1">
        <v>42914</v>
      </c>
      <c r="B767" s="6">
        <v>4463347</v>
      </c>
      <c r="C767" s="6">
        <v>11037</v>
      </c>
      <c r="D767" s="6">
        <v>5200</v>
      </c>
      <c r="E767" s="6">
        <v>1819</v>
      </c>
      <c r="F767" s="6">
        <v>4394948</v>
      </c>
      <c r="G767" s="6">
        <v>4243422</v>
      </c>
      <c r="H767" s="6">
        <v>2465046</v>
      </c>
      <c r="I767" s="6">
        <v>0</v>
      </c>
      <c r="J767" s="6">
        <v>2338216</v>
      </c>
      <c r="K767" s="6">
        <v>108126</v>
      </c>
      <c r="L767" s="6">
        <v>18703</v>
      </c>
      <c r="M767" s="6">
        <v>12885</v>
      </c>
      <c r="N767" s="6">
        <v>34924</v>
      </c>
      <c r="O767" s="6">
        <v>256069</v>
      </c>
      <c r="P767" s="6">
        <v>1174374</v>
      </c>
      <c r="Q767" s="6">
        <v>353845</v>
      </c>
      <c r="R767" s="6">
        <v>632949</v>
      </c>
      <c r="S767" s="6">
        <v>8097</v>
      </c>
      <c r="T767" s="6">
        <v>1770280</v>
      </c>
      <c r="U767" s="6">
        <v>166068</v>
      </c>
      <c r="V767" s="6">
        <v>-14733</v>
      </c>
      <c r="W767" s="6">
        <v>0</v>
      </c>
      <c r="X767" s="6">
        <v>192</v>
      </c>
      <c r="Y767" s="6"/>
      <c r="Z767" s="6"/>
      <c r="AA767" s="6"/>
      <c r="AB767" s="6">
        <v>93</v>
      </c>
      <c r="AC767" s="6">
        <v>2197</v>
      </c>
      <c r="AD767" s="6">
        <v>35</v>
      </c>
      <c r="AE767" s="6">
        <v>20734</v>
      </c>
      <c r="AF767" s="6">
        <v>25576</v>
      </c>
    </row>
    <row r="768" spans="1:32" x14ac:dyDescent="0.35">
      <c r="A768" s="1">
        <v>42921</v>
      </c>
      <c r="B768" s="6">
        <v>4467272</v>
      </c>
      <c r="C768" s="6">
        <v>11037</v>
      </c>
      <c r="D768" s="6">
        <v>5200</v>
      </c>
      <c r="E768" s="6">
        <v>1796</v>
      </c>
      <c r="F768" s="6">
        <v>4394652</v>
      </c>
      <c r="G768" s="6">
        <v>4243474</v>
      </c>
      <c r="H768" s="6">
        <v>2465096</v>
      </c>
      <c r="I768" s="6">
        <v>0</v>
      </c>
      <c r="J768" s="6">
        <v>2337609</v>
      </c>
      <c r="K768" s="6">
        <v>108734</v>
      </c>
      <c r="L768" s="6">
        <v>18753</v>
      </c>
      <c r="M768" s="6">
        <v>1278</v>
      </c>
      <c r="N768" s="6">
        <v>44593</v>
      </c>
      <c r="O768" s="6">
        <v>275577</v>
      </c>
      <c r="P768" s="6">
        <v>1152801</v>
      </c>
      <c r="Q768" s="6">
        <v>357258</v>
      </c>
      <c r="R768" s="6">
        <v>633589</v>
      </c>
      <c r="S768" s="6">
        <v>8097</v>
      </c>
      <c r="T768" s="6">
        <v>1770281</v>
      </c>
      <c r="U768" s="6">
        <v>165787</v>
      </c>
      <c r="V768" s="6">
        <v>-14738</v>
      </c>
      <c r="W768" s="6">
        <v>0</v>
      </c>
      <c r="X768" s="6">
        <v>130</v>
      </c>
      <c r="Y768" s="6"/>
      <c r="Z768" s="6"/>
      <c r="AA768" s="6"/>
      <c r="AB768" s="6">
        <v>116</v>
      </c>
      <c r="AC768" s="6">
        <v>2197</v>
      </c>
      <c r="AD768" s="6">
        <v>3070</v>
      </c>
      <c r="AE768" s="6">
        <v>20628</v>
      </c>
      <c r="AF768" s="6">
        <v>26866</v>
      </c>
    </row>
    <row r="769" spans="1:32" x14ac:dyDescent="0.35">
      <c r="A769" s="1">
        <v>42928</v>
      </c>
      <c r="B769" s="6">
        <v>4466702</v>
      </c>
      <c r="C769" s="6">
        <v>11037</v>
      </c>
      <c r="D769" s="6">
        <v>5200</v>
      </c>
      <c r="E769" s="6">
        <v>1805</v>
      </c>
      <c r="F769" s="6">
        <v>4394485</v>
      </c>
      <c r="G769" s="6">
        <v>4243498</v>
      </c>
      <c r="H769" s="6">
        <v>2465121</v>
      </c>
      <c r="I769" s="6">
        <v>0</v>
      </c>
      <c r="J769" s="6">
        <v>2337609</v>
      </c>
      <c r="K769" s="6">
        <v>108734</v>
      </c>
      <c r="L769" s="6">
        <v>18778</v>
      </c>
      <c r="M769" s="6">
        <v>1278</v>
      </c>
      <c r="N769" s="6">
        <v>44593</v>
      </c>
      <c r="O769" s="6">
        <v>275578</v>
      </c>
      <c r="P769" s="6">
        <v>1152805</v>
      </c>
      <c r="Q769" s="6">
        <v>357263</v>
      </c>
      <c r="R769" s="6">
        <v>633604</v>
      </c>
      <c r="S769" s="6">
        <v>8097</v>
      </c>
      <c r="T769" s="6">
        <v>1770281</v>
      </c>
      <c r="U769" s="6">
        <v>165544</v>
      </c>
      <c r="V769" s="6">
        <v>-14709</v>
      </c>
      <c r="W769" s="6">
        <v>0</v>
      </c>
      <c r="X769" s="6">
        <v>151</v>
      </c>
      <c r="Y769" s="6"/>
      <c r="Z769" s="6"/>
      <c r="AA769" s="6"/>
      <c r="AB769" s="6">
        <v>62</v>
      </c>
      <c r="AC769" s="6">
        <v>2196</v>
      </c>
      <c r="AD769" s="6">
        <v>55</v>
      </c>
      <c r="AE769" s="6">
        <v>20710</v>
      </c>
      <c r="AF769" s="6">
        <v>29444</v>
      </c>
    </row>
    <row r="770" spans="1:32" x14ac:dyDescent="0.35">
      <c r="A770" s="1">
        <v>42935</v>
      </c>
      <c r="B770" s="6">
        <v>4476903</v>
      </c>
      <c r="C770" s="6">
        <v>11037</v>
      </c>
      <c r="D770" s="6">
        <v>5200</v>
      </c>
      <c r="E770" s="6">
        <v>1821</v>
      </c>
      <c r="F770" s="6">
        <v>4403819</v>
      </c>
      <c r="G770" s="6">
        <v>4252637</v>
      </c>
      <c r="H770" s="6">
        <v>2465145</v>
      </c>
      <c r="I770" s="6">
        <v>0</v>
      </c>
      <c r="J770" s="6">
        <v>2338887</v>
      </c>
      <c r="K770" s="6">
        <v>107651</v>
      </c>
      <c r="L770" s="6">
        <v>18607</v>
      </c>
      <c r="M770" s="6">
        <v>11794</v>
      </c>
      <c r="N770" s="6">
        <v>32799</v>
      </c>
      <c r="O770" s="6">
        <v>276684</v>
      </c>
      <c r="P770" s="6">
        <v>1152629</v>
      </c>
      <c r="Q770" s="6">
        <v>357347</v>
      </c>
      <c r="R770" s="6">
        <v>633892</v>
      </c>
      <c r="S770" s="6">
        <v>8097</v>
      </c>
      <c r="T770" s="6">
        <v>1779394</v>
      </c>
      <c r="U770" s="6">
        <v>165633</v>
      </c>
      <c r="V770" s="6">
        <v>-14669</v>
      </c>
      <c r="W770" s="6">
        <v>0</v>
      </c>
      <c r="X770" s="6">
        <v>218</v>
      </c>
      <c r="Y770" s="6"/>
      <c r="Z770" s="6"/>
      <c r="AA770" s="6"/>
      <c r="AB770" s="6">
        <v>68</v>
      </c>
      <c r="AC770" s="6">
        <v>2197</v>
      </c>
      <c r="AD770" s="6">
        <v>41</v>
      </c>
      <c r="AE770" s="6">
        <v>20931</v>
      </c>
      <c r="AF770" s="6">
        <v>30079</v>
      </c>
    </row>
    <row r="771" spans="1:32" x14ac:dyDescent="0.35">
      <c r="A771" s="1">
        <v>42942</v>
      </c>
      <c r="B771" s="6">
        <v>4465284</v>
      </c>
      <c r="C771" s="6">
        <v>11037</v>
      </c>
      <c r="D771" s="6">
        <v>5200</v>
      </c>
      <c r="E771" s="6">
        <v>1833</v>
      </c>
      <c r="F771" s="6">
        <v>4392851</v>
      </c>
      <c r="G771" s="6">
        <v>4242265</v>
      </c>
      <c r="H771" s="6">
        <v>2465170</v>
      </c>
      <c r="I771" s="6">
        <v>0</v>
      </c>
      <c r="J771" s="6">
        <v>2338887</v>
      </c>
      <c r="K771" s="6">
        <v>107651</v>
      </c>
      <c r="L771" s="6">
        <v>18631</v>
      </c>
      <c r="M771" s="6">
        <v>11794</v>
      </c>
      <c r="N771" s="6">
        <v>32799</v>
      </c>
      <c r="O771" s="6">
        <v>276684</v>
      </c>
      <c r="P771" s="6">
        <v>1152633</v>
      </c>
      <c r="Q771" s="6">
        <v>357353</v>
      </c>
      <c r="R771" s="6">
        <v>633907</v>
      </c>
      <c r="S771" s="6">
        <v>8097</v>
      </c>
      <c r="T771" s="6">
        <v>1768999</v>
      </c>
      <c r="U771" s="6">
        <v>165024</v>
      </c>
      <c r="V771" s="6">
        <v>-14636</v>
      </c>
      <c r="W771" s="6">
        <v>0</v>
      </c>
      <c r="X771" s="6">
        <v>197</v>
      </c>
      <c r="Y771" s="6"/>
      <c r="Z771" s="6"/>
      <c r="AA771" s="6"/>
      <c r="AB771" s="6">
        <v>56</v>
      </c>
      <c r="AC771" s="6">
        <v>2198</v>
      </c>
      <c r="AD771" s="6">
        <v>85</v>
      </c>
      <c r="AE771" s="6">
        <v>21031</v>
      </c>
      <c r="AF771" s="6">
        <v>29283</v>
      </c>
    </row>
    <row r="772" spans="1:32" x14ac:dyDescent="0.35">
      <c r="A772" s="1">
        <v>42949</v>
      </c>
      <c r="B772" s="6">
        <v>4466846</v>
      </c>
      <c r="C772" s="6">
        <v>11037</v>
      </c>
      <c r="D772" s="6">
        <v>5200</v>
      </c>
      <c r="E772" s="6">
        <v>1839</v>
      </c>
      <c r="F772" s="6">
        <v>4392640</v>
      </c>
      <c r="G772" s="6">
        <v>4242317</v>
      </c>
      <c r="H772" s="6">
        <v>2465195</v>
      </c>
      <c r="I772" s="6">
        <v>0</v>
      </c>
      <c r="J772" s="6">
        <v>2337565</v>
      </c>
      <c r="K772" s="6">
        <v>108973</v>
      </c>
      <c r="L772" s="6">
        <v>18657</v>
      </c>
      <c r="M772" s="6">
        <v>18655</v>
      </c>
      <c r="N772" s="6">
        <v>22845</v>
      </c>
      <c r="O772" s="6">
        <v>298286</v>
      </c>
      <c r="P772" s="6">
        <v>1129960</v>
      </c>
      <c r="Q772" s="6">
        <v>361528</v>
      </c>
      <c r="R772" s="6">
        <v>633921</v>
      </c>
      <c r="S772" s="6">
        <v>8097</v>
      </c>
      <c r="T772" s="6">
        <v>1769026</v>
      </c>
      <c r="U772" s="6">
        <v>164745</v>
      </c>
      <c r="V772" s="6">
        <v>-14622</v>
      </c>
      <c r="W772" s="6">
        <v>0</v>
      </c>
      <c r="X772" s="6">
        <v>200</v>
      </c>
      <c r="Y772" s="6"/>
      <c r="Z772" s="6"/>
      <c r="AA772" s="6"/>
      <c r="AB772" s="6">
        <v>74</v>
      </c>
      <c r="AC772" s="6">
        <v>2192</v>
      </c>
      <c r="AD772" s="6">
        <v>35</v>
      </c>
      <c r="AE772" s="6">
        <v>21486</v>
      </c>
      <c r="AF772" s="6">
        <v>30633</v>
      </c>
    </row>
    <row r="773" spans="1:32" x14ac:dyDescent="0.35">
      <c r="A773" s="1">
        <v>42956</v>
      </c>
      <c r="B773" s="6">
        <v>4469083</v>
      </c>
      <c r="C773" s="6">
        <v>11037</v>
      </c>
      <c r="D773" s="6">
        <v>5200</v>
      </c>
      <c r="E773" s="6">
        <v>1851</v>
      </c>
      <c r="F773" s="6">
        <v>4392465</v>
      </c>
      <c r="G773" s="6">
        <v>4242347</v>
      </c>
      <c r="H773" s="6">
        <v>2465221</v>
      </c>
      <c r="I773" s="6">
        <v>0</v>
      </c>
      <c r="J773" s="6">
        <v>2337565</v>
      </c>
      <c r="K773" s="6">
        <v>108973</v>
      </c>
      <c r="L773" s="6">
        <v>18683</v>
      </c>
      <c r="M773" s="6">
        <v>18655</v>
      </c>
      <c r="N773" s="6">
        <v>22845</v>
      </c>
      <c r="O773" s="6">
        <v>298287</v>
      </c>
      <c r="P773" s="6">
        <v>1129964</v>
      </c>
      <c r="Q773" s="6">
        <v>361534</v>
      </c>
      <c r="R773" s="6">
        <v>633937</v>
      </c>
      <c r="S773" s="6">
        <v>8097</v>
      </c>
      <c r="T773" s="6">
        <v>1769029</v>
      </c>
      <c r="U773" s="6">
        <v>164503</v>
      </c>
      <c r="V773" s="6">
        <v>-14593</v>
      </c>
      <c r="W773" s="6">
        <v>0</v>
      </c>
      <c r="X773" s="6">
        <v>208</v>
      </c>
      <c r="Y773" s="6"/>
      <c r="Z773" s="6"/>
      <c r="AA773" s="6"/>
      <c r="AB773" s="6">
        <v>65</v>
      </c>
      <c r="AC773" s="6">
        <v>2196</v>
      </c>
      <c r="AD773" s="6">
        <v>36</v>
      </c>
      <c r="AE773" s="6">
        <v>21311</v>
      </c>
      <c r="AF773" s="6">
        <v>33212</v>
      </c>
    </row>
    <row r="774" spans="1:32" x14ac:dyDescent="0.35">
      <c r="A774" s="1">
        <v>42963</v>
      </c>
      <c r="B774" s="6">
        <v>4462871</v>
      </c>
      <c r="C774" s="6">
        <v>11037</v>
      </c>
      <c r="D774" s="6">
        <v>5200</v>
      </c>
      <c r="E774" s="6">
        <v>1847</v>
      </c>
      <c r="F774" s="6">
        <v>4401371</v>
      </c>
      <c r="G774" s="6">
        <v>4251319</v>
      </c>
      <c r="H774" s="6">
        <v>2465247</v>
      </c>
      <c r="I774" s="6">
        <v>0</v>
      </c>
      <c r="J774" s="6">
        <v>2337565</v>
      </c>
      <c r="K774" s="6">
        <v>108973</v>
      </c>
      <c r="L774" s="6">
        <v>18709</v>
      </c>
      <c r="M774" s="6">
        <v>3197</v>
      </c>
      <c r="N774" s="6">
        <v>19648</v>
      </c>
      <c r="O774" s="6">
        <v>321357</v>
      </c>
      <c r="P774" s="6">
        <v>1163475</v>
      </c>
      <c r="Q774" s="6">
        <v>312184</v>
      </c>
      <c r="R774" s="6">
        <v>645386</v>
      </c>
      <c r="S774" s="6">
        <v>8097</v>
      </c>
      <c r="T774" s="6">
        <v>1777975</v>
      </c>
      <c r="U774" s="6">
        <v>164467</v>
      </c>
      <c r="V774" s="6">
        <v>-14628</v>
      </c>
      <c r="W774" s="6">
        <v>0</v>
      </c>
      <c r="X774" s="6">
        <v>213</v>
      </c>
      <c r="Y774" s="6"/>
      <c r="Z774" s="6"/>
      <c r="AA774" s="6"/>
      <c r="AB774" s="6">
        <v>73</v>
      </c>
      <c r="AC774" s="6">
        <v>2196</v>
      </c>
      <c r="AD774" s="6">
        <v>36</v>
      </c>
      <c r="AE774" s="6">
        <v>21204</v>
      </c>
      <c r="AF774" s="6">
        <v>18198</v>
      </c>
    </row>
    <row r="775" spans="1:32" x14ac:dyDescent="0.35">
      <c r="A775" s="1">
        <v>42970</v>
      </c>
      <c r="B775" s="6">
        <v>4463837</v>
      </c>
      <c r="C775" s="6">
        <v>11037</v>
      </c>
      <c r="D775" s="6">
        <v>5200</v>
      </c>
      <c r="E775" s="6">
        <v>1872</v>
      </c>
      <c r="F775" s="6">
        <v>4400521</v>
      </c>
      <c r="G775" s="6">
        <v>4250730</v>
      </c>
      <c r="H775" s="6">
        <v>2465273</v>
      </c>
      <c r="I775" s="6">
        <v>0</v>
      </c>
      <c r="J775" s="6">
        <v>2337565</v>
      </c>
      <c r="K775" s="6">
        <v>108973</v>
      </c>
      <c r="L775" s="6">
        <v>18735</v>
      </c>
      <c r="M775" s="6">
        <v>3197</v>
      </c>
      <c r="N775" s="6">
        <v>30691</v>
      </c>
      <c r="O775" s="6">
        <v>310315</v>
      </c>
      <c r="P775" s="6">
        <v>1163479</v>
      </c>
      <c r="Q775" s="6">
        <v>324394</v>
      </c>
      <c r="R775" s="6">
        <v>633197</v>
      </c>
      <c r="S775" s="6">
        <v>6757</v>
      </c>
      <c r="T775" s="6">
        <v>1778699</v>
      </c>
      <c r="U775" s="6">
        <v>164153</v>
      </c>
      <c r="V775" s="6">
        <v>-14598</v>
      </c>
      <c r="W775" s="6">
        <v>0</v>
      </c>
      <c r="X775" s="6">
        <v>236</v>
      </c>
      <c r="Y775" s="6"/>
      <c r="Z775" s="6"/>
      <c r="AA775" s="6"/>
      <c r="AB775" s="6">
        <v>53</v>
      </c>
      <c r="AC775" s="6">
        <v>2199</v>
      </c>
      <c r="AD775" s="6">
        <v>36</v>
      </c>
      <c r="AE775" s="6">
        <v>21440</v>
      </c>
      <c r="AF775" s="6">
        <v>19770</v>
      </c>
    </row>
    <row r="776" spans="1:32" x14ac:dyDescent="0.35">
      <c r="A776" s="1">
        <v>42977</v>
      </c>
      <c r="B776" s="6">
        <v>4452360</v>
      </c>
      <c r="C776" s="6">
        <v>11037</v>
      </c>
      <c r="D776" s="6">
        <v>5200</v>
      </c>
      <c r="E776" s="6">
        <v>1858</v>
      </c>
      <c r="F776" s="6">
        <v>4388809</v>
      </c>
      <c r="G776" s="6">
        <v>4239610</v>
      </c>
      <c r="H776" s="6">
        <v>2465300</v>
      </c>
      <c r="I776" s="6">
        <v>0</v>
      </c>
      <c r="J776" s="6">
        <v>2337565</v>
      </c>
      <c r="K776" s="6">
        <v>108973</v>
      </c>
      <c r="L776" s="6">
        <v>18761</v>
      </c>
      <c r="M776" s="6">
        <v>3197</v>
      </c>
      <c r="N776" s="6">
        <v>30691</v>
      </c>
      <c r="O776" s="6">
        <v>310316</v>
      </c>
      <c r="P776" s="6">
        <v>1163518</v>
      </c>
      <c r="Q776" s="6">
        <v>324365</v>
      </c>
      <c r="R776" s="6">
        <v>633213</v>
      </c>
      <c r="S776" s="6">
        <v>6757</v>
      </c>
      <c r="T776" s="6">
        <v>1767553</v>
      </c>
      <c r="U776" s="6">
        <v>163542</v>
      </c>
      <c r="V776" s="6">
        <v>-14566</v>
      </c>
      <c r="W776" s="6">
        <v>0</v>
      </c>
      <c r="X776" s="6">
        <v>223</v>
      </c>
      <c r="Y776" s="6"/>
      <c r="Z776" s="6"/>
      <c r="AA776" s="6"/>
      <c r="AB776" s="6">
        <v>56</v>
      </c>
      <c r="AC776" s="6">
        <v>2204</v>
      </c>
      <c r="AD776" s="6">
        <v>36</v>
      </c>
      <c r="AE776" s="6">
        <v>21494</v>
      </c>
      <c r="AF776" s="6">
        <v>19959</v>
      </c>
    </row>
    <row r="777" spans="1:32" x14ac:dyDescent="0.35">
      <c r="A777" s="1">
        <v>42984</v>
      </c>
      <c r="B777" s="6">
        <v>4453474</v>
      </c>
      <c r="C777" s="6">
        <v>11037</v>
      </c>
      <c r="D777" s="6">
        <v>5200</v>
      </c>
      <c r="E777" s="6">
        <v>1834</v>
      </c>
      <c r="F777" s="6">
        <v>4388524</v>
      </c>
      <c r="G777" s="6">
        <v>4239599</v>
      </c>
      <c r="H777" s="6">
        <v>2465289</v>
      </c>
      <c r="I777" s="6">
        <v>0</v>
      </c>
      <c r="J777" s="6">
        <v>2337126</v>
      </c>
      <c r="K777" s="6">
        <v>109412</v>
      </c>
      <c r="L777" s="6">
        <v>18751</v>
      </c>
      <c r="M777" s="6">
        <v>0</v>
      </c>
      <c r="N777" s="6">
        <v>38559</v>
      </c>
      <c r="O777" s="6">
        <v>323379</v>
      </c>
      <c r="P777" s="6">
        <v>1144907</v>
      </c>
      <c r="Q777" s="6">
        <v>325239</v>
      </c>
      <c r="R777" s="6">
        <v>633205</v>
      </c>
      <c r="S777" s="6">
        <v>6757</v>
      </c>
      <c r="T777" s="6">
        <v>1767553</v>
      </c>
      <c r="U777" s="6">
        <v>163260</v>
      </c>
      <c r="V777" s="6">
        <v>-14547</v>
      </c>
      <c r="W777" s="6">
        <v>0</v>
      </c>
      <c r="X777" s="6">
        <v>212</v>
      </c>
      <c r="Y777" s="6"/>
      <c r="Z777" s="6"/>
      <c r="AA777" s="6"/>
      <c r="AB777" s="6">
        <v>96</v>
      </c>
      <c r="AC777" s="6">
        <v>2197</v>
      </c>
      <c r="AD777" s="6">
        <v>35</v>
      </c>
      <c r="AE777" s="6">
        <v>21623</v>
      </c>
      <c r="AF777" s="6">
        <v>21220</v>
      </c>
    </row>
    <row r="778" spans="1:32" x14ac:dyDescent="0.35">
      <c r="A778" s="1">
        <v>42991</v>
      </c>
      <c r="B778" s="6">
        <v>4471174</v>
      </c>
      <c r="C778" s="6">
        <v>11037</v>
      </c>
      <c r="D778" s="6">
        <v>5200</v>
      </c>
      <c r="E778" s="6">
        <v>1829</v>
      </c>
      <c r="F778" s="6">
        <v>4403838</v>
      </c>
      <c r="G778" s="6">
        <v>4254571</v>
      </c>
      <c r="H778" s="6">
        <v>2465468</v>
      </c>
      <c r="I778" s="6">
        <v>0</v>
      </c>
      <c r="J778" s="6">
        <v>2337326</v>
      </c>
      <c r="K778" s="6">
        <v>109412</v>
      </c>
      <c r="L778" s="6">
        <v>18730</v>
      </c>
      <c r="M778" s="6">
        <v>0</v>
      </c>
      <c r="N778" s="6">
        <v>38559</v>
      </c>
      <c r="O778" s="6">
        <v>323378</v>
      </c>
      <c r="P778" s="6">
        <v>1144904</v>
      </c>
      <c r="Q778" s="6">
        <v>325435</v>
      </c>
      <c r="R778" s="6">
        <v>633193</v>
      </c>
      <c r="S778" s="6">
        <v>6757</v>
      </c>
      <c r="T778" s="6">
        <v>1782346</v>
      </c>
      <c r="U778" s="6">
        <v>163562</v>
      </c>
      <c r="V778" s="6">
        <v>-14515</v>
      </c>
      <c r="W778" s="6">
        <v>0</v>
      </c>
      <c r="X778" s="6">
        <v>220</v>
      </c>
      <c r="Y778" s="6"/>
      <c r="Z778" s="6"/>
      <c r="AA778" s="6"/>
      <c r="AB778" s="6">
        <v>82</v>
      </c>
      <c r="AC778" s="6">
        <v>2197</v>
      </c>
      <c r="AD778" s="6">
        <v>87</v>
      </c>
      <c r="AE778" s="6">
        <v>21431</v>
      </c>
      <c r="AF778" s="6">
        <v>23765</v>
      </c>
    </row>
    <row r="779" spans="1:32" x14ac:dyDescent="0.35">
      <c r="A779" s="1">
        <v>42998</v>
      </c>
      <c r="B779" s="6">
        <v>4458576</v>
      </c>
      <c r="C779" s="6">
        <v>11037</v>
      </c>
      <c r="D779" s="6">
        <v>5200</v>
      </c>
      <c r="E779" s="6">
        <v>1835</v>
      </c>
      <c r="F779" s="6">
        <v>4391303</v>
      </c>
      <c r="G779" s="6">
        <v>4242728</v>
      </c>
      <c r="H779" s="6">
        <v>2465448</v>
      </c>
      <c r="I779" s="6">
        <v>0</v>
      </c>
      <c r="J779" s="6">
        <v>2337326</v>
      </c>
      <c r="K779" s="6">
        <v>109412</v>
      </c>
      <c r="L779" s="6">
        <v>18709</v>
      </c>
      <c r="M779" s="6">
        <v>10947</v>
      </c>
      <c r="N779" s="6">
        <v>27613</v>
      </c>
      <c r="O779" s="6">
        <v>323377</v>
      </c>
      <c r="P779" s="6">
        <v>1144900</v>
      </c>
      <c r="Q779" s="6">
        <v>325430</v>
      </c>
      <c r="R779" s="6">
        <v>633180</v>
      </c>
      <c r="S779" s="6">
        <v>6757</v>
      </c>
      <c r="T779" s="6">
        <v>1770524</v>
      </c>
      <c r="U779" s="6">
        <v>162828</v>
      </c>
      <c r="V779" s="6">
        <v>-14481</v>
      </c>
      <c r="W779" s="6">
        <v>0</v>
      </c>
      <c r="X779" s="6">
        <v>228</v>
      </c>
      <c r="Y779" s="6"/>
      <c r="Z779" s="6"/>
      <c r="AA779" s="6"/>
      <c r="AB779" s="6">
        <v>78</v>
      </c>
      <c r="AC779" s="6">
        <v>2197</v>
      </c>
      <c r="AD779" s="6">
        <v>37</v>
      </c>
      <c r="AE779" s="6">
        <v>21471</v>
      </c>
      <c r="AF779" s="6">
        <v>23712</v>
      </c>
    </row>
    <row r="780" spans="1:32" x14ac:dyDescent="0.35">
      <c r="A780" s="1">
        <v>43005</v>
      </c>
      <c r="B780" s="6">
        <v>4455661</v>
      </c>
      <c r="C780" s="6">
        <v>11037</v>
      </c>
      <c r="D780" s="6">
        <v>5200</v>
      </c>
      <c r="E780" s="6">
        <v>1849</v>
      </c>
      <c r="F780" s="6">
        <v>4388682</v>
      </c>
      <c r="G780" s="6">
        <v>4240344</v>
      </c>
      <c r="H780" s="6">
        <v>2465427</v>
      </c>
      <c r="I780" s="6">
        <v>0</v>
      </c>
      <c r="J780" s="6">
        <v>2337326</v>
      </c>
      <c r="K780" s="6">
        <v>109412</v>
      </c>
      <c r="L780" s="6">
        <v>18689</v>
      </c>
      <c r="M780" s="6">
        <v>10947</v>
      </c>
      <c r="N780" s="6">
        <v>27613</v>
      </c>
      <c r="O780" s="6">
        <v>323377</v>
      </c>
      <c r="P780" s="6">
        <v>1144897</v>
      </c>
      <c r="Q780" s="6">
        <v>325425</v>
      </c>
      <c r="R780" s="6">
        <v>633168</v>
      </c>
      <c r="S780" s="6">
        <v>6757</v>
      </c>
      <c r="T780" s="6">
        <v>1768160</v>
      </c>
      <c r="U780" s="6">
        <v>162553</v>
      </c>
      <c r="V780" s="6">
        <v>-14448</v>
      </c>
      <c r="W780" s="6">
        <v>0</v>
      </c>
      <c r="X780" s="6">
        <v>233</v>
      </c>
      <c r="Y780" s="6"/>
      <c r="Z780" s="6"/>
      <c r="AA780" s="6"/>
      <c r="AB780" s="6">
        <v>62</v>
      </c>
      <c r="AC780" s="6">
        <v>2197</v>
      </c>
      <c r="AD780" s="6">
        <v>37</v>
      </c>
      <c r="AE780" s="6">
        <v>21103</v>
      </c>
      <c r="AF780" s="6">
        <v>23787</v>
      </c>
    </row>
    <row r="781" spans="1:32" x14ac:dyDescent="0.35">
      <c r="A781" s="1">
        <v>43012</v>
      </c>
      <c r="B781" s="6">
        <v>4460422</v>
      </c>
      <c r="C781" s="6">
        <v>11037</v>
      </c>
      <c r="D781" s="6">
        <v>5200</v>
      </c>
      <c r="E781" s="6">
        <v>1860</v>
      </c>
      <c r="F781" s="6">
        <v>4388407</v>
      </c>
      <c r="G781" s="6">
        <v>4240384</v>
      </c>
      <c r="H781" s="6">
        <v>2465467</v>
      </c>
      <c r="I781" s="6">
        <v>0</v>
      </c>
      <c r="J781" s="6">
        <v>2337326</v>
      </c>
      <c r="K781" s="6">
        <v>109412</v>
      </c>
      <c r="L781" s="6">
        <v>18729</v>
      </c>
      <c r="M781" s="6">
        <v>0</v>
      </c>
      <c r="N781" s="6">
        <v>45116</v>
      </c>
      <c r="O781" s="6">
        <v>324881</v>
      </c>
      <c r="P781" s="6">
        <v>1133395</v>
      </c>
      <c r="Q781" s="6">
        <v>328882</v>
      </c>
      <c r="R781" s="6">
        <v>633192</v>
      </c>
      <c r="S781" s="6">
        <v>6757</v>
      </c>
      <c r="T781" s="6">
        <v>1768160</v>
      </c>
      <c r="U781" s="6">
        <v>162278</v>
      </c>
      <c r="V781" s="6">
        <v>-14432</v>
      </c>
      <c r="W781" s="6">
        <v>0</v>
      </c>
      <c r="X781" s="6">
        <v>177</v>
      </c>
      <c r="Y781" s="6"/>
      <c r="Z781" s="6"/>
      <c r="AA781" s="6"/>
      <c r="AB781" s="6">
        <v>62</v>
      </c>
      <c r="AC781" s="6">
        <v>2196</v>
      </c>
      <c r="AD781" s="6">
        <v>3620</v>
      </c>
      <c r="AE781" s="6">
        <v>21111</v>
      </c>
      <c r="AF781" s="6">
        <v>25223</v>
      </c>
    </row>
    <row r="782" spans="1:32" x14ac:dyDescent="0.35">
      <c r="A782" s="1">
        <v>43019</v>
      </c>
      <c r="B782" s="6">
        <v>4459415</v>
      </c>
      <c r="C782" s="6">
        <v>11037</v>
      </c>
      <c r="D782" s="6">
        <v>5200</v>
      </c>
      <c r="E782" s="6">
        <v>1855</v>
      </c>
      <c r="F782" s="6">
        <v>4388272</v>
      </c>
      <c r="G782" s="6">
        <v>4240471</v>
      </c>
      <c r="H782" s="6">
        <v>2465554</v>
      </c>
      <c r="I782" s="6">
        <v>0</v>
      </c>
      <c r="J782" s="6">
        <v>2337326</v>
      </c>
      <c r="K782" s="6">
        <v>109412</v>
      </c>
      <c r="L782" s="6">
        <v>18816</v>
      </c>
      <c r="M782" s="6">
        <v>0</v>
      </c>
      <c r="N782" s="6">
        <v>45116</v>
      </c>
      <c r="O782" s="6">
        <v>324884</v>
      </c>
      <c r="P782" s="6">
        <v>1133408</v>
      </c>
      <c r="Q782" s="6">
        <v>328902</v>
      </c>
      <c r="R782" s="6">
        <v>633243</v>
      </c>
      <c r="S782" s="6">
        <v>6757</v>
      </c>
      <c r="T782" s="6">
        <v>1768160</v>
      </c>
      <c r="U782" s="6">
        <v>162046</v>
      </c>
      <c r="V782" s="6">
        <v>-14403</v>
      </c>
      <c r="W782" s="6">
        <v>0</v>
      </c>
      <c r="X782" s="6">
        <v>158</v>
      </c>
      <c r="Y782" s="6"/>
      <c r="Z782" s="6"/>
      <c r="AA782" s="6"/>
      <c r="AB782" s="6">
        <v>93</v>
      </c>
      <c r="AC782" s="6">
        <v>2198</v>
      </c>
      <c r="AD782" s="6">
        <v>36</v>
      </c>
      <c r="AE782" s="6">
        <v>21243</v>
      </c>
      <c r="AF782" s="6">
        <v>27776</v>
      </c>
    </row>
    <row r="783" spans="1:32" x14ac:dyDescent="0.35">
      <c r="A783" s="1">
        <v>43026</v>
      </c>
      <c r="B783" s="6">
        <v>4469723</v>
      </c>
      <c r="C783" s="6">
        <v>11037</v>
      </c>
      <c r="D783" s="6">
        <v>5200</v>
      </c>
      <c r="E783" s="6">
        <v>1846</v>
      </c>
      <c r="F783" s="6">
        <v>4398182</v>
      </c>
      <c r="G783" s="6">
        <v>4250343</v>
      </c>
      <c r="H783" s="6">
        <v>2465641</v>
      </c>
      <c r="I783" s="6">
        <v>0</v>
      </c>
      <c r="J783" s="6">
        <v>2337326</v>
      </c>
      <c r="K783" s="6">
        <v>109412</v>
      </c>
      <c r="L783" s="6">
        <v>18903</v>
      </c>
      <c r="M783" s="6">
        <v>8701</v>
      </c>
      <c r="N783" s="6">
        <v>39494</v>
      </c>
      <c r="O783" s="6">
        <v>321808</v>
      </c>
      <c r="P783" s="6">
        <v>1133422</v>
      </c>
      <c r="Q783" s="6">
        <v>328922</v>
      </c>
      <c r="R783" s="6">
        <v>633294</v>
      </c>
      <c r="S783" s="6">
        <v>6757</v>
      </c>
      <c r="T783" s="6">
        <v>1777945</v>
      </c>
      <c r="U783" s="6">
        <v>162045</v>
      </c>
      <c r="V783" s="6">
        <v>-14365</v>
      </c>
      <c r="W783" s="6">
        <v>0</v>
      </c>
      <c r="X783" s="6">
        <v>160</v>
      </c>
      <c r="Y783" s="6"/>
      <c r="Z783" s="6"/>
      <c r="AA783" s="6"/>
      <c r="AB783" s="6">
        <v>57</v>
      </c>
      <c r="AC783" s="6">
        <v>2197</v>
      </c>
      <c r="AD783" s="6">
        <v>35</v>
      </c>
      <c r="AE783" s="6">
        <v>21119</v>
      </c>
      <c r="AF783" s="6">
        <v>28345</v>
      </c>
    </row>
    <row r="784" spans="1:32" x14ac:dyDescent="0.35">
      <c r="A784" s="1">
        <v>43033</v>
      </c>
      <c r="B784" s="6">
        <v>4461117</v>
      </c>
      <c r="C784" s="6">
        <v>11037</v>
      </c>
      <c r="D784" s="6">
        <v>5200</v>
      </c>
      <c r="E784" s="6">
        <v>1839</v>
      </c>
      <c r="F784" s="6">
        <v>4390404</v>
      </c>
      <c r="G784" s="6">
        <v>4243048</v>
      </c>
      <c r="H784" s="6">
        <v>2465727</v>
      </c>
      <c r="I784" s="6">
        <v>0</v>
      </c>
      <c r="J784" s="6">
        <v>2337326</v>
      </c>
      <c r="K784" s="6">
        <v>109412</v>
      </c>
      <c r="L784" s="6">
        <v>18989</v>
      </c>
      <c r="M784" s="6">
        <v>8701</v>
      </c>
      <c r="N784" s="6">
        <v>39496</v>
      </c>
      <c r="O784" s="6">
        <v>321809</v>
      </c>
      <c r="P784" s="6">
        <v>1133435</v>
      </c>
      <c r="Q784" s="6">
        <v>328941</v>
      </c>
      <c r="R784" s="6">
        <v>633345</v>
      </c>
      <c r="S784" s="6">
        <v>6757</v>
      </c>
      <c r="T784" s="6">
        <v>1770563</v>
      </c>
      <c r="U784" s="6">
        <v>161540</v>
      </c>
      <c r="V784" s="6">
        <v>-14333</v>
      </c>
      <c r="W784" s="6">
        <v>0</v>
      </c>
      <c r="X784" s="6">
        <v>149</v>
      </c>
      <c r="Y784" s="6"/>
      <c r="Z784" s="6"/>
      <c r="AA784" s="6"/>
      <c r="AB784" s="6">
        <v>54</v>
      </c>
      <c r="AC784" s="6">
        <v>2201</v>
      </c>
      <c r="AD784" s="6">
        <v>37</v>
      </c>
      <c r="AE784" s="6">
        <v>21094</v>
      </c>
      <c r="AF784" s="6">
        <v>27539</v>
      </c>
    </row>
    <row r="785" spans="1:32" x14ac:dyDescent="0.35">
      <c r="A785" s="1">
        <v>43040</v>
      </c>
      <c r="B785" s="6">
        <v>4455887</v>
      </c>
      <c r="C785" s="6">
        <v>11037</v>
      </c>
      <c r="D785" s="6">
        <v>5200</v>
      </c>
      <c r="E785" s="6">
        <v>1832</v>
      </c>
      <c r="F785" s="6">
        <v>4384231</v>
      </c>
      <c r="G785" s="6">
        <v>4237214</v>
      </c>
      <c r="H785" s="6">
        <v>2459827</v>
      </c>
      <c r="I785" s="6">
        <v>0</v>
      </c>
      <c r="J785" s="6">
        <v>2331201</v>
      </c>
      <c r="K785" s="6">
        <v>109537</v>
      </c>
      <c r="L785" s="6">
        <v>19088</v>
      </c>
      <c r="M785" s="6">
        <v>11043</v>
      </c>
      <c r="N785" s="6">
        <v>28456</v>
      </c>
      <c r="O785" s="6">
        <v>345643</v>
      </c>
      <c r="P785" s="6">
        <v>1111513</v>
      </c>
      <c r="Q785" s="6">
        <v>329644</v>
      </c>
      <c r="R785" s="6">
        <v>633529</v>
      </c>
      <c r="S785" s="6">
        <v>6757</v>
      </c>
      <c r="T785" s="6">
        <v>1770630</v>
      </c>
      <c r="U785" s="6">
        <v>161274</v>
      </c>
      <c r="V785" s="6">
        <v>-14310</v>
      </c>
      <c r="W785" s="6">
        <v>0</v>
      </c>
      <c r="X785" s="6">
        <v>52</v>
      </c>
      <c r="Y785" s="6"/>
      <c r="Z785" s="6"/>
      <c r="AA785" s="6"/>
      <c r="AB785" s="6">
        <v>66</v>
      </c>
      <c r="AC785" s="6">
        <v>2199</v>
      </c>
      <c r="AD785" s="6">
        <v>40</v>
      </c>
      <c r="AE785" s="6">
        <v>20865</v>
      </c>
      <c r="AF785" s="6">
        <v>28705</v>
      </c>
    </row>
    <row r="786" spans="1:32" x14ac:dyDescent="0.35">
      <c r="A786" s="1">
        <v>43047</v>
      </c>
      <c r="B786" s="6">
        <v>4458552</v>
      </c>
      <c r="C786" s="6">
        <v>11037</v>
      </c>
      <c r="D786" s="6">
        <v>5200</v>
      </c>
      <c r="E786" s="6">
        <v>1845</v>
      </c>
      <c r="F786" s="6">
        <v>4384265</v>
      </c>
      <c r="G786" s="6">
        <v>4237373</v>
      </c>
      <c r="H786" s="6">
        <v>2459985</v>
      </c>
      <c r="I786" s="6">
        <v>0</v>
      </c>
      <c r="J786" s="6">
        <v>2331201</v>
      </c>
      <c r="K786" s="6">
        <v>109537</v>
      </c>
      <c r="L786" s="6">
        <v>19247</v>
      </c>
      <c r="M786" s="6">
        <v>11043</v>
      </c>
      <c r="N786" s="6">
        <v>56307</v>
      </c>
      <c r="O786" s="6">
        <v>317797</v>
      </c>
      <c r="P786" s="6">
        <v>1111537</v>
      </c>
      <c r="Q786" s="6">
        <v>329680</v>
      </c>
      <c r="R786" s="6">
        <v>633622</v>
      </c>
      <c r="S786" s="6">
        <v>6757</v>
      </c>
      <c r="T786" s="6">
        <v>1770630</v>
      </c>
      <c r="U786" s="6">
        <v>161052</v>
      </c>
      <c r="V786" s="6">
        <v>-14281</v>
      </c>
      <c r="W786" s="6">
        <v>65</v>
      </c>
      <c r="X786" s="6">
        <v>56</v>
      </c>
      <c r="Y786" s="6"/>
      <c r="Z786" s="6"/>
      <c r="AA786" s="6"/>
      <c r="AB786" s="6">
        <v>109</v>
      </c>
      <c r="AC786" s="6">
        <v>2201</v>
      </c>
      <c r="AD786" s="6">
        <v>37</v>
      </c>
      <c r="AE786" s="6">
        <v>20866</v>
      </c>
      <c r="AF786" s="6">
        <v>31280</v>
      </c>
    </row>
    <row r="787" spans="1:32" x14ac:dyDescent="0.35">
      <c r="A787" s="1">
        <v>43054</v>
      </c>
      <c r="B787" s="6">
        <v>4448289</v>
      </c>
      <c r="C787" s="6">
        <v>11037</v>
      </c>
      <c r="D787" s="6">
        <v>5200</v>
      </c>
      <c r="E787" s="6">
        <v>1855</v>
      </c>
      <c r="F787" s="6">
        <v>4386052</v>
      </c>
      <c r="G787" s="6">
        <v>4239252</v>
      </c>
      <c r="H787" s="6">
        <v>2456641</v>
      </c>
      <c r="I787" s="6">
        <v>0</v>
      </c>
      <c r="J787" s="6">
        <v>2327698</v>
      </c>
      <c r="K787" s="6">
        <v>109537</v>
      </c>
      <c r="L787" s="6">
        <v>19406</v>
      </c>
      <c r="M787" s="6">
        <v>7869</v>
      </c>
      <c r="N787" s="6">
        <v>48442</v>
      </c>
      <c r="O787" s="6">
        <v>352103</v>
      </c>
      <c r="P787" s="6">
        <v>1117050</v>
      </c>
      <c r="Q787" s="6">
        <v>292840</v>
      </c>
      <c r="R787" s="6">
        <v>638336</v>
      </c>
      <c r="S787" s="6">
        <v>6757</v>
      </c>
      <c r="T787" s="6">
        <v>1775854</v>
      </c>
      <c r="U787" s="6">
        <v>161032</v>
      </c>
      <c r="V787" s="6">
        <v>-14284</v>
      </c>
      <c r="W787" s="6">
        <v>0</v>
      </c>
      <c r="X787" s="6">
        <v>51</v>
      </c>
      <c r="Y787" s="6"/>
      <c r="Z787" s="6"/>
      <c r="AA787" s="6"/>
      <c r="AB787" s="6">
        <v>71</v>
      </c>
      <c r="AC787" s="6">
        <v>2204</v>
      </c>
      <c r="AD787" s="6">
        <v>35</v>
      </c>
      <c r="AE787" s="6">
        <v>21122</v>
      </c>
      <c r="AF787" s="6">
        <v>19003</v>
      </c>
    </row>
    <row r="788" spans="1:32" x14ac:dyDescent="0.35">
      <c r="A788" s="1">
        <v>43061</v>
      </c>
      <c r="B788" s="6">
        <v>4450615</v>
      </c>
      <c r="C788" s="6">
        <v>11037</v>
      </c>
      <c r="D788" s="6">
        <v>5200</v>
      </c>
      <c r="E788" s="6">
        <v>1835</v>
      </c>
      <c r="F788" s="6">
        <v>4386446</v>
      </c>
      <c r="G788" s="6">
        <v>4239896</v>
      </c>
      <c r="H788" s="6">
        <v>2456822</v>
      </c>
      <c r="I788" s="6">
        <v>0</v>
      </c>
      <c r="J788" s="6">
        <v>2327698</v>
      </c>
      <c r="K788" s="6">
        <v>109537</v>
      </c>
      <c r="L788" s="6">
        <v>19588</v>
      </c>
      <c r="M788" s="6">
        <v>7869</v>
      </c>
      <c r="N788" s="6">
        <v>65010</v>
      </c>
      <c r="O788" s="6">
        <v>335542</v>
      </c>
      <c r="P788" s="6">
        <v>1117078</v>
      </c>
      <c r="Q788" s="6">
        <v>308286</v>
      </c>
      <c r="R788" s="6">
        <v>623038</v>
      </c>
      <c r="S788" s="6">
        <v>4391</v>
      </c>
      <c r="T788" s="6">
        <v>1778683</v>
      </c>
      <c r="U788" s="6">
        <v>160744</v>
      </c>
      <c r="V788" s="6">
        <v>-14251</v>
      </c>
      <c r="W788" s="6">
        <v>0</v>
      </c>
      <c r="X788" s="6">
        <v>56</v>
      </c>
      <c r="Y788" s="6"/>
      <c r="Z788" s="6"/>
      <c r="AA788" s="6"/>
      <c r="AB788" s="6">
        <v>68</v>
      </c>
      <c r="AC788" s="6">
        <v>2209</v>
      </c>
      <c r="AD788" s="6">
        <v>35</v>
      </c>
      <c r="AE788" s="6">
        <v>21231</v>
      </c>
      <c r="AF788" s="6">
        <v>20845</v>
      </c>
    </row>
    <row r="789" spans="1:32" x14ac:dyDescent="0.35">
      <c r="A789" s="1">
        <v>43068</v>
      </c>
      <c r="B789" s="6">
        <v>4438592</v>
      </c>
      <c r="C789" s="6">
        <v>11037</v>
      </c>
      <c r="D789" s="6">
        <v>5200</v>
      </c>
      <c r="E789" s="6">
        <v>1833</v>
      </c>
      <c r="F789" s="6">
        <v>4374449</v>
      </c>
      <c r="G789" s="6">
        <v>4228444</v>
      </c>
      <c r="H789" s="6">
        <v>2456959</v>
      </c>
      <c r="I789" s="6">
        <v>0</v>
      </c>
      <c r="J789" s="6">
        <v>2327698</v>
      </c>
      <c r="K789" s="6">
        <v>109537</v>
      </c>
      <c r="L789" s="6">
        <v>19724</v>
      </c>
      <c r="M789" s="6">
        <v>7869</v>
      </c>
      <c r="N789" s="6">
        <v>65013</v>
      </c>
      <c r="O789" s="6">
        <v>335543</v>
      </c>
      <c r="P789" s="6">
        <v>1117114</v>
      </c>
      <c r="Q789" s="6">
        <v>308302</v>
      </c>
      <c r="R789" s="6">
        <v>623118</v>
      </c>
      <c r="S789" s="6">
        <v>4391</v>
      </c>
      <c r="T789" s="6">
        <v>1767095</v>
      </c>
      <c r="U789" s="6">
        <v>160163</v>
      </c>
      <c r="V789" s="6">
        <v>-14225</v>
      </c>
      <c r="W789" s="6">
        <v>0</v>
      </c>
      <c r="X789" s="6">
        <v>67</v>
      </c>
      <c r="Y789" s="6"/>
      <c r="Z789" s="6"/>
      <c r="AA789" s="6"/>
      <c r="AB789" s="6">
        <v>57</v>
      </c>
      <c r="AC789" s="6">
        <v>2211</v>
      </c>
      <c r="AD789" s="6">
        <v>35</v>
      </c>
      <c r="AE789" s="6">
        <v>21296</v>
      </c>
      <c r="AF789" s="6">
        <v>20766</v>
      </c>
    </row>
    <row r="790" spans="1:32" x14ac:dyDescent="0.35">
      <c r="A790" s="1">
        <v>43075</v>
      </c>
      <c r="B790" s="6">
        <v>4437148</v>
      </c>
      <c r="C790" s="6">
        <v>11037</v>
      </c>
      <c r="D790" s="6">
        <v>5200</v>
      </c>
      <c r="E790" s="6">
        <v>1867</v>
      </c>
      <c r="F790" s="6">
        <v>4371667</v>
      </c>
      <c r="G790" s="6">
        <v>4225961</v>
      </c>
      <c r="H790" s="6">
        <v>2454474</v>
      </c>
      <c r="I790" s="6">
        <v>0</v>
      </c>
      <c r="J790" s="6">
        <v>2324604</v>
      </c>
      <c r="K790" s="6">
        <v>110134</v>
      </c>
      <c r="L790" s="6">
        <v>19736</v>
      </c>
      <c r="M790" s="6">
        <v>0</v>
      </c>
      <c r="N790" s="6">
        <v>97060</v>
      </c>
      <c r="O790" s="6">
        <v>328413</v>
      </c>
      <c r="P790" s="6">
        <v>1095454</v>
      </c>
      <c r="Q790" s="6">
        <v>310425</v>
      </c>
      <c r="R790" s="6">
        <v>623122</v>
      </c>
      <c r="S790" s="6">
        <v>4391</v>
      </c>
      <c r="T790" s="6">
        <v>1767096</v>
      </c>
      <c r="U790" s="6">
        <v>159883</v>
      </c>
      <c r="V790" s="6">
        <v>-14219</v>
      </c>
      <c r="W790" s="6">
        <v>0</v>
      </c>
      <c r="X790" s="6">
        <v>43</v>
      </c>
      <c r="Y790" s="6"/>
      <c r="Z790" s="6"/>
      <c r="AA790" s="6"/>
      <c r="AB790" s="6">
        <v>79</v>
      </c>
      <c r="AC790" s="6">
        <v>2210</v>
      </c>
      <c r="AD790" s="6">
        <v>35</v>
      </c>
      <c r="AE790" s="6">
        <v>21174</v>
      </c>
      <c r="AF790" s="6">
        <v>22169</v>
      </c>
    </row>
    <row r="791" spans="1:32" x14ac:dyDescent="0.35">
      <c r="A791" s="1">
        <v>43082</v>
      </c>
      <c r="B791" s="6">
        <v>4452726</v>
      </c>
      <c r="C791" s="6">
        <v>11037</v>
      </c>
      <c r="D791" s="6">
        <v>5200</v>
      </c>
      <c r="E791" s="6">
        <v>1883</v>
      </c>
      <c r="F791" s="6">
        <v>4384767</v>
      </c>
      <c r="G791" s="6">
        <v>4238883</v>
      </c>
      <c r="H791" s="6">
        <v>2454256</v>
      </c>
      <c r="I791" s="6">
        <v>0</v>
      </c>
      <c r="J791" s="6">
        <v>2324404</v>
      </c>
      <c r="K791" s="6">
        <v>110134</v>
      </c>
      <c r="L791" s="6">
        <v>19717</v>
      </c>
      <c r="M791" s="6">
        <v>0</v>
      </c>
      <c r="N791" s="6">
        <v>97060</v>
      </c>
      <c r="O791" s="6">
        <v>328412</v>
      </c>
      <c r="P791" s="6">
        <v>1095451</v>
      </c>
      <c r="Q791" s="6">
        <v>310420</v>
      </c>
      <c r="R791" s="6">
        <v>622912</v>
      </c>
      <c r="S791" s="6">
        <v>4391</v>
      </c>
      <c r="T791" s="6">
        <v>1780237</v>
      </c>
      <c r="U791" s="6">
        <v>160036</v>
      </c>
      <c r="V791" s="6">
        <v>-14187</v>
      </c>
      <c r="W791" s="6">
        <v>0</v>
      </c>
      <c r="X791" s="6">
        <v>35</v>
      </c>
      <c r="Y791" s="6"/>
      <c r="Z791" s="6"/>
      <c r="AA791" s="6"/>
      <c r="AB791" s="6">
        <v>70</v>
      </c>
      <c r="AC791" s="6">
        <v>2212</v>
      </c>
      <c r="AD791" s="6">
        <v>42</v>
      </c>
      <c r="AE791" s="6">
        <v>21082</v>
      </c>
      <c r="AF791" s="6">
        <v>24722</v>
      </c>
    </row>
    <row r="792" spans="1:32" x14ac:dyDescent="0.35">
      <c r="A792" s="1">
        <v>43089</v>
      </c>
      <c r="B792" s="6">
        <v>4447470</v>
      </c>
      <c r="C792" s="6">
        <v>11037</v>
      </c>
      <c r="D792" s="6">
        <v>5200</v>
      </c>
      <c r="E792" s="6">
        <v>1892</v>
      </c>
      <c r="F792" s="6">
        <v>4379557</v>
      </c>
      <c r="G792" s="6">
        <v>4234079</v>
      </c>
      <c r="H792" s="6">
        <v>2454237</v>
      </c>
      <c r="I792" s="6">
        <v>0</v>
      </c>
      <c r="J792" s="6">
        <v>2324404</v>
      </c>
      <c r="K792" s="6">
        <v>110134</v>
      </c>
      <c r="L792" s="6">
        <v>19699</v>
      </c>
      <c r="M792" s="6">
        <v>17504</v>
      </c>
      <c r="N792" s="6">
        <v>79556</v>
      </c>
      <c r="O792" s="6">
        <v>328412</v>
      </c>
      <c r="P792" s="6">
        <v>1095449</v>
      </c>
      <c r="Q792" s="6">
        <v>310416</v>
      </c>
      <c r="R792" s="6">
        <v>622901</v>
      </c>
      <c r="S792" s="6">
        <v>4391</v>
      </c>
      <c r="T792" s="6">
        <v>1775451</v>
      </c>
      <c r="U792" s="6">
        <v>159519</v>
      </c>
      <c r="V792" s="6">
        <v>-14153</v>
      </c>
      <c r="W792" s="6">
        <v>0</v>
      </c>
      <c r="X792" s="6">
        <v>112</v>
      </c>
      <c r="Y792" s="6"/>
      <c r="Z792" s="6"/>
      <c r="AA792" s="6"/>
      <c r="AB792" s="6">
        <v>77</v>
      </c>
      <c r="AC792" s="6">
        <v>2214</v>
      </c>
      <c r="AD792" s="6">
        <v>57</v>
      </c>
      <c r="AE792" s="6">
        <v>21206</v>
      </c>
      <c r="AF792" s="6">
        <v>24519</v>
      </c>
    </row>
    <row r="793" spans="1:32" x14ac:dyDescent="0.35">
      <c r="A793" s="1">
        <v>43096</v>
      </c>
      <c r="B793" s="6">
        <v>4448680</v>
      </c>
      <c r="C793" s="6">
        <v>11037</v>
      </c>
      <c r="D793" s="6">
        <v>5200</v>
      </c>
      <c r="E793" s="6">
        <v>1885</v>
      </c>
      <c r="F793" s="6">
        <v>4368476</v>
      </c>
      <c r="G793" s="6">
        <v>4223535</v>
      </c>
      <c r="H793" s="6">
        <v>2454219</v>
      </c>
      <c r="I793" s="6">
        <v>0</v>
      </c>
      <c r="J793" s="6">
        <v>2324404</v>
      </c>
      <c r="K793" s="6">
        <v>110134</v>
      </c>
      <c r="L793" s="6">
        <v>19680</v>
      </c>
      <c r="M793" s="6">
        <v>17504</v>
      </c>
      <c r="N793" s="6">
        <v>79555</v>
      </c>
      <c r="O793" s="6">
        <v>328412</v>
      </c>
      <c r="P793" s="6">
        <v>1095446</v>
      </c>
      <c r="Q793" s="6">
        <v>310412</v>
      </c>
      <c r="R793" s="6">
        <v>622890</v>
      </c>
      <c r="S793" s="6">
        <v>4391</v>
      </c>
      <c r="T793" s="6">
        <v>1764926</v>
      </c>
      <c r="U793" s="6">
        <v>158921</v>
      </c>
      <c r="V793" s="6">
        <v>-14121</v>
      </c>
      <c r="W793" s="6">
        <v>0</v>
      </c>
      <c r="X793" s="6">
        <v>141</v>
      </c>
      <c r="Y793" s="6"/>
      <c r="Z793" s="6"/>
      <c r="AA793" s="6"/>
      <c r="AB793" s="6">
        <v>88</v>
      </c>
      <c r="AC793" s="6">
        <v>2218</v>
      </c>
      <c r="AD793" s="6">
        <v>12008</v>
      </c>
      <c r="AE793" s="6">
        <v>21229</v>
      </c>
      <c r="AF793" s="6">
        <v>24825</v>
      </c>
    </row>
    <row r="794" spans="1:32" x14ac:dyDescent="0.35">
      <c r="A794" s="1">
        <v>43103</v>
      </c>
      <c r="B794" s="6">
        <v>4443718</v>
      </c>
      <c r="C794" s="6">
        <v>11037</v>
      </c>
      <c r="D794" s="6">
        <v>5200</v>
      </c>
      <c r="E794" s="6">
        <v>1895</v>
      </c>
      <c r="F794" s="6">
        <v>4362066</v>
      </c>
      <c r="G794" s="6">
        <v>4217528</v>
      </c>
      <c r="H794" s="6">
        <v>2448208</v>
      </c>
      <c r="I794" s="6">
        <v>0</v>
      </c>
      <c r="J794" s="6">
        <v>2318404</v>
      </c>
      <c r="K794" s="6">
        <v>110134</v>
      </c>
      <c r="L794" s="6">
        <v>19670</v>
      </c>
      <c r="M794" s="6">
        <v>3098</v>
      </c>
      <c r="N794" s="6">
        <v>107658</v>
      </c>
      <c r="O794" s="6">
        <v>315420</v>
      </c>
      <c r="P794" s="6">
        <v>1085113</v>
      </c>
      <c r="Q794" s="6">
        <v>314035</v>
      </c>
      <c r="R794" s="6">
        <v>622884</v>
      </c>
      <c r="S794" s="6">
        <v>4391</v>
      </c>
      <c r="T794" s="6">
        <v>1764929</v>
      </c>
      <c r="U794" s="6">
        <v>158640</v>
      </c>
      <c r="V794" s="6">
        <v>-14146</v>
      </c>
      <c r="W794" s="6">
        <v>0</v>
      </c>
      <c r="X794" s="6">
        <v>44</v>
      </c>
      <c r="Y794" s="6"/>
      <c r="Z794" s="6"/>
      <c r="AA794" s="6"/>
      <c r="AB794" s="6">
        <v>169</v>
      </c>
      <c r="AC794" s="6">
        <v>2203</v>
      </c>
      <c r="AD794" s="6">
        <v>12067</v>
      </c>
      <c r="AE794" s="6">
        <v>21440</v>
      </c>
      <c r="AF794" s="6">
        <v>25927</v>
      </c>
    </row>
    <row r="795" spans="1:32" x14ac:dyDescent="0.35">
      <c r="A795" s="1">
        <v>43110</v>
      </c>
      <c r="B795" s="6">
        <v>4446062</v>
      </c>
      <c r="C795" s="6">
        <v>11037</v>
      </c>
      <c r="D795" s="6">
        <v>5200</v>
      </c>
      <c r="E795" s="6">
        <v>1902</v>
      </c>
      <c r="F795" s="6">
        <v>4361924</v>
      </c>
      <c r="G795" s="6">
        <v>4217530</v>
      </c>
      <c r="H795" s="6">
        <v>2448209</v>
      </c>
      <c r="I795" s="6">
        <v>0</v>
      </c>
      <c r="J795" s="6">
        <v>2318404</v>
      </c>
      <c r="K795" s="6">
        <v>110134</v>
      </c>
      <c r="L795" s="6">
        <v>19671</v>
      </c>
      <c r="M795" s="6">
        <v>3098</v>
      </c>
      <c r="N795" s="6">
        <v>107658</v>
      </c>
      <c r="O795" s="6">
        <v>315420</v>
      </c>
      <c r="P795" s="6">
        <v>1085113</v>
      </c>
      <c r="Q795" s="6">
        <v>314035</v>
      </c>
      <c r="R795" s="6">
        <v>622884</v>
      </c>
      <c r="S795" s="6">
        <v>4391</v>
      </c>
      <c r="T795" s="6">
        <v>1764930</v>
      </c>
      <c r="U795" s="6">
        <v>158401</v>
      </c>
      <c r="V795" s="6">
        <v>-14116</v>
      </c>
      <c r="W795" s="6">
        <v>0</v>
      </c>
      <c r="X795" s="6">
        <v>109</v>
      </c>
      <c r="Y795" s="6"/>
      <c r="Z795" s="6"/>
      <c r="AA795" s="6"/>
      <c r="AB795" s="6">
        <v>85</v>
      </c>
      <c r="AC795" s="6">
        <v>2204</v>
      </c>
      <c r="AD795" s="6">
        <v>12067</v>
      </c>
      <c r="AE795" s="6">
        <v>21421</v>
      </c>
      <c r="AF795" s="6">
        <v>28507</v>
      </c>
    </row>
    <row r="796" spans="1:32" x14ac:dyDescent="0.35">
      <c r="A796" s="1">
        <v>43117</v>
      </c>
      <c r="B796" s="6">
        <v>4439145</v>
      </c>
      <c r="C796" s="6">
        <v>11037</v>
      </c>
      <c r="D796" s="6">
        <v>5200</v>
      </c>
      <c r="E796" s="6">
        <v>1916</v>
      </c>
      <c r="F796" s="6">
        <v>4365986</v>
      </c>
      <c r="G796" s="6">
        <v>4221749</v>
      </c>
      <c r="H796" s="6">
        <v>2447009</v>
      </c>
      <c r="I796" s="6">
        <v>0</v>
      </c>
      <c r="J796" s="6">
        <v>2320301</v>
      </c>
      <c r="K796" s="6">
        <v>107503</v>
      </c>
      <c r="L796" s="6">
        <v>19205</v>
      </c>
      <c r="M796" s="6">
        <v>27847</v>
      </c>
      <c r="N796" s="6">
        <v>80038</v>
      </c>
      <c r="O796" s="6">
        <v>317233</v>
      </c>
      <c r="P796" s="6">
        <v>1083901</v>
      </c>
      <c r="Q796" s="6">
        <v>316716</v>
      </c>
      <c r="R796" s="6">
        <v>621273</v>
      </c>
      <c r="S796" s="6">
        <v>4391</v>
      </c>
      <c r="T796" s="6">
        <v>1770349</v>
      </c>
      <c r="U796" s="6">
        <v>158252</v>
      </c>
      <c r="V796" s="6">
        <v>-14113</v>
      </c>
      <c r="W796" s="6">
        <v>0</v>
      </c>
      <c r="X796" s="6">
        <v>98</v>
      </c>
      <c r="Y796" s="6"/>
      <c r="Z796" s="6"/>
      <c r="AA796" s="6"/>
      <c r="AB796" s="6">
        <v>102</v>
      </c>
      <c r="AC796" s="6">
        <v>2207</v>
      </c>
      <c r="AD796" s="6">
        <v>118</v>
      </c>
      <c r="AE796" s="6">
        <v>21767</v>
      </c>
      <c r="AF796" s="6">
        <v>29098</v>
      </c>
    </row>
    <row r="797" spans="1:32" x14ac:dyDescent="0.35">
      <c r="A797" s="1">
        <v>43124</v>
      </c>
      <c r="B797" s="6">
        <v>4441317</v>
      </c>
      <c r="C797" s="6">
        <v>11037</v>
      </c>
      <c r="D797" s="6">
        <v>5200</v>
      </c>
      <c r="E797" s="6">
        <v>1923</v>
      </c>
      <c r="F797" s="6">
        <v>4366351</v>
      </c>
      <c r="G797" s="6">
        <v>4222454</v>
      </c>
      <c r="H797" s="6">
        <v>2447009</v>
      </c>
      <c r="I797" s="6">
        <v>0</v>
      </c>
      <c r="J797" s="6">
        <v>2320301</v>
      </c>
      <c r="K797" s="6">
        <v>107503</v>
      </c>
      <c r="L797" s="6">
        <v>19205</v>
      </c>
      <c r="M797" s="6">
        <v>27847</v>
      </c>
      <c r="N797" s="6">
        <v>80038</v>
      </c>
      <c r="O797" s="6">
        <v>317233</v>
      </c>
      <c r="P797" s="6">
        <v>1083901</v>
      </c>
      <c r="Q797" s="6">
        <v>316716</v>
      </c>
      <c r="R797" s="6">
        <v>621273</v>
      </c>
      <c r="S797" s="6">
        <v>4391</v>
      </c>
      <c r="T797" s="6">
        <v>1771054</v>
      </c>
      <c r="U797" s="6">
        <v>157925</v>
      </c>
      <c r="V797" s="6">
        <v>-14082</v>
      </c>
      <c r="W797" s="6">
        <v>0</v>
      </c>
      <c r="X797" s="6">
        <v>54</v>
      </c>
      <c r="Y797" s="6"/>
      <c r="Z797" s="6"/>
      <c r="AA797" s="6"/>
      <c r="AB797" s="6">
        <v>81</v>
      </c>
      <c r="AC797" s="6">
        <v>2207</v>
      </c>
      <c r="AD797" s="6">
        <v>72</v>
      </c>
      <c r="AE797" s="6">
        <v>22071</v>
      </c>
      <c r="AF797" s="6">
        <v>30661</v>
      </c>
    </row>
    <row r="798" spans="1:32" x14ac:dyDescent="0.35">
      <c r="A798" s="1">
        <v>43131</v>
      </c>
      <c r="B798" s="6">
        <v>4419225</v>
      </c>
      <c r="C798" s="6">
        <v>11037</v>
      </c>
      <c r="D798" s="6">
        <v>5200</v>
      </c>
      <c r="E798" s="6">
        <v>1945</v>
      </c>
      <c r="F798" s="6">
        <v>4344643</v>
      </c>
      <c r="G798" s="6">
        <v>4201346</v>
      </c>
      <c r="H798" s="6">
        <v>2436211</v>
      </c>
      <c r="I798" s="6">
        <v>0</v>
      </c>
      <c r="J798" s="6">
        <v>2307591</v>
      </c>
      <c r="K798" s="6">
        <v>109413</v>
      </c>
      <c r="L798" s="6">
        <v>19206</v>
      </c>
      <c r="M798" s="6">
        <v>16563</v>
      </c>
      <c r="N798" s="6">
        <v>97821</v>
      </c>
      <c r="O798" s="6">
        <v>297078</v>
      </c>
      <c r="P798" s="6">
        <v>1081309</v>
      </c>
      <c r="Q798" s="6">
        <v>322166</v>
      </c>
      <c r="R798" s="6">
        <v>621274</v>
      </c>
      <c r="S798" s="6">
        <v>4391</v>
      </c>
      <c r="T798" s="6">
        <v>1760743</v>
      </c>
      <c r="U798" s="6">
        <v>157337</v>
      </c>
      <c r="V798" s="6">
        <v>-14094</v>
      </c>
      <c r="W798" s="6">
        <v>0</v>
      </c>
      <c r="X798" s="6">
        <v>54</v>
      </c>
      <c r="Y798" s="6"/>
      <c r="Z798" s="6"/>
      <c r="AA798" s="6"/>
      <c r="AB798" s="6">
        <v>91</v>
      </c>
      <c r="AC798" s="6">
        <v>2210</v>
      </c>
      <c r="AD798" s="6">
        <v>673</v>
      </c>
      <c r="AE798" s="6">
        <v>22110</v>
      </c>
      <c r="AF798" s="6">
        <v>29601</v>
      </c>
    </row>
    <row r="799" spans="1:32" x14ac:dyDescent="0.35">
      <c r="A799" s="1">
        <v>43138</v>
      </c>
      <c r="B799" s="6">
        <v>4420745</v>
      </c>
      <c r="C799" s="6">
        <v>11037</v>
      </c>
      <c r="D799" s="6">
        <v>5200</v>
      </c>
      <c r="E799" s="6">
        <v>1957</v>
      </c>
      <c r="F799" s="6">
        <v>4344373</v>
      </c>
      <c r="G799" s="6">
        <v>4201327</v>
      </c>
      <c r="H799" s="6">
        <v>2436192</v>
      </c>
      <c r="I799" s="6">
        <v>0</v>
      </c>
      <c r="J799" s="6">
        <v>2307591</v>
      </c>
      <c r="K799" s="6">
        <v>109413</v>
      </c>
      <c r="L799" s="6">
        <v>19187</v>
      </c>
      <c r="M799" s="6">
        <v>16563</v>
      </c>
      <c r="N799" s="6">
        <v>97821</v>
      </c>
      <c r="O799" s="6">
        <v>297077</v>
      </c>
      <c r="P799" s="6">
        <v>1081307</v>
      </c>
      <c r="Q799" s="6">
        <v>322161</v>
      </c>
      <c r="R799" s="6">
        <v>621263</v>
      </c>
      <c r="S799" s="6">
        <v>4391</v>
      </c>
      <c r="T799" s="6">
        <v>1760743</v>
      </c>
      <c r="U799" s="6">
        <v>157078</v>
      </c>
      <c r="V799" s="6">
        <v>-14063</v>
      </c>
      <c r="W799" s="6">
        <v>0</v>
      </c>
      <c r="X799" s="6">
        <v>31</v>
      </c>
      <c r="Y799" s="6"/>
      <c r="Z799" s="6"/>
      <c r="AA799" s="6"/>
      <c r="AB799" s="6">
        <v>144</v>
      </c>
      <c r="AC799" s="6">
        <v>2199</v>
      </c>
      <c r="AD799" s="6">
        <v>39</v>
      </c>
      <c r="AE799" s="6">
        <v>21920</v>
      </c>
      <c r="AF799" s="6">
        <v>32162</v>
      </c>
    </row>
    <row r="800" spans="1:32" x14ac:dyDescent="0.35">
      <c r="A800" s="1">
        <v>43145</v>
      </c>
      <c r="B800" s="6">
        <v>4434863</v>
      </c>
      <c r="C800" s="6">
        <v>11037</v>
      </c>
      <c r="D800" s="6">
        <v>5200</v>
      </c>
      <c r="E800" s="6">
        <v>1954</v>
      </c>
      <c r="F800" s="6">
        <v>4355567</v>
      </c>
      <c r="G800" s="6">
        <v>4212491</v>
      </c>
      <c r="H800" s="6">
        <v>2436173</v>
      </c>
      <c r="I800" s="6">
        <v>0</v>
      </c>
      <c r="J800" s="6">
        <v>2307591</v>
      </c>
      <c r="K800" s="6">
        <v>109413</v>
      </c>
      <c r="L800" s="6">
        <v>19168</v>
      </c>
      <c r="M800" s="6">
        <v>48610</v>
      </c>
      <c r="N800" s="6">
        <v>92002</v>
      </c>
      <c r="O800" s="6">
        <v>270849</v>
      </c>
      <c r="P800" s="6">
        <v>1107777</v>
      </c>
      <c r="Q800" s="6">
        <v>295684</v>
      </c>
      <c r="R800" s="6">
        <v>621252</v>
      </c>
      <c r="S800" s="6">
        <v>4391</v>
      </c>
      <c r="T800" s="6">
        <v>1771927</v>
      </c>
      <c r="U800" s="6">
        <v>157095</v>
      </c>
      <c r="V800" s="6">
        <v>-14036</v>
      </c>
      <c r="W800" s="6">
        <v>0</v>
      </c>
      <c r="X800" s="6">
        <v>17</v>
      </c>
      <c r="Y800" s="6"/>
      <c r="Z800" s="6"/>
      <c r="AA800" s="6"/>
      <c r="AB800" s="6">
        <v>100</v>
      </c>
      <c r="AC800" s="6">
        <v>2202</v>
      </c>
      <c r="AD800" s="6">
        <v>62</v>
      </c>
      <c r="AE800" s="6">
        <v>22248</v>
      </c>
      <c r="AF800" s="6">
        <v>34776</v>
      </c>
    </row>
    <row r="801" spans="1:32" x14ac:dyDescent="0.35">
      <c r="A801" s="1">
        <v>43152</v>
      </c>
      <c r="B801" s="6">
        <v>4411660</v>
      </c>
      <c r="C801" s="6">
        <v>11037</v>
      </c>
      <c r="D801" s="6">
        <v>5200</v>
      </c>
      <c r="E801" s="6">
        <v>1934</v>
      </c>
      <c r="F801" s="6">
        <v>4348288</v>
      </c>
      <c r="G801" s="6">
        <v>4205755</v>
      </c>
      <c r="H801" s="6">
        <v>2432066</v>
      </c>
      <c r="I801" s="6">
        <v>0</v>
      </c>
      <c r="J801" s="6">
        <v>2303503</v>
      </c>
      <c r="K801" s="6">
        <v>109413</v>
      </c>
      <c r="L801" s="6">
        <v>19149</v>
      </c>
      <c r="M801" s="6">
        <v>32047</v>
      </c>
      <c r="N801" s="6">
        <v>92002</v>
      </c>
      <c r="O801" s="6">
        <v>314372</v>
      </c>
      <c r="P801" s="6">
        <v>1069165</v>
      </c>
      <c r="Q801" s="6">
        <v>300215</v>
      </c>
      <c r="R801" s="6">
        <v>624265</v>
      </c>
      <c r="S801" s="6">
        <v>4391</v>
      </c>
      <c r="T801" s="6">
        <v>1769298</v>
      </c>
      <c r="U801" s="6">
        <v>156605</v>
      </c>
      <c r="V801" s="6">
        <v>-14105</v>
      </c>
      <c r="W801" s="6">
        <v>0</v>
      </c>
      <c r="X801" s="6">
        <v>33</v>
      </c>
      <c r="Y801" s="6"/>
      <c r="Z801" s="6"/>
      <c r="AA801" s="6"/>
      <c r="AB801" s="6">
        <v>130</v>
      </c>
      <c r="AC801" s="6">
        <v>2203</v>
      </c>
      <c r="AD801" s="6">
        <v>67</v>
      </c>
      <c r="AE801" s="6">
        <v>22106</v>
      </c>
      <c r="AF801" s="6">
        <v>18984</v>
      </c>
    </row>
    <row r="802" spans="1:32" x14ac:dyDescent="0.35">
      <c r="A802" s="1">
        <v>43159</v>
      </c>
      <c r="B802" s="6">
        <v>4393401</v>
      </c>
      <c r="C802" s="6">
        <v>11037</v>
      </c>
      <c r="D802" s="6">
        <v>5200</v>
      </c>
      <c r="E802" s="6">
        <v>1919</v>
      </c>
      <c r="F802" s="6">
        <v>4330547</v>
      </c>
      <c r="G802" s="6">
        <v>4188604</v>
      </c>
      <c r="H802" s="6">
        <v>2424242</v>
      </c>
      <c r="I802" s="6">
        <v>0</v>
      </c>
      <c r="J802" s="6">
        <v>2293885</v>
      </c>
      <c r="K802" s="6">
        <v>111220</v>
      </c>
      <c r="L802" s="6">
        <v>19137</v>
      </c>
      <c r="M802" s="6">
        <v>0</v>
      </c>
      <c r="N802" s="6">
        <v>92002</v>
      </c>
      <c r="O802" s="6">
        <v>326901</v>
      </c>
      <c r="P802" s="6">
        <v>1081426</v>
      </c>
      <c r="Q802" s="6">
        <v>297846</v>
      </c>
      <c r="R802" s="6">
        <v>626067</v>
      </c>
      <c r="S802" s="6">
        <v>4391</v>
      </c>
      <c r="T802" s="6">
        <v>1759972</v>
      </c>
      <c r="U802" s="6">
        <v>156044</v>
      </c>
      <c r="V802" s="6">
        <v>-14128</v>
      </c>
      <c r="W802" s="6">
        <v>0</v>
      </c>
      <c r="X802" s="6">
        <v>27</v>
      </c>
      <c r="Y802" s="6"/>
      <c r="Z802" s="6"/>
      <c r="AA802" s="6"/>
      <c r="AB802" s="6">
        <v>99</v>
      </c>
      <c r="AC802" s="6">
        <v>2206</v>
      </c>
      <c r="AD802" s="6">
        <v>72</v>
      </c>
      <c r="AE802" s="6">
        <v>22089</v>
      </c>
      <c r="AF802" s="6">
        <v>18523</v>
      </c>
    </row>
    <row r="803" spans="1:32" x14ac:dyDescent="0.35">
      <c r="A803" s="1">
        <v>43166</v>
      </c>
      <c r="B803" s="6">
        <v>4396097</v>
      </c>
      <c r="C803" s="6">
        <v>11037</v>
      </c>
      <c r="D803" s="6">
        <v>5200</v>
      </c>
      <c r="E803" s="6">
        <v>1900</v>
      </c>
      <c r="F803" s="6">
        <v>4330493</v>
      </c>
      <c r="G803" s="6">
        <v>4188784</v>
      </c>
      <c r="H803" s="6">
        <v>2424402</v>
      </c>
      <c r="I803" s="6">
        <v>0</v>
      </c>
      <c r="J803" s="6">
        <v>2293885</v>
      </c>
      <c r="K803" s="6">
        <v>111220</v>
      </c>
      <c r="L803" s="6">
        <v>19297</v>
      </c>
      <c r="M803" s="6">
        <v>0</v>
      </c>
      <c r="N803" s="6">
        <v>120481</v>
      </c>
      <c r="O803" s="6">
        <v>298426</v>
      </c>
      <c r="P803" s="6">
        <v>1081448</v>
      </c>
      <c r="Q803" s="6">
        <v>297887</v>
      </c>
      <c r="R803" s="6">
        <v>626160</v>
      </c>
      <c r="S803" s="6">
        <v>4391</v>
      </c>
      <c r="T803" s="6">
        <v>1759991</v>
      </c>
      <c r="U803" s="6">
        <v>155799</v>
      </c>
      <c r="V803" s="6">
        <v>-14100</v>
      </c>
      <c r="W803" s="6">
        <v>0</v>
      </c>
      <c r="X803" s="6">
        <v>11</v>
      </c>
      <c r="Y803" s="6"/>
      <c r="Z803" s="6"/>
      <c r="AA803" s="6"/>
      <c r="AB803" s="6">
        <v>86</v>
      </c>
      <c r="AC803" s="6">
        <v>2194</v>
      </c>
      <c r="AD803" s="6">
        <v>65</v>
      </c>
      <c r="AE803" s="6">
        <v>22334</v>
      </c>
      <c r="AF803" s="6">
        <v>21080</v>
      </c>
    </row>
    <row r="804" spans="1:32" x14ac:dyDescent="0.35">
      <c r="A804" s="1">
        <v>43173</v>
      </c>
      <c r="B804" s="6">
        <v>4407258</v>
      </c>
      <c r="C804" s="6">
        <v>11037</v>
      </c>
      <c r="D804" s="6">
        <v>5200</v>
      </c>
      <c r="E804" s="6">
        <v>1877</v>
      </c>
      <c r="F804" s="6">
        <v>4339150</v>
      </c>
      <c r="G804" s="6">
        <v>4197541</v>
      </c>
      <c r="H804" s="6">
        <v>2424562</v>
      </c>
      <c r="I804" s="6">
        <v>0</v>
      </c>
      <c r="J804" s="6">
        <v>2293885</v>
      </c>
      <c r="K804" s="6">
        <v>111220</v>
      </c>
      <c r="L804" s="6">
        <v>19457</v>
      </c>
      <c r="M804" s="6">
        <v>0</v>
      </c>
      <c r="N804" s="6">
        <v>120481</v>
      </c>
      <c r="O804" s="6">
        <v>298430</v>
      </c>
      <c r="P804" s="6">
        <v>1081470</v>
      </c>
      <c r="Q804" s="6">
        <v>297929</v>
      </c>
      <c r="R804" s="6">
        <v>626253</v>
      </c>
      <c r="S804" s="6">
        <v>4391</v>
      </c>
      <c r="T804" s="6">
        <v>1768588</v>
      </c>
      <c r="U804" s="6">
        <v>155674</v>
      </c>
      <c r="V804" s="6">
        <v>-14080</v>
      </c>
      <c r="W804" s="6">
        <v>0</v>
      </c>
      <c r="X804" s="6">
        <v>15</v>
      </c>
      <c r="Y804" s="6"/>
      <c r="Z804" s="6"/>
      <c r="AA804" s="6"/>
      <c r="AB804" s="6">
        <v>74</v>
      </c>
      <c r="AC804" s="6">
        <v>2196</v>
      </c>
      <c r="AD804" s="6">
        <v>64</v>
      </c>
      <c r="AE804" s="6">
        <v>22276</v>
      </c>
      <c r="AF804" s="6">
        <v>23675</v>
      </c>
    </row>
    <row r="805" spans="1:32" x14ac:dyDescent="0.35">
      <c r="A805" s="1">
        <v>43180</v>
      </c>
      <c r="B805" s="6">
        <v>4401222</v>
      </c>
      <c r="C805" s="6">
        <v>11037</v>
      </c>
      <c r="D805" s="6">
        <v>5200</v>
      </c>
      <c r="E805" s="6">
        <v>1859</v>
      </c>
      <c r="F805" s="6">
        <v>4333349</v>
      </c>
      <c r="G805" s="6">
        <v>4192285</v>
      </c>
      <c r="H805" s="6">
        <v>2424723</v>
      </c>
      <c r="I805" s="6">
        <v>0</v>
      </c>
      <c r="J805" s="6">
        <v>2293885</v>
      </c>
      <c r="K805" s="6">
        <v>111220</v>
      </c>
      <c r="L805" s="6">
        <v>19618</v>
      </c>
      <c r="M805" s="6">
        <v>31201</v>
      </c>
      <c r="N805" s="6">
        <v>89280</v>
      </c>
      <c r="O805" s="6">
        <v>298434</v>
      </c>
      <c r="P805" s="6">
        <v>1081492</v>
      </c>
      <c r="Q805" s="6">
        <v>297970</v>
      </c>
      <c r="R805" s="6">
        <v>626346</v>
      </c>
      <c r="S805" s="6">
        <v>4391</v>
      </c>
      <c r="T805" s="6">
        <v>1763171</v>
      </c>
      <c r="U805" s="6">
        <v>155105</v>
      </c>
      <c r="V805" s="6">
        <v>-14054</v>
      </c>
      <c r="W805" s="6">
        <v>0</v>
      </c>
      <c r="X805" s="6">
        <v>14</v>
      </c>
      <c r="Y805" s="6"/>
      <c r="Z805" s="6"/>
      <c r="AA805" s="6"/>
      <c r="AB805" s="6">
        <v>88</v>
      </c>
      <c r="AC805" s="6">
        <v>2197</v>
      </c>
      <c r="AD805" s="6">
        <v>77</v>
      </c>
      <c r="AE805" s="6">
        <v>22163</v>
      </c>
      <c r="AF805" s="6">
        <v>23544</v>
      </c>
    </row>
    <row r="806" spans="1:32" x14ac:dyDescent="0.35">
      <c r="A806" s="1">
        <v>43187</v>
      </c>
      <c r="B806" s="6">
        <v>4392198</v>
      </c>
      <c r="C806" s="6">
        <v>11037</v>
      </c>
      <c r="D806" s="6">
        <v>5200</v>
      </c>
      <c r="E806" s="6">
        <v>1835</v>
      </c>
      <c r="F806" s="6">
        <v>4324209</v>
      </c>
      <c r="G806" s="6">
        <v>4183642</v>
      </c>
      <c r="H806" s="6">
        <v>2424883</v>
      </c>
      <c r="I806" s="6">
        <v>0</v>
      </c>
      <c r="J806" s="6">
        <v>2293885</v>
      </c>
      <c r="K806" s="6">
        <v>111220</v>
      </c>
      <c r="L806" s="6">
        <v>19778</v>
      </c>
      <c r="M806" s="6">
        <v>31201</v>
      </c>
      <c r="N806" s="6">
        <v>89281</v>
      </c>
      <c r="O806" s="6">
        <v>298438</v>
      </c>
      <c r="P806" s="6">
        <v>1081513</v>
      </c>
      <c r="Q806" s="6">
        <v>298012</v>
      </c>
      <c r="R806" s="6">
        <v>626439</v>
      </c>
      <c r="S806" s="6">
        <v>4391</v>
      </c>
      <c r="T806" s="6">
        <v>1754368</v>
      </c>
      <c r="U806" s="6">
        <v>154546</v>
      </c>
      <c r="V806" s="6">
        <v>-13995</v>
      </c>
      <c r="W806" s="6">
        <v>0</v>
      </c>
      <c r="X806" s="6">
        <v>16</v>
      </c>
      <c r="Y806" s="6"/>
      <c r="Z806" s="6"/>
      <c r="AA806" s="6"/>
      <c r="AB806" s="6">
        <v>73</v>
      </c>
      <c r="AC806" s="6">
        <v>2197</v>
      </c>
      <c r="AD806" s="6">
        <v>79</v>
      </c>
      <c r="AE806" s="6">
        <v>22255</v>
      </c>
      <c r="AF806" s="6">
        <v>23605</v>
      </c>
    </row>
    <row r="807" spans="1:32" x14ac:dyDescent="0.35">
      <c r="A807" s="1">
        <v>43194</v>
      </c>
      <c r="B807" s="6">
        <v>4386104</v>
      </c>
      <c r="C807" s="6">
        <v>11037</v>
      </c>
      <c r="D807" s="6">
        <v>5200</v>
      </c>
      <c r="E807" s="6">
        <v>1822</v>
      </c>
      <c r="F807" s="6">
        <v>4312055</v>
      </c>
      <c r="G807" s="6">
        <v>4171790</v>
      </c>
      <c r="H807" s="6">
        <v>2413031</v>
      </c>
      <c r="I807" s="6">
        <v>0</v>
      </c>
      <c r="J807" s="6">
        <v>2281885</v>
      </c>
      <c r="K807" s="6">
        <v>111220</v>
      </c>
      <c r="L807" s="6">
        <v>19926</v>
      </c>
      <c r="M807" s="6">
        <v>229</v>
      </c>
      <c r="N807" s="6">
        <v>119506</v>
      </c>
      <c r="O807" s="6">
        <v>290367</v>
      </c>
      <c r="P807" s="6">
        <v>1080010</v>
      </c>
      <c r="Q807" s="6">
        <v>296395</v>
      </c>
      <c r="R807" s="6">
        <v>626525</v>
      </c>
      <c r="S807" s="6">
        <v>4391</v>
      </c>
      <c r="T807" s="6">
        <v>1754368</v>
      </c>
      <c r="U807" s="6">
        <v>154279</v>
      </c>
      <c r="V807" s="6">
        <v>-14038</v>
      </c>
      <c r="W807" s="6">
        <v>0</v>
      </c>
      <c r="X807" s="6">
        <v>24</v>
      </c>
      <c r="Y807" s="6"/>
      <c r="Z807" s="6"/>
      <c r="AA807" s="6"/>
      <c r="AB807" s="6">
        <v>75</v>
      </c>
      <c r="AC807" s="6">
        <v>2198</v>
      </c>
      <c r="AD807" s="6">
        <v>5011</v>
      </c>
      <c r="AE807" s="6">
        <v>22166</v>
      </c>
      <c r="AF807" s="6">
        <v>24831</v>
      </c>
    </row>
    <row r="808" spans="1:32" x14ac:dyDescent="0.35">
      <c r="A808" s="1">
        <v>43201</v>
      </c>
      <c r="B808" s="6">
        <v>4383684</v>
      </c>
      <c r="C808" s="6">
        <v>11037</v>
      </c>
      <c r="D808" s="6">
        <v>5200</v>
      </c>
      <c r="E808" s="6">
        <v>1823</v>
      </c>
      <c r="F808" s="6">
        <v>4311892</v>
      </c>
      <c r="G808" s="6">
        <v>4171820</v>
      </c>
      <c r="H808" s="6">
        <v>2413060</v>
      </c>
      <c r="I808" s="6">
        <v>0</v>
      </c>
      <c r="J808" s="6">
        <v>2281885</v>
      </c>
      <c r="K808" s="6">
        <v>111120</v>
      </c>
      <c r="L808" s="6">
        <v>20055</v>
      </c>
      <c r="M808" s="6">
        <v>229</v>
      </c>
      <c r="N808" s="6">
        <v>119506</v>
      </c>
      <c r="O808" s="6">
        <v>290370</v>
      </c>
      <c r="P808" s="6">
        <v>1080029</v>
      </c>
      <c r="Q808" s="6">
        <v>296322</v>
      </c>
      <c r="R808" s="6">
        <v>626605</v>
      </c>
      <c r="S808" s="6">
        <v>4391</v>
      </c>
      <c r="T808" s="6">
        <v>1754369</v>
      </c>
      <c r="U808" s="6">
        <v>154051</v>
      </c>
      <c r="V808" s="6">
        <v>-14009</v>
      </c>
      <c r="W808" s="6">
        <v>0</v>
      </c>
      <c r="X808" s="6">
        <v>30</v>
      </c>
      <c r="Y808" s="6"/>
      <c r="Z808" s="6"/>
      <c r="AA808" s="6"/>
      <c r="AB808" s="6">
        <v>78</v>
      </c>
      <c r="AC808" s="6">
        <v>2199</v>
      </c>
      <c r="AD808" s="6">
        <v>79</v>
      </c>
      <c r="AE808" s="6">
        <v>22248</v>
      </c>
      <c r="AF808" s="6">
        <v>27419</v>
      </c>
    </row>
    <row r="809" spans="1:32" x14ac:dyDescent="0.35">
      <c r="A809" s="1">
        <v>43208</v>
      </c>
      <c r="B809" s="6">
        <v>4385903</v>
      </c>
      <c r="C809" s="6">
        <v>11037</v>
      </c>
      <c r="D809" s="6">
        <v>5200</v>
      </c>
      <c r="E809" s="6">
        <v>1821</v>
      </c>
      <c r="F809" s="6">
        <v>4313598</v>
      </c>
      <c r="G809" s="6">
        <v>4173760</v>
      </c>
      <c r="H809" s="6">
        <v>2413079</v>
      </c>
      <c r="I809" s="6">
        <v>0</v>
      </c>
      <c r="J809" s="6">
        <v>2281995</v>
      </c>
      <c r="K809" s="6">
        <v>110907</v>
      </c>
      <c r="L809" s="6">
        <v>20177</v>
      </c>
      <c r="M809" s="6">
        <v>34346</v>
      </c>
      <c r="N809" s="6">
        <v>86282</v>
      </c>
      <c r="O809" s="6">
        <v>289430</v>
      </c>
      <c r="P809" s="6">
        <v>1079919</v>
      </c>
      <c r="Q809" s="6">
        <v>308229</v>
      </c>
      <c r="R809" s="6">
        <v>614872</v>
      </c>
      <c r="S809" s="6">
        <v>4391</v>
      </c>
      <c r="T809" s="6">
        <v>1756290</v>
      </c>
      <c r="U809" s="6">
        <v>153776</v>
      </c>
      <c r="V809" s="6">
        <v>-13981</v>
      </c>
      <c r="W809" s="6">
        <v>0</v>
      </c>
      <c r="X809" s="6">
        <v>43</v>
      </c>
      <c r="Y809" s="6"/>
      <c r="Z809" s="6"/>
      <c r="AA809" s="6"/>
      <c r="AB809" s="6">
        <v>65</v>
      </c>
      <c r="AC809" s="6">
        <v>2200</v>
      </c>
      <c r="AD809" s="6">
        <v>82</v>
      </c>
      <c r="AE809" s="6">
        <v>22205</v>
      </c>
      <c r="AF809" s="6">
        <v>27986</v>
      </c>
    </row>
    <row r="810" spans="1:32" x14ac:dyDescent="0.35">
      <c r="A810" s="1">
        <v>43215</v>
      </c>
      <c r="B810" s="6">
        <v>4372886</v>
      </c>
      <c r="C810" s="6">
        <v>11037</v>
      </c>
      <c r="D810" s="6">
        <v>5200</v>
      </c>
      <c r="E810" s="6">
        <v>1815</v>
      </c>
      <c r="F810" s="6">
        <v>4301786</v>
      </c>
      <c r="G810" s="6">
        <v>4162576</v>
      </c>
      <c r="H810" s="6">
        <v>2413218</v>
      </c>
      <c r="I810" s="6">
        <v>0</v>
      </c>
      <c r="J810" s="6">
        <v>2281995</v>
      </c>
      <c r="K810" s="6">
        <v>110907</v>
      </c>
      <c r="L810" s="6">
        <v>20316</v>
      </c>
      <c r="M810" s="6">
        <v>34346</v>
      </c>
      <c r="N810" s="6">
        <v>86284</v>
      </c>
      <c r="O810" s="6">
        <v>289432</v>
      </c>
      <c r="P810" s="6">
        <v>1079938</v>
      </c>
      <c r="Q810" s="6">
        <v>308277</v>
      </c>
      <c r="R810" s="6">
        <v>614941</v>
      </c>
      <c r="S810" s="6">
        <v>4391</v>
      </c>
      <c r="T810" s="6">
        <v>1744967</v>
      </c>
      <c r="U810" s="6">
        <v>153073</v>
      </c>
      <c r="V810" s="6">
        <v>-13950</v>
      </c>
      <c r="W810" s="6">
        <v>0</v>
      </c>
      <c r="X810" s="6">
        <v>87</v>
      </c>
      <c r="Y810" s="6"/>
      <c r="Z810" s="6"/>
      <c r="AA810" s="6"/>
      <c r="AB810" s="6">
        <v>73</v>
      </c>
      <c r="AC810" s="6">
        <v>2201</v>
      </c>
      <c r="AD810" s="6">
        <v>82</v>
      </c>
      <c r="AE810" s="6">
        <v>21819</v>
      </c>
      <c r="AF810" s="6">
        <v>27159</v>
      </c>
    </row>
    <row r="811" spans="1:32" x14ac:dyDescent="0.35">
      <c r="A811" s="1">
        <v>43222</v>
      </c>
      <c r="B811" s="6">
        <v>4356129</v>
      </c>
      <c r="C811" s="6">
        <v>11037</v>
      </c>
      <c r="D811" s="6">
        <v>5200</v>
      </c>
      <c r="E811" s="6">
        <v>1819</v>
      </c>
      <c r="F811" s="6">
        <v>4283883</v>
      </c>
      <c r="G811" s="6">
        <v>4144823</v>
      </c>
      <c r="H811" s="6">
        <v>2395460</v>
      </c>
      <c r="I811" s="6">
        <v>0</v>
      </c>
      <c r="J811" s="6">
        <v>2262072</v>
      </c>
      <c r="K811" s="6">
        <v>112949</v>
      </c>
      <c r="L811" s="6">
        <v>20439</v>
      </c>
      <c r="M811" s="6">
        <v>26228</v>
      </c>
      <c r="N811" s="6">
        <v>90359</v>
      </c>
      <c r="O811" s="6">
        <v>290878</v>
      </c>
      <c r="P811" s="6">
        <v>1068418</v>
      </c>
      <c r="Q811" s="6">
        <v>304579</v>
      </c>
      <c r="R811" s="6">
        <v>614998</v>
      </c>
      <c r="S811" s="6">
        <v>4391</v>
      </c>
      <c r="T811" s="6">
        <v>1744972</v>
      </c>
      <c r="U811" s="6">
        <v>152775</v>
      </c>
      <c r="V811" s="6">
        <v>-13936</v>
      </c>
      <c r="W811" s="6">
        <v>0</v>
      </c>
      <c r="X811" s="6">
        <v>221</v>
      </c>
      <c r="Y811" s="6"/>
      <c r="Z811" s="6"/>
      <c r="AA811" s="6"/>
      <c r="AB811" s="6">
        <v>79</v>
      </c>
      <c r="AC811" s="6">
        <v>2194</v>
      </c>
      <c r="AD811" s="6">
        <v>117</v>
      </c>
      <c r="AE811" s="6">
        <v>21574</v>
      </c>
      <c r="AF811" s="6">
        <v>28510</v>
      </c>
    </row>
    <row r="812" spans="1:32" x14ac:dyDescent="0.35">
      <c r="A812" s="1">
        <v>43229</v>
      </c>
      <c r="B812" s="6">
        <v>4358207</v>
      </c>
      <c r="C812" s="6">
        <v>11037</v>
      </c>
      <c r="D812" s="6">
        <v>5200</v>
      </c>
      <c r="E812" s="6">
        <v>1815</v>
      </c>
      <c r="F812" s="6">
        <v>4283652</v>
      </c>
      <c r="G812" s="6">
        <v>4144891</v>
      </c>
      <c r="H812" s="6">
        <v>2395528</v>
      </c>
      <c r="I812" s="6">
        <v>0</v>
      </c>
      <c r="J812" s="6">
        <v>2262072</v>
      </c>
      <c r="K812" s="6">
        <v>112949</v>
      </c>
      <c r="L812" s="6">
        <v>20507</v>
      </c>
      <c r="M812" s="6">
        <v>26228</v>
      </c>
      <c r="N812" s="6">
        <v>90360</v>
      </c>
      <c r="O812" s="6">
        <v>290879</v>
      </c>
      <c r="P812" s="6">
        <v>1068428</v>
      </c>
      <c r="Q812" s="6">
        <v>304602</v>
      </c>
      <c r="R812" s="6">
        <v>615031</v>
      </c>
      <c r="S812" s="6">
        <v>4391</v>
      </c>
      <c r="T812" s="6">
        <v>1744972</v>
      </c>
      <c r="U812" s="6">
        <v>152544</v>
      </c>
      <c r="V812" s="6">
        <v>-13907</v>
      </c>
      <c r="W812" s="6">
        <v>64</v>
      </c>
      <c r="X812" s="6">
        <v>60</v>
      </c>
      <c r="Y812" s="6"/>
      <c r="Z812" s="6"/>
      <c r="AA812" s="6"/>
      <c r="AB812" s="6">
        <v>77</v>
      </c>
      <c r="AC812" s="6">
        <v>2194</v>
      </c>
      <c r="AD812" s="6">
        <v>80</v>
      </c>
      <c r="AE812" s="6">
        <v>21434</v>
      </c>
      <c r="AF812" s="6">
        <v>31002</v>
      </c>
    </row>
    <row r="813" spans="1:32" x14ac:dyDescent="0.35">
      <c r="A813" s="1">
        <v>43236</v>
      </c>
      <c r="B813" s="6">
        <v>4337609</v>
      </c>
      <c r="C813" s="6">
        <v>11037</v>
      </c>
      <c r="D813" s="6">
        <v>5200</v>
      </c>
      <c r="E813" s="6">
        <v>1803</v>
      </c>
      <c r="F813" s="6">
        <v>4275306</v>
      </c>
      <c r="G813" s="6">
        <v>4136872</v>
      </c>
      <c r="H813" s="6">
        <v>2386966</v>
      </c>
      <c r="I813" s="6">
        <v>0</v>
      </c>
      <c r="J813" s="6">
        <v>2253442</v>
      </c>
      <c r="K813" s="6">
        <v>112949</v>
      </c>
      <c r="L813" s="6">
        <v>20575</v>
      </c>
      <c r="M813" s="6">
        <v>28479</v>
      </c>
      <c r="N813" s="6">
        <v>61882</v>
      </c>
      <c r="O813" s="6">
        <v>329356</v>
      </c>
      <c r="P813" s="6">
        <v>1052008</v>
      </c>
      <c r="Q813" s="6">
        <v>290054</v>
      </c>
      <c r="R813" s="6">
        <v>625189</v>
      </c>
      <c r="S813" s="6">
        <v>4391</v>
      </c>
      <c r="T813" s="6">
        <v>1745514</v>
      </c>
      <c r="U813" s="6">
        <v>152249</v>
      </c>
      <c r="V813" s="6">
        <v>-13953</v>
      </c>
      <c r="W813" s="6">
        <v>65</v>
      </c>
      <c r="X813" s="6">
        <v>73</v>
      </c>
      <c r="Y813" s="6"/>
      <c r="Z813" s="6"/>
      <c r="AA813" s="6"/>
      <c r="AB813" s="6">
        <v>78</v>
      </c>
      <c r="AC813" s="6">
        <v>2195</v>
      </c>
      <c r="AD813" s="6">
        <v>80</v>
      </c>
      <c r="AE813" s="6">
        <v>21323</v>
      </c>
      <c r="AF813" s="6">
        <v>18875</v>
      </c>
    </row>
    <row r="814" spans="1:32" x14ac:dyDescent="0.35">
      <c r="A814" s="1">
        <v>43243</v>
      </c>
      <c r="B814" s="6">
        <v>4337301</v>
      </c>
      <c r="C814" s="6">
        <v>11037</v>
      </c>
      <c r="D814" s="6">
        <v>5200</v>
      </c>
      <c r="E814" s="6">
        <v>1797</v>
      </c>
      <c r="F814" s="6">
        <v>4273622</v>
      </c>
      <c r="G814" s="6">
        <v>4135605</v>
      </c>
      <c r="H814" s="6">
        <v>2387035</v>
      </c>
      <c r="I814" s="6">
        <v>0</v>
      </c>
      <c r="J814" s="6">
        <v>2253442</v>
      </c>
      <c r="K814" s="6">
        <v>112949</v>
      </c>
      <c r="L814" s="6">
        <v>20643</v>
      </c>
      <c r="M814" s="6">
        <v>28479</v>
      </c>
      <c r="N814" s="6">
        <v>84951</v>
      </c>
      <c r="O814" s="6">
        <v>306288</v>
      </c>
      <c r="P814" s="6">
        <v>1052018</v>
      </c>
      <c r="Q814" s="6">
        <v>296104</v>
      </c>
      <c r="R814" s="6">
        <v>619195</v>
      </c>
      <c r="S814" s="6">
        <v>4391</v>
      </c>
      <c r="T814" s="6">
        <v>1744179</v>
      </c>
      <c r="U814" s="6">
        <v>151837</v>
      </c>
      <c r="V814" s="6">
        <v>-13926</v>
      </c>
      <c r="W814" s="6">
        <v>0</v>
      </c>
      <c r="X814" s="6">
        <v>106</v>
      </c>
      <c r="Y814" s="6"/>
      <c r="Z814" s="6"/>
      <c r="AA814" s="6"/>
      <c r="AB814" s="6">
        <v>83</v>
      </c>
      <c r="AC814" s="6">
        <v>2196</v>
      </c>
      <c r="AD814" s="6">
        <v>82</v>
      </c>
      <c r="AE814" s="6">
        <v>21233</v>
      </c>
      <c r="AF814" s="6">
        <v>20339</v>
      </c>
    </row>
    <row r="815" spans="1:32" x14ac:dyDescent="0.35">
      <c r="A815" s="1">
        <v>43250</v>
      </c>
      <c r="B815" s="6">
        <v>4327519</v>
      </c>
      <c r="C815" s="6">
        <v>11037</v>
      </c>
      <c r="D815" s="6">
        <v>5200</v>
      </c>
      <c r="E815" s="6">
        <v>1775</v>
      </c>
      <c r="F815" s="6">
        <v>4263598</v>
      </c>
      <c r="G815" s="6">
        <v>4126081</v>
      </c>
      <c r="H815" s="6">
        <v>2387103</v>
      </c>
      <c r="I815" s="6">
        <v>0</v>
      </c>
      <c r="J815" s="6">
        <v>2253442</v>
      </c>
      <c r="K815" s="6">
        <v>112949</v>
      </c>
      <c r="L815" s="6">
        <v>20711</v>
      </c>
      <c r="M815" s="6">
        <v>28479</v>
      </c>
      <c r="N815" s="6">
        <v>84952</v>
      </c>
      <c r="O815" s="6">
        <v>306289</v>
      </c>
      <c r="P815" s="6">
        <v>1059169</v>
      </c>
      <c r="Q815" s="6">
        <v>288986</v>
      </c>
      <c r="R815" s="6">
        <v>619228</v>
      </c>
      <c r="S815" s="6">
        <v>4391</v>
      </c>
      <c r="T815" s="6">
        <v>1734588</v>
      </c>
      <c r="U815" s="6">
        <v>151289</v>
      </c>
      <c r="V815" s="6">
        <v>-13896</v>
      </c>
      <c r="W815" s="6">
        <v>0</v>
      </c>
      <c r="X815" s="6">
        <v>123</v>
      </c>
      <c r="Y815" s="6"/>
      <c r="Z815" s="6"/>
      <c r="AA815" s="6"/>
      <c r="AB815" s="6">
        <v>87</v>
      </c>
      <c r="AC815" s="6">
        <v>2193</v>
      </c>
      <c r="AD815" s="6">
        <v>63</v>
      </c>
      <c r="AE815" s="6">
        <v>21280</v>
      </c>
      <c r="AF815" s="6">
        <v>20574</v>
      </c>
    </row>
    <row r="816" spans="1:32" x14ac:dyDescent="0.35">
      <c r="A816" s="1">
        <v>43257</v>
      </c>
      <c r="B816" s="6">
        <v>4319191</v>
      </c>
      <c r="C816" s="6">
        <v>11037</v>
      </c>
      <c r="D816" s="6">
        <v>5200</v>
      </c>
      <c r="E816" s="6">
        <v>1765</v>
      </c>
      <c r="F816" s="6">
        <v>4253997</v>
      </c>
      <c r="G816" s="6">
        <v>4116856</v>
      </c>
      <c r="H816" s="6">
        <v>2377872</v>
      </c>
      <c r="I816" s="6">
        <v>0</v>
      </c>
      <c r="J816" s="6">
        <v>2242161</v>
      </c>
      <c r="K816" s="6">
        <v>114860</v>
      </c>
      <c r="L816" s="6">
        <v>20851</v>
      </c>
      <c r="M816" s="6">
        <v>0</v>
      </c>
      <c r="N816" s="6">
        <v>105885</v>
      </c>
      <c r="O816" s="6">
        <v>305415</v>
      </c>
      <c r="P816" s="6">
        <v>1051115</v>
      </c>
      <c r="Q816" s="6">
        <v>296172</v>
      </c>
      <c r="R816" s="6">
        <v>619284</v>
      </c>
      <c r="S816" s="6">
        <v>4391</v>
      </c>
      <c r="T816" s="6">
        <v>1734593</v>
      </c>
      <c r="U816" s="6">
        <v>151027</v>
      </c>
      <c r="V816" s="6">
        <v>-14006</v>
      </c>
      <c r="W816" s="6">
        <v>0</v>
      </c>
      <c r="X816" s="6">
        <v>119</v>
      </c>
      <c r="Y816" s="6"/>
      <c r="Z816" s="6"/>
      <c r="AA816" s="6"/>
      <c r="AB816" s="6">
        <v>79</v>
      </c>
      <c r="AC816" s="6">
        <v>2187</v>
      </c>
      <c r="AD816" s="6">
        <v>70</v>
      </c>
      <c r="AE816" s="6">
        <v>21327</v>
      </c>
      <c r="AF816" s="6">
        <v>21816</v>
      </c>
    </row>
    <row r="817" spans="1:32" x14ac:dyDescent="0.35">
      <c r="A817" s="1">
        <v>43264</v>
      </c>
      <c r="B817" s="6">
        <v>4324906</v>
      </c>
      <c r="C817" s="6">
        <v>11037</v>
      </c>
      <c r="D817" s="6">
        <v>5200</v>
      </c>
      <c r="E817" s="6">
        <v>1771</v>
      </c>
      <c r="F817" s="6">
        <v>4257225</v>
      </c>
      <c r="G817" s="6">
        <v>4120141</v>
      </c>
      <c r="H817" s="6">
        <v>2377998</v>
      </c>
      <c r="I817" s="6">
        <v>0</v>
      </c>
      <c r="J817" s="6">
        <v>2242161</v>
      </c>
      <c r="K817" s="6">
        <v>114860</v>
      </c>
      <c r="L817" s="6">
        <v>20977</v>
      </c>
      <c r="M817" s="6">
        <v>0</v>
      </c>
      <c r="N817" s="6">
        <v>105886</v>
      </c>
      <c r="O817" s="6">
        <v>305417</v>
      </c>
      <c r="P817" s="6">
        <v>1051134</v>
      </c>
      <c r="Q817" s="6">
        <v>296217</v>
      </c>
      <c r="R817" s="6">
        <v>619344</v>
      </c>
      <c r="S817" s="6">
        <v>2409</v>
      </c>
      <c r="T817" s="6">
        <v>1739733</v>
      </c>
      <c r="U817" s="6">
        <v>150901</v>
      </c>
      <c r="V817" s="6">
        <v>-13985</v>
      </c>
      <c r="W817" s="6">
        <v>0</v>
      </c>
      <c r="X817" s="6">
        <v>168</v>
      </c>
      <c r="Y817" s="6"/>
      <c r="Z817" s="6"/>
      <c r="AA817" s="6"/>
      <c r="AB817" s="6">
        <v>98</v>
      </c>
      <c r="AC817" s="6">
        <v>2188</v>
      </c>
      <c r="AD817" s="6">
        <v>91</v>
      </c>
      <c r="AE817" s="6">
        <v>21302</v>
      </c>
      <c r="AF817" s="6">
        <v>24281</v>
      </c>
    </row>
    <row r="818" spans="1:32" x14ac:dyDescent="0.35">
      <c r="A818" s="1">
        <v>43271</v>
      </c>
      <c r="B818" s="6">
        <v>4315896</v>
      </c>
      <c r="C818" s="6">
        <v>11037</v>
      </c>
      <c r="D818" s="6">
        <v>5200</v>
      </c>
      <c r="E818" s="6">
        <v>1776</v>
      </c>
      <c r="F818" s="6">
        <v>4248519</v>
      </c>
      <c r="G818" s="6">
        <v>4112021</v>
      </c>
      <c r="H818" s="6">
        <v>2378124</v>
      </c>
      <c r="I818" s="6">
        <v>0</v>
      </c>
      <c r="J818" s="6">
        <v>2242161</v>
      </c>
      <c r="K818" s="6">
        <v>114860</v>
      </c>
      <c r="L818" s="6">
        <v>21103</v>
      </c>
      <c r="M818" s="6">
        <v>30454</v>
      </c>
      <c r="N818" s="6">
        <v>75434</v>
      </c>
      <c r="O818" s="6">
        <v>305419</v>
      </c>
      <c r="P818" s="6">
        <v>1051152</v>
      </c>
      <c r="Q818" s="6">
        <v>296261</v>
      </c>
      <c r="R818" s="6">
        <v>619404</v>
      </c>
      <c r="S818" s="6">
        <v>2409</v>
      </c>
      <c r="T818" s="6">
        <v>1731488</v>
      </c>
      <c r="U818" s="6">
        <v>150291</v>
      </c>
      <c r="V818" s="6">
        <v>-13954</v>
      </c>
      <c r="W818" s="6">
        <v>0</v>
      </c>
      <c r="X818" s="6">
        <v>162</v>
      </c>
      <c r="Y818" s="6"/>
      <c r="Z818" s="6"/>
      <c r="AA818" s="6"/>
      <c r="AB818" s="6">
        <v>91</v>
      </c>
      <c r="AC818" s="6">
        <v>2189</v>
      </c>
      <c r="AD818" s="6">
        <v>95</v>
      </c>
      <c r="AE818" s="6">
        <v>21113</v>
      </c>
      <c r="AF818" s="6">
        <v>24163</v>
      </c>
    </row>
    <row r="819" spans="1:32" x14ac:dyDescent="0.35">
      <c r="A819" s="1">
        <v>43278</v>
      </c>
      <c r="B819" s="6">
        <v>4305491</v>
      </c>
      <c r="C819" s="6">
        <v>11037</v>
      </c>
      <c r="D819" s="6">
        <v>5200</v>
      </c>
      <c r="E819" s="6">
        <v>1773</v>
      </c>
      <c r="F819" s="6">
        <v>4237919</v>
      </c>
      <c r="G819" s="6">
        <v>4101930</v>
      </c>
      <c r="H819" s="6">
        <v>2378250</v>
      </c>
      <c r="I819" s="6">
        <v>0</v>
      </c>
      <c r="J819" s="6">
        <v>2242161</v>
      </c>
      <c r="K819" s="6">
        <v>114860</v>
      </c>
      <c r="L819" s="6">
        <v>21229</v>
      </c>
      <c r="M819" s="6">
        <v>30454</v>
      </c>
      <c r="N819" s="6">
        <v>75435</v>
      </c>
      <c r="O819" s="6">
        <v>305421</v>
      </c>
      <c r="P819" s="6">
        <v>1051171</v>
      </c>
      <c r="Q819" s="6">
        <v>296305</v>
      </c>
      <c r="R819" s="6">
        <v>619464</v>
      </c>
      <c r="S819" s="6">
        <v>2409</v>
      </c>
      <c r="T819" s="6">
        <v>1721271</v>
      </c>
      <c r="U819" s="6">
        <v>149733</v>
      </c>
      <c r="V819" s="6">
        <v>-13924</v>
      </c>
      <c r="W819" s="6">
        <v>0</v>
      </c>
      <c r="X819" s="6">
        <v>181</v>
      </c>
      <c r="Y819" s="6"/>
      <c r="Z819" s="6"/>
      <c r="AA819" s="6"/>
      <c r="AB819" s="6">
        <v>189</v>
      </c>
      <c r="AC819" s="6">
        <v>2188</v>
      </c>
      <c r="AD819" s="6">
        <v>90</v>
      </c>
      <c r="AE819" s="6">
        <v>21093</v>
      </c>
      <c r="AF819" s="6">
        <v>24291</v>
      </c>
    </row>
    <row r="820" spans="1:32" x14ac:dyDescent="0.35">
      <c r="A820" s="1">
        <v>43285</v>
      </c>
      <c r="B820" s="6">
        <v>4289764</v>
      </c>
      <c r="C820" s="6">
        <v>11037</v>
      </c>
      <c r="D820" s="6">
        <v>5200</v>
      </c>
      <c r="E820" s="6">
        <v>1756</v>
      </c>
      <c r="F820" s="6">
        <v>4219771</v>
      </c>
      <c r="G820" s="6">
        <v>4084058</v>
      </c>
      <c r="H820" s="6">
        <v>2360377</v>
      </c>
      <c r="I820" s="6">
        <v>0</v>
      </c>
      <c r="J820" s="6">
        <v>2224161</v>
      </c>
      <c r="K820" s="6">
        <v>114860</v>
      </c>
      <c r="L820" s="6">
        <v>21356</v>
      </c>
      <c r="M820" s="6">
        <v>1132</v>
      </c>
      <c r="N820" s="6">
        <v>93310</v>
      </c>
      <c r="O820" s="6">
        <v>307879</v>
      </c>
      <c r="P820" s="6">
        <v>1042539</v>
      </c>
      <c r="Q820" s="6">
        <v>295992</v>
      </c>
      <c r="R820" s="6">
        <v>619525</v>
      </c>
      <c r="S820" s="6">
        <v>2409</v>
      </c>
      <c r="T820" s="6">
        <v>1721272</v>
      </c>
      <c r="U820" s="6">
        <v>149476</v>
      </c>
      <c r="V820" s="6">
        <v>-13932</v>
      </c>
      <c r="W820" s="6">
        <v>0</v>
      </c>
      <c r="X820" s="6">
        <v>169</v>
      </c>
      <c r="Y820" s="6"/>
      <c r="Z820" s="6"/>
      <c r="AA820" s="6"/>
      <c r="AB820" s="6">
        <v>236</v>
      </c>
      <c r="AC820" s="6">
        <v>2182</v>
      </c>
      <c r="AD820" s="6">
        <v>1091</v>
      </c>
      <c r="AE820" s="6">
        <v>21147</v>
      </c>
      <c r="AF820" s="6">
        <v>25634</v>
      </c>
    </row>
    <row r="821" spans="1:32" x14ac:dyDescent="0.35">
      <c r="A821" s="1">
        <v>43292</v>
      </c>
      <c r="B821" s="6">
        <v>4291201</v>
      </c>
      <c r="C821" s="6">
        <v>11037</v>
      </c>
      <c r="D821" s="6">
        <v>5200</v>
      </c>
      <c r="E821" s="6">
        <v>1750</v>
      </c>
      <c r="F821" s="6">
        <v>4219750</v>
      </c>
      <c r="G821" s="6">
        <v>4084188</v>
      </c>
      <c r="H821" s="6">
        <v>2360504</v>
      </c>
      <c r="I821" s="6">
        <v>0</v>
      </c>
      <c r="J821" s="6">
        <v>2224161</v>
      </c>
      <c r="K821" s="6">
        <v>114860</v>
      </c>
      <c r="L821" s="6">
        <v>21483</v>
      </c>
      <c r="M821" s="6">
        <v>1133</v>
      </c>
      <c r="N821" s="6">
        <v>93310</v>
      </c>
      <c r="O821" s="6">
        <v>307881</v>
      </c>
      <c r="P821" s="6">
        <v>1042558</v>
      </c>
      <c r="Q821" s="6">
        <v>296037</v>
      </c>
      <c r="R821" s="6">
        <v>619586</v>
      </c>
      <c r="S821" s="6">
        <v>2409</v>
      </c>
      <c r="T821" s="6">
        <v>1721275</v>
      </c>
      <c r="U821" s="6">
        <v>149265</v>
      </c>
      <c r="V821" s="6">
        <v>-13904</v>
      </c>
      <c r="W821" s="6">
        <v>0</v>
      </c>
      <c r="X821" s="6">
        <v>200</v>
      </c>
      <c r="Y821" s="6"/>
      <c r="Z821" s="6"/>
      <c r="AA821" s="6"/>
      <c r="AB821" s="6">
        <v>203</v>
      </c>
      <c r="AC821" s="6">
        <v>2183</v>
      </c>
      <c r="AD821" s="6">
        <v>96</v>
      </c>
      <c r="AE821" s="6">
        <v>21148</v>
      </c>
      <c r="AF821" s="6">
        <v>28124</v>
      </c>
    </row>
    <row r="822" spans="1:32" x14ac:dyDescent="0.35">
      <c r="A822" s="1">
        <v>43299</v>
      </c>
      <c r="B822" s="6">
        <v>4291615</v>
      </c>
      <c r="C822" s="6">
        <v>11037</v>
      </c>
      <c r="D822" s="6">
        <v>5200</v>
      </c>
      <c r="E822" s="6">
        <v>1758</v>
      </c>
      <c r="F822" s="6">
        <v>4219778</v>
      </c>
      <c r="G822" s="6">
        <v>4084466</v>
      </c>
      <c r="H822" s="6">
        <v>2359766</v>
      </c>
      <c r="I822" s="6">
        <v>0</v>
      </c>
      <c r="J822" s="6">
        <v>2224429</v>
      </c>
      <c r="K822" s="6">
        <v>113886</v>
      </c>
      <c r="L822" s="6">
        <v>21451</v>
      </c>
      <c r="M822" s="6">
        <v>30302</v>
      </c>
      <c r="N822" s="6">
        <v>63008</v>
      </c>
      <c r="O822" s="6">
        <v>310067</v>
      </c>
      <c r="P822" s="6">
        <v>1040534</v>
      </c>
      <c r="Q822" s="6">
        <v>296154</v>
      </c>
      <c r="R822" s="6">
        <v>619701</v>
      </c>
      <c r="S822" s="6">
        <v>2409</v>
      </c>
      <c r="T822" s="6">
        <v>1722291</v>
      </c>
      <c r="U822" s="6">
        <v>148967</v>
      </c>
      <c r="V822" s="6">
        <v>-13879</v>
      </c>
      <c r="W822" s="6">
        <v>0</v>
      </c>
      <c r="X822" s="6">
        <v>224</v>
      </c>
      <c r="Y822" s="6"/>
      <c r="Z822" s="6"/>
      <c r="AA822" s="6"/>
      <c r="AB822" s="6">
        <v>207</v>
      </c>
      <c r="AC822" s="6">
        <v>2185</v>
      </c>
      <c r="AD822" s="6">
        <v>91</v>
      </c>
      <c r="AE822" s="6">
        <v>20967</v>
      </c>
      <c r="AF822" s="6">
        <v>28682</v>
      </c>
    </row>
    <row r="823" spans="1:32" x14ac:dyDescent="0.35">
      <c r="A823" s="1">
        <v>43306</v>
      </c>
      <c r="B823" s="6">
        <v>4277681</v>
      </c>
      <c r="C823" s="6">
        <v>11037</v>
      </c>
      <c r="D823" s="6">
        <v>5200</v>
      </c>
      <c r="E823" s="6">
        <v>1763</v>
      </c>
      <c r="F823" s="6">
        <v>4206475</v>
      </c>
      <c r="G823" s="6">
        <v>4071830</v>
      </c>
      <c r="H823" s="6">
        <v>2359893</v>
      </c>
      <c r="I823" s="6">
        <v>0</v>
      </c>
      <c r="J823" s="6">
        <v>2224429</v>
      </c>
      <c r="K823" s="6">
        <v>113886</v>
      </c>
      <c r="L823" s="6">
        <v>21578</v>
      </c>
      <c r="M823" s="6">
        <v>30302</v>
      </c>
      <c r="N823" s="6">
        <v>63008</v>
      </c>
      <c r="O823" s="6">
        <v>310069</v>
      </c>
      <c r="P823" s="6">
        <v>1040552</v>
      </c>
      <c r="Q823" s="6">
        <v>296199</v>
      </c>
      <c r="R823" s="6">
        <v>619762</v>
      </c>
      <c r="S823" s="6">
        <v>2409</v>
      </c>
      <c r="T823" s="6">
        <v>1709528</v>
      </c>
      <c r="U823" s="6">
        <v>148257</v>
      </c>
      <c r="V823" s="6">
        <v>-13849</v>
      </c>
      <c r="W823" s="6">
        <v>0</v>
      </c>
      <c r="X823" s="6">
        <v>236</v>
      </c>
      <c r="Y823" s="6"/>
      <c r="Z823" s="6"/>
      <c r="AA823" s="6"/>
      <c r="AB823" s="6">
        <v>202</v>
      </c>
      <c r="AC823" s="6">
        <v>2186</v>
      </c>
      <c r="AD823" s="6">
        <v>122</v>
      </c>
      <c r="AE823" s="6">
        <v>21136</v>
      </c>
      <c r="AF823" s="6">
        <v>27845</v>
      </c>
    </row>
    <row r="824" spans="1:32" x14ac:dyDescent="0.35">
      <c r="A824" s="1">
        <v>43313</v>
      </c>
      <c r="B824" s="6">
        <v>4255653</v>
      </c>
      <c r="C824" s="6">
        <v>11037</v>
      </c>
      <c r="D824" s="6">
        <v>5200</v>
      </c>
      <c r="E824" s="6">
        <v>1767</v>
      </c>
      <c r="F824" s="6">
        <v>4183227</v>
      </c>
      <c r="G824" s="6">
        <v>4048829</v>
      </c>
      <c r="H824" s="6">
        <v>2336876</v>
      </c>
      <c r="I824" s="6">
        <v>0</v>
      </c>
      <c r="J824" s="6">
        <v>2200589</v>
      </c>
      <c r="K824" s="6">
        <v>114592</v>
      </c>
      <c r="L824" s="6">
        <v>21695</v>
      </c>
      <c r="M824" s="6">
        <v>23069</v>
      </c>
      <c r="N824" s="6">
        <v>39939</v>
      </c>
      <c r="O824" s="6">
        <v>329380</v>
      </c>
      <c r="P824" s="6">
        <v>1028048</v>
      </c>
      <c r="Q824" s="6">
        <v>296622</v>
      </c>
      <c r="R824" s="6">
        <v>619818</v>
      </c>
      <c r="S824" s="6">
        <v>2409</v>
      </c>
      <c r="T824" s="6">
        <v>1709544</v>
      </c>
      <c r="U824" s="6">
        <v>148003</v>
      </c>
      <c r="V824" s="6">
        <v>-13833</v>
      </c>
      <c r="W824" s="6">
        <v>0</v>
      </c>
      <c r="X824" s="6">
        <v>228</v>
      </c>
      <c r="Y824" s="6"/>
      <c r="Z824" s="6"/>
      <c r="AA824" s="6"/>
      <c r="AB824" s="6">
        <v>202</v>
      </c>
      <c r="AC824" s="6">
        <v>2179</v>
      </c>
      <c r="AD824" s="6">
        <v>100</v>
      </c>
      <c r="AE824" s="6">
        <v>21069</v>
      </c>
      <c r="AF824" s="6">
        <v>29155</v>
      </c>
    </row>
    <row r="825" spans="1:32" x14ac:dyDescent="0.35">
      <c r="A825" s="1">
        <v>43320</v>
      </c>
      <c r="B825" s="6">
        <v>4258030</v>
      </c>
      <c r="C825" s="6">
        <v>11037</v>
      </c>
      <c r="D825" s="6">
        <v>5200</v>
      </c>
      <c r="E825" s="6">
        <v>1783</v>
      </c>
      <c r="F825" s="6">
        <v>4183120</v>
      </c>
      <c r="G825" s="6">
        <v>4048879</v>
      </c>
      <c r="H825" s="6">
        <v>2336925</v>
      </c>
      <c r="I825" s="6">
        <v>0</v>
      </c>
      <c r="J825" s="6">
        <v>2200589</v>
      </c>
      <c r="K825" s="6">
        <v>114592</v>
      </c>
      <c r="L825" s="6">
        <v>21744</v>
      </c>
      <c r="M825" s="6">
        <v>23069</v>
      </c>
      <c r="N825" s="6">
        <v>63772</v>
      </c>
      <c r="O825" s="6">
        <v>305548</v>
      </c>
      <c r="P825" s="6">
        <v>1028055</v>
      </c>
      <c r="Q825" s="6">
        <v>296639</v>
      </c>
      <c r="R825" s="6">
        <v>619841</v>
      </c>
      <c r="S825" s="6">
        <v>2409</v>
      </c>
      <c r="T825" s="6">
        <v>1709545</v>
      </c>
      <c r="U825" s="6">
        <v>147790</v>
      </c>
      <c r="V825" s="6">
        <v>-13804</v>
      </c>
      <c r="W825" s="6">
        <v>0</v>
      </c>
      <c r="X825" s="6">
        <v>255</v>
      </c>
      <c r="Y825" s="6"/>
      <c r="Z825" s="6"/>
      <c r="AA825" s="6"/>
      <c r="AB825" s="6">
        <v>194</v>
      </c>
      <c r="AC825" s="6">
        <v>2180</v>
      </c>
      <c r="AD825" s="6">
        <v>100</v>
      </c>
      <c r="AE825" s="6">
        <v>21052</v>
      </c>
      <c r="AF825" s="6">
        <v>31645</v>
      </c>
    </row>
    <row r="826" spans="1:32" x14ac:dyDescent="0.35">
      <c r="A826" s="1">
        <v>43327</v>
      </c>
      <c r="B826" s="6">
        <v>4228924</v>
      </c>
      <c r="C826" s="6">
        <v>11037</v>
      </c>
      <c r="D826" s="6">
        <v>5200</v>
      </c>
      <c r="E826" s="6">
        <v>1784</v>
      </c>
      <c r="F826" s="6">
        <v>4168851</v>
      </c>
      <c r="G826" s="6">
        <v>4034988</v>
      </c>
      <c r="H826" s="6">
        <v>2324391</v>
      </c>
      <c r="I826" s="6">
        <v>0</v>
      </c>
      <c r="J826" s="6">
        <v>2188006</v>
      </c>
      <c r="K826" s="6">
        <v>114592</v>
      </c>
      <c r="L826" s="6">
        <v>21793</v>
      </c>
      <c r="M826" s="6">
        <v>0</v>
      </c>
      <c r="N826" s="6">
        <v>63772</v>
      </c>
      <c r="O826" s="6">
        <v>360363</v>
      </c>
      <c r="P826" s="6">
        <v>1016026</v>
      </c>
      <c r="Q826" s="6">
        <v>258449</v>
      </c>
      <c r="R826" s="6">
        <v>625780</v>
      </c>
      <c r="S826" s="6">
        <v>2409</v>
      </c>
      <c r="T826" s="6">
        <v>1708187</v>
      </c>
      <c r="U826" s="6">
        <v>147461</v>
      </c>
      <c r="V826" s="6">
        <v>-13844</v>
      </c>
      <c r="W826" s="6">
        <v>0</v>
      </c>
      <c r="X826" s="6">
        <v>246</v>
      </c>
      <c r="Y826" s="6"/>
      <c r="Z826" s="6"/>
      <c r="AA826" s="6"/>
      <c r="AB826" s="6">
        <v>189</v>
      </c>
      <c r="AC826" s="6">
        <v>2182</v>
      </c>
      <c r="AD826" s="6">
        <v>106</v>
      </c>
      <c r="AE826" s="6">
        <v>20788</v>
      </c>
      <c r="AF826" s="6">
        <v>17068</v>
      </c>
    </row>
    <row r="827" spans="1:32" x14ac:dyDescent="0.35">
      <c r="A827" s="1">
        <v>43334</v>
      </c>
      <c r="B827" s="6">
        <v>4228818</v>
      </c>
      <c r="C827" s="6">
        <v>11037</v>
      </c>
      <c r="D827" s="6">
        <v>5200</v>
      </c>
      <c r="E827" s="6">
        <v>1791</v>
      </c>
      <c r="F827" s="6">
        <v>4167217</v>
      </c>
      <c r="G827" s="6">
        <v>4033680</v>
      </c>
      <c r="H827" s="6">
        <v>2324540</v>
      </c>
      <c r="I827" s="6">
        <v>100</v>
      </c>
      <c r="J827" s="6">
        <v>2188006</v>
      </c>
      <c r="K827" s="6">
        <v>114592</v>
      </c>
      <c r="L827" s="6">
        <v>21842</v>
      </c>
      <c r="M827" s="6">
        <v>20932</v>
      </c>
      <c r="N827" s="6">
        <v>77244</v>
      </c>
      <c r="O827" s="6">
        <v>326060</v>
      </c>
      <c r="P827" s="6">
        <v>1016033</v>
      </c>
      <c r="Q827" s="6">
        <v>267171</v>
      </c>
      <c r="R827" s="6">
        <v>617099</v>
      </c>
      <c r="S827" s="6">
        <v>2409</v>
      </c>
      <c r="T827" s="6">
        <v>1706731</v>
      </c>
      <c r="U827" s="6">
        <v>147068</v>
      </c>
      <c r="V827" s="6">
        <v>-13815</v>
      </c>
      <c r="W827" s="6">
        <v>0</v>
      </c>
      <c r="X827" s="6">
        <v>285</v>
      </c>
      <c r="Y827" s="6"/>
      <c r="Z827" s="6"/>
      <c r="AA827" s="6"/>
      <c r="AB827" s="6">
        <v>54</v>
      </c>
      <c r="AC827" s="6">
        <v>2183</v>
      </c>
      <c r="AD827" s="6">
        <v>68</v>
      </c>
      <c r="AE827" s="6">
        <v>21080</v>
      </c>
      <c r="AF827" s="6">
        <v>18468</v>
      </c>
    </row>
    <row r="828" spans="1:32" x14ac:dyDescent="0.35">
      <c r="A828" s="1">
        <v>43341</v>
      </c>
      <c r="B828" s="6">
        <v>4218914</v>
      </c>
      <c r="C828" s="6">
        <v>11037</v>
      </c>
      <c r="D828" s="6">
        <v>5200</v>
      </c>
      <c r="E828" s="6">
        <v>1768</v>
      </c>
      <c r="F828" s="6">
        <v>4157058</v>
      </c>
      <c r="G828" s="6">
        <v>4024004</v>
      </c>
      <c r="H828" s="6">
        <v>2324589</v>
      </c>
      <c r="I828" s="6">
        <v>100</v>
      </c>
      <c r="J828" s="6">
        <v>2188006</v>
      </c>
      <c r="K828" s="6">
        <v>114592</v>
      </c>
      <c r="L828" s="6">
        <v>21891</v>
      </c>
      <c r="M828" s="6">
        <v>20932</v>
      </c>
      <c r="N828" s="6">
        <v>77244</v>
      </c>
      <c r="O828" s="6">
        <v>326061</v>
      </c>
      <c r="P828" s="6">
        <v>1016040</v>
      </c>
      <c r="Q828" s="6">
        <v>267189</v>
      </c>
      <c r="R828" s="6">
        <v>617123</v>
      </c>
      <c r="S828" s="6">
        <v>2409</v>
      </c>
      <c r="T828" s="6">
        <v>1697006</v>
      </c>
      <c r="U828" s="6">
        <v>146528</v>
      </c>
      <c r="V828" s="6">
        <v>-13785</v>
      </c>
      <c r="W828" s="6">
        <v>0</v>
      </c>
      <c r="X828" s="6">
        <v>311</v>
      </c>
      <c r="Y828" s="6"/>
      <c r="Z828" s="6"/>
      <c r="AA828" s="6"/>
      <c r="AB828" s="6">
        <v>76</v>
      </c>
      <c r="AC828" s="6">
        <v>2183</v>
      </c>
      <c r="AD828" s="6">
        <v>92</v>
      </c>
      <c r="AE828" s="6">
        <v>21098</v>
      </c>
      <c r="AF828" s="6">
        <v>18685</v>
      </c>
    </row>
    <row r="829" spans="1:32" x14ac:dyDescent="0.35">
      <c r="A829" s="1">
        <v>43348</v>
      </c>
      <c r="B829" s="6">
        <v>4208496</v>
      </c>
      <c r="C829" s="6">
        <v>11037</v>
      </c>
      <c r="D829" s="6">
        <v>5200</v>
      </c>
      <c r="E829" s="6">
        <v>1755</v>
      </c>
      <c r="F829" s="6">
        <v>4145369</v>
      </c>
      <c r="G829" s="6">
        <v>4012617</v>
      </c>
      <c r="H829" s="6">
        <v>2313202</v>
      </c>
      <c r="I829" s="6">
        <v>100</v>
      </c>
      <c r="J829" s="6">
        <v>2175602</v>
      </c>
      <c r="K829" s="6">
        <v>115579</v>
      </c>
      <c r="L829" s="6">
        <v>21921</v>
      </c>
      <c r="M829" s="6">
        <v>0</v>
      </c>
      <c r="N829" s="6">
        <v>102160</v>
      </c>
      <c r="O829" s="6">
        <v>315819</v>
      </c>
      <c r="P829" s="6">
        <v>1010628</v>
      </c>
      <c r="Q829" s="6">
        <v>267464</v>
      </c>
      <c r="R829" s="6">
        <v>617130</v>
      </c>
      <c r="S829" s="6">
        <v>2409</v>
      </c>
      <c r="T829" s="6">
        <v>1697006</v>
      </c>
      <c r="U829" s="6">
        <v>146268</v>
      </c>
      <c r="V829" s="6">
        <v>-13776</v>
      </c>
      <c r="W829" s="6">
        <v>0</v>
      </c>
      <c r="X829" s="6">
        <v>261</v>
      </c>
      <c r="Y829" s="6"/>
      <c r="Z829" s="6"/>
      <c r="AA829" s="6"/>
      <c r="AB829" s="6">
        <v>188</v>
      </c>
      <c r="AC829" s="6">
        <v>2179</v>
      </c>
      <c r="AD829" s="6">
        <v>90</v>
      </c>
      <c r="AE829" s="6">
        <v>21034</v>
      </c>
      <c r="AF829" s="6">
        <v>19924</v>
      </c>
    </row>
    <row r="830" spans="1:32" x14ac:dyDescent="0.35">
      <c r="A830" s="1">
        <v>43355</v>
      </c>
      <c r="B830" s="6">
        <v>4210812</v>
      </c>
      <c r="C830" s="6">
        <v>11037</v>
      </c>
      <c r="D830" s="6">
        <v>5200</v>
      </c>
      <c r="E830" s="6">
        <v>1759</v>
      </c>
      <c r="F830" s="6">
        <v>4145252</v>
      </c>
      <c r="G830" s="6">
        <v>4012629</v>
      </c>
      <c r="H830" s="6">
        <v>2313204</v>
      </c>
      <c r="I830" s="6">
        <v>100</v>
      </c>
      <c r="J830" s="6">
        <v>2175602</v>
      </c>
      <c r="K830" s="6">
        <v>115579</v>
      </c>
      <c r="L830" s="6">
        <v>21923</v>
      </c>
      <c r="M830" s="6">
        <v>0</v>
      </c>
      <c r="N830" s="6">
        <v>102160</v>
      </c>
      <c r="O830" s="6">
        <v>315819</v>
      </c>
      <c r="P830" s="6">
        <v>1010629</v>
      </c>
      <c r="Q830" s="6">
        <v>267465</v>
      </c>
      <c r="R830" s="6">
        <v>617131</v>
      </c>
      <c r="S830" s="6">
        <v>2409</v>
      </c>
      <c r="T830" s="6">
        <v>1697016</v>
      </c>
      <c r="U830" s="6">
        <v>146053</v>
      </c>
      <c r="V830" s="6">
        <v>-13747</v>
      </c>
      <c r="W830" s="6">
        <v>0</v>
      </c>
      <c r="X830" s="6">
        <v>317</v>
      </c>
      <c r="Y830" s="6"/>
      <c r="Z830" s="6"/>
      <c r="AA830" s="6"/>
      <c r="AB830" s="6">
        <v>143</v>
      </c>
      <c r="AC830" s="6">
        <v>2180</v>
      </c>
      <c r="AD830" s="6">
        <v>91</v>
      </c>
      <c r="AE830" s="6">
        <v>21054</v>
      </c>
      <c r="AF830" s="6">
        <v>22376</v>
      </c>
    </row>
    <row r="831" spans="1:32" x14ac:dyDescent="0.35">
      <c r="A831" s="1">
        <v>43362</v>
      </c>
      <c r="B831" s="6">
        <v>4208059</v>
      </c>
      <c r="C831" s="6">
        <v>11037</v>
      </c>
      <c r="D831" s="6">
        <v>5200</v>
      </c>
      <c r="E831" s="6">
        <v>1764</v>
      </c>
      <c r="F831" s="6">
        <v>4143254</v>
      </c>
      <c r="G831" s="6">
        <v>4010838</v>
      </c>
      <c r="H831" s="6">
        <v>2313206</v>
      </c>
      <c r="I831" s="6">
        <v>100</v>
      </c>
      <c r="J831" s="6">
        <v>2175602</v>
      </c>
      <c r="K831" s="6">
        <v>115579</v>
      </c>
      <c r="L831" s="6">
        <v>21925</v>
      </c>
      <c r="M831" s="6">
        <v>19007</v>
      </c>
      <c r="N831" s="6">
        <v>83154</v>
      </c>
      <c r="O831" s="6">
        <v>315819</v>
      </c>
      <c r="P831" s="6">
        <v>1010629</v>
      </c>
      <c r="Q831" s="6">
        <v>267466</v>
      </c>
      <c r="R831" s="6">
        <v>617132</v>
      </c>
      <c r="S831" s="6">
        <v>2409</v>
      </c>
      <c r="T831" s="6">
        <v>1695223</v>
      </c>
      <c r="U831" s="6">
        <v>145694</v>
      </c>
      <c r="V831" s="6">
        <v>-13720</v>
      </c>
      <c r="W831" s="6">
        <v>0</v>
      </c>
      <c r="X831" s="6">
        <v>442</v>
      </c>
      <c r="Y831" s="6"/>
      <c r="Z831" s="6"/>
      <c r="AA831" s="6"/>
      <c r="AB831" s="6">
        <v>134</v>
      </c>
      <c r="AC831" s="6">
        <v>2182</v>
      </c>
      <c r="AD831" s="6">
        <v>100</v>
      </c>
      <c r="AE831" s="6">
        <v>21049</v>
      </c>
      <c r="AF831" s="6">
        <v>23332</v>
      </c>
    </row>
    <row r="832" spans="1:32" x14ac:dyDescent="0.35">
      <c r="A832" s="1">
        <v>43369</v>
      </c>
      <c r="B832" s="6">
        <v>4192909</v>
      </c>
      <c r="C832" s="6">
        <v>11037</v>
      </c>
      <c r="D832" s="6">
        <v>5200</v>
      </c>
      <c r="E832" s="6">
        <v>1766</v>
      </c>
      <c r="F832" s="6">
        <v>4129019</v>
      </c>
      <c r="G832" s="6">
        <v>3997380</v>
      </c>
      <c r="H832" s="6">
        <v>2313208</v>
      </c>
      <c r="I832" s="6">
        <v>100</v>
      </c>
      <c r="J832" s="6">
        <v>2175602</v>
      </c>
      <c r="K832" s="6">
        <v>115579</v>
      </c>
      <c r="L832" s="6">
        <v>21928</v>
      </c>
      <c r="M832" s="6">
        <v>19033</v>
      </c>
      <c r="N832" s="6">
        <v>83128</v>
      </c>
      <c r="O832" s="6">
        <v>315819</v>
      </c>
      <c r="P832" s="6">
        <v>1010629</v>
      </c>
      <c r="Q832" s="6">
        <v>267467</v>
      </c>
      <c r="R832" s="6">
        <v>617133</v>
      </c>
      <c r="S832" s="6">
        <v>2409</v>
      </c>
      <c r="T832" s="6">
        <v>1681763</v>
      </c>
      <c r="U832" s="6">
        <v>144968</v>
      </c>
      <c r="V832" s="6">
        <v>-13688</v>
      </c>
      <c r="W832" s="6">
        <v>0</v>
      </c>
      <c r="X832" s="6">
        <v>359</v>
      </c>
      <c r="Y832" s="6"/>
      <c r="Z832" s="6"/>
      <c r="AA832" s="6"/>
      <c r="AB832" s="6">
        <v>141</v>
      </c>
      <c r="AC832" s="6">
        <v>2189</v>
      </c>
      <c r="AD832" s="6">
        <v>90</v>
      </c>
      <c r="AE832" s="6">
        <v>21077</v>
      </c>
      <c r="AF832" s="6">
        <v>22383</v>
      </c>
    </row>
    <row r="833" spans="1:32" x14ac:dyDescent="0.35">
      <c r="A833" s="1">
        <v>43376</v>
      </c>
      <c r="B833" s="6">
        <v>4174704</v>
      </c>
      <c r="C833" s="6">
        <v>11037</v>
      </c>
      <c r="D833" s="6">
        <v>5200</v>
      </c>
      <c r="E833" s="6">
        <v>1762</v>
      </c>
      <c r="F833" s="6">
        <v>4109842</v>
      </c>
      <c r="G833" s="6">
        <v>3978394</v>
      </c>
      <c r="H833" s="6">
        <v>2294210</v>
      </c>
      <c r="I833" s="6">
        <v>100</v>
      </c>
      <c r="J833" s="6">
        <v>2156595</v>
      </c>
      <c r="K833" s="6">
        <v>115579</v>
      </c>
      <c r="L833" s="6">
        <v>21936</v>
      </c>
      <c r="M833" s="6">
        <v>26</v>
      </c>
      <c r="N833" s="6">
        <v>101337</v>
      </c>
      <c r="O833" s="6">
        <v>310595</v>
      </c>
      <c r="P833" s="6">
        <v>999352</v>
      </c>
      <c r="Q833" s="6">
        <v>265763</v>
      </c>
      <c r="R833" s="6">
        <v>617137</v>
      </c>
      <c r="S833" s="6">
        <v>2409</v>
      </c>
      <c r="T833" s="6">
        <v>1681775</v>
      </c>
      <c r="U833" s="6">
        <v>144710</v>
      </c>
      <c r="V833" s="6">
        <v>-13658</v>
      </c>
      <c r="W833" s="6">
        <v>0</v>
      </c>
      <c r="X833" s="6">
        <v>397</v>
      </c>
      <c r="Y833" s="6"/>
      <c r="Z833" s="6"/>
      <c r="AA833" s="6"/>
      <c r="AB833" s="6">
        <v>134</v>
      </c>
      <c r="AC833" s="6">
        <v>2179</v>
      </c>
      <c r="AD833" s="6">
        <v>74</v>
      </c>
      <c r="AE833" s="6">
        <v>20782</v>
      </c>
      <c r="AF833" s="6">
        <v>23686</v>
      </c>
    </row>
    <row r="834" spans="1:32" x14ac:dyDescent="0.35">
      <c r="A834" s="1">
        <v>43383</v>
      </c>
      <c r="B834" s="6">
        <v>4176906</v>
      </c>
      <c r="C834" s="6">
        <v>11037</v>
      </c>
      <c r="D834" s="6">
        <v>5200</v>
      </c>
      <c r="E834" s="6">
        <v>1754</v>
      </c>
      <c r="F834" s="6">
        <v>4109467</v>
      </c>
      <c r="G834" s="6">
        <v>3978415</v>
      </c>
      <c r="H834" s="6">
        <v>2294227</v>
      </c>
      <c r="I834" s="6">
        <v>100</v>
      </c>
      <c r="J834" s="6">
        <v>2156595</v>
      </c>
      <c r="K834" s="6">
        <v>115579</v>
      </c>
      <c r="L834" s="6">
        <v>21953</v>
      </c>
      <c r="M834" s="6">
        <v>26</v>
      </c>
      <c r="N834" s="6">
        <v>101337</v>
      </c>
      <c r="O834" s="6">
        <v>310595</v>
      </c>
      <c r="P834" s="6">
        <v>999355</v>
      </c>
      <c r="Q834" s="6">
        <v>265769</v>
      </c>
      <c r="R834" s="6">
        <v>617146</v>
      </c>
      <c r="S834" s="6">
        <v>2409</v>
      </c>
      <c r="T834" s="6">
        <v>1681778</v>
      </c>
      <c r="U834" s="6">
        <v>144492</v>
      </c>
      <c r="V834" s="6">
        <v>-13629</v>
      </c>
      <c r="W834" s="6">
        <v>0</v>
      </c>
      <c r="X834" s="6">
        <v>189</v>
      </c>
      <c r="Y834" s="6"/>
      <c r="Z834" s="6"/>
      <c r="AA834" s="6"/>
      <c r="AB834" s="6">
        <v>182</v>
      </c>
      <c r="AC834" s="6">
        <v>2180</v>
      </c>
      <c r="AD834" s="6">
        <v>90</v>
      </c>
      <c r="AE834" s="6">
        <v>20854</v>
      </c>
      <c r="AF834" s="6">
        <v>26136</v>
      </c>
    </row>
    <row r="835" spans="1:32" x14ac:dyDescent="0.35">
      <c r="A835" s="1">
        <v>43390</v>
      </c>
      <c r="B835" s="6">
        <v>4175446</v>
      </c>
      <c r="C835" s="6">
        <v>11037</v>
      </c>
      <c r="D835" s="6">
        <v>5200</v>
      </c>
      <c r="E835" s="6">
        <v>1747</v>
      </c>
      <c r="F835" s="6">
        <v>4107507</v>
      </c>
      <c r="G835" s="6">
        <v>3976763</v>
      </c>
      <c r="H835" s="6">
        <v>2294245</v>
      </c>
      <c r="I835" s="6">
        <v>100</v>
      </c>
      <c r="J835" s="6">
        <v>2156595</v>
      </c>
      <c r="K835" s="6">
        <v>115579</v>
      </c>
      <c r="L835" s="6">
        <v>21971</v>
      </c>
      <c r="M835" s="6">
        <v>23833</v>
      </c>
      <c r="N835" s="6">
        <v>79615</v>
      </c>
      <c r="O835" s="6">
        <v>308510</v>
      </c>
      <c r="P835" s="6">
        <v>999357</v>
      </c>
      <c r="Q835" s="6">
        <v>265775</v>
      </c>
      <c r="R835" s="6">
        <v>617154</v>
      </c>
      <c r="S835" s="6">
        <v>2409</v>
      </c>
      <c r="T835" s="6">
        <v>1680109</v>
      </c>
      <c r="U835" s="6">
        <v>144137</v>
      </c>
      <c r="V835" s="6">
        <v>-13602</v>
      </c>
      <c r="W835" s="6">
        <v>0</v>
      </c>
      <c r="X835" s="6">
        <v>209</v>
      </c>
      <c r="Y835" s="6"/>
      <c r="Z835" s="6"/>
      <c r="AA835" s="6"/>
      <c r="AB835" s="6">
        <v>146</v>
      </c>
      <c r="AC835" s="6">
        <v>2186</v>
      </c>
      <c r="AD835" s="6">
        <v>89</v>
      </c>
      <c r="AE835" s="6">
        <v>20889</v>
      </c>
      <c r="AF835" s="6">
        <v>26638</v>
      </c>
    </row>
    <row r="836" spans="1:32" x14ac:dyDescent="0.35">
      <c r="A836" s="1">
        <v>43397</v>
      </c>
      <c r="B836" s="6">
        <v>4173070</v>
      </c>
      <c r="C836" s="6">
        <v>11037</v>
      </c>
      <c r="D836" s="6">
        <v>5200</v>
      </c>
      <c r="E836" s="6">
        <v>1746</v>
      </c>
      <c r="F836" s="6">
        <v>4103964</v>
      </c>
      <c r="G836" s="6">
        <v>3973580</v>
      </c>
      <c r="H836" s="6">
        <v>2294215</v>
      </c>
      <c r="I836" s="6">
        <v>53</v>
      </c>
      <c r="J836" s="6">
        <v>2156595</v>
      </c>
      <c r="K836" s="6">
        <v>115579</v>
      </c>
      <c r="L836" s="6">
        <v>21988</v>
      </c>
      <c r="M836" s="6">
        <v>23886</v>
      </c>
      <c r="N836" s="6">
        <v>79515</v>
      </c>
      <c r="O836" s="6">
        <v>308510</v>
      </c>
      <c r="P836" s="6">
        <v>999360</v>
      </c>
      <c r="Q836" s="6">
        <v>265781</v>
      </c>
      <c r="R836" s="6">
        <v>617162</v>
      </c>
      <c r="S836" s="6">
        <v>2409</v>
      </c>
      <c r="T836" s="6">
        <v>1676956</v>
      </c>
      <c r="U836" s="6">
        <v>143722</v>
      </c>
      <c r="V836" s="6">
        <v>-13572</v>
      </c>
      <c r="W836" s="6">
        <v>0</v>
      </c>
      <c r="X836" s="6">
        <v>234</v>
      </c>
      <c r="Y836" s="6"/>
      <c r="Z836" s="6"/>
      <c r="AA836" s="6"/>
      <c r="AB836" s="6">
        <v>126</v>
      </c>
      <c r="AC836" s="6">
        <v>2188</v>
      </c>
      <c r="AD836" s="6">
        <v>80</v>
      </c>
      <c r="AE836" s="6">
        <v>20698</v>
      </c>
      <c r="AF836" s="6">
        <v>28023</v>
      </c>
    </row>
    <row r="837" spans="1:32" x14ac:dyDescent="0.35">
      <c r="A837" s="1">
        <v>43404</v>
      </c>
      <c r="B837" s="6">
        <v>4139731</v>
      </c>
      <c r="C837" s="6">
        <v>11037</v>
      </c>
      <c r="D837" s="6">
        <v>5200</v>
      </c>
      <c r="E837" s="6">
        <v>1737</v>
      </c>
      <c r="F837" s="6">
        <v>4071724</v>
      </c>
      <c r="G837" s="6">
        <v>3941797</v>
      </c>
      <c r="H837" s="6">
        <v>2270399</v>
      </c>
      <c r="I837" s="6">
        <v>53</v>
      </c>
      <c r="J837" s="6">
        <v>2132762</v>
      </c>
      <c r="K837" s="6">
        <v>115579</v>
      </c>
      <c r="L837" s="6">
        <v>22005</v>
      </c>
      <c r="M837" s="6">
        <v>34357</v>
      </c>
      <c r="N837" s="6">
        <v>45211</v>
      </c>
      <c r="O837" s="6">
        <v>324193</v>
      </c>
      <c r="P837" s="6">
        <v>985372</v>
      </c>
      <c r="Q837" s="6">
        <v>264095</v>
      </c>
      <c r="R837" s="6">
        <v>617170</v>
      </c>
      <c r="S837" s="6">
        <v>2409</v>
      </c>
      <c r="T837" s="6">
        <v>1668989</v>
      </c>
      <c r="U837" s="6">
        <v>143237</v>
      </c>
      <c r="V837" s="6">
        <v>-13540</v>
      </c>
      <c r="W837" s="6">
        <v>0</v>
      </c>
      <c r="X837" s="6">
        <v>230</v>
      </c>
      <c r="Y837" s="6"/>
      <c r="Z837" s="6"/>
      <c r="AA837" s="6"/>
      <c r="AB837" s="6">
        <v>146</v>
      </c>
      <c r="AC837" s="6">
        <v>2210</v>
      </c>
      <c r="AD837" s="6">
        <v>80</v>
      </c>
      <c r="AE837" s="6">
        <v>20626</v>
      </c>
      <c r="AF837" s="6">
        <v>26964</v>
      </c>
    </row>
    <row r="838" spans="1:32" x14ac:dyDescent="0.35">
      <c r="A838" s="1">
        <v>43411</v>
      </c>
      <c r="B838" s="6">
        <v>4141936</v>
      </c>
      <c r="C838" s="6">
        <v>11037</v>
      </c>
      <c r="D838" s="6">
        <v>5200</v>
      </c>
      <c r="E838" s="6">
        <v>1733</v>
      </c>
      <c r="F838" s="6">
        <v>4071437</v>
      </c>
      <c r="G838" s="6">
        <v>3941834</v>
      </c>
      <c r="H838" s="6">
        <v>2270436</v>
      </c>
      <c r="I838" s="6">
        <v>53</v>
      </c>
      <c r="J838" s="6">
        <v>2132762</v>
      </c>
      <c r="K838" s="6">
        <v>115579</v>
      </c>
      <c r="L838" s="6">
        <v>22043</v>
      </c>
      <c r="M838" s="6">
        <v>34357</v>
      </c>
      <c r="N838" s="6">
        <v>59402</v>
      </c>
      <c r="O838" s="6">
        <v>310003</v>
      </c>
      <c r="P838" s="6">
        <v>985378</v>
      </c>
      <c r="Q838" s="6">
        <v>264108</v>
      </c>
      <c r="R838" s="6">
        <v>617188</v>
      </c>
      <c r="S838" s="6">
        <v>2409</v>
      </c>
      <c r="T838" s="6">
        <v>1668989</v>
      </c>
      <c r="U838" s="6">
        <v>143010</v>
      </c>
      <c r="V838" s="6">
        <v>-13510</v>
      </c>
      <c r="W838" s="6">
        <v>0</v>
      </c>
      <c r="X838" s="6">
        <v>103</v>
      </c>
      <c r="Y838" s="6"/>
      <c r="Z838" s="6"/>
      <c r="AA838" s="6"/>
      <c r="AB838" s="6">
        <v>134</v>
      </c>
      <c r="AC838" s="6">
        <v>2186</v>
      </c>
      <c r="AD838" s="6">
        <v>79</v>
      </c>
      <c r="AE838" s="6">
        <v>20717</v>
      </c>
      <c r="AF838" s="6">
        <v>29404</v>
      </c>
    </row>
    <row r="839" spans="1:32" x14ac:dyDescent="0.35">
      <c r="A839" s="1">
        <v>43418</v>
      </c>
      <c r="B839" s="6">
        <v>4145892</v>
      </c>
      <c r="C839" s="6">
        <v>11037</v>
      </c>
      <c r="D839" s="6">
        <v>5200</v>
      </c>
      <c r="E839" s="6">
        <v>1721</v>
      </c>
      <c r="F839" s="6">
        <v>4073138</v>
      </c>
      <c r="G839" s="6">
        <v>3943654</v>
      </c>
      <c r="H839" s="6">
        <v>2270420</v>
      </c>
      <c r="I839" s="6">
        <v>0</v>
      </c>
      <c r="J839" s="6">
        <v>2132762</v>
      </c>
      <c r="K839" s="6">
        <v>115579</v>
      </c>
      <c r="L839" s="6">
        <v>22080</v>
      </c>
      <c r="M839" s="6">
        <v>34304</v>
      </c>
      <c r="N839" s="6">
        <v>59403</v>
      </c>
      <c r="O839" s="6">
        <v>310003</v>
      </c>
      <c r="P839" s="6">
        <v>993899</v>
      </c>
      <c r="Q839" s="6">
        <v>255606</v>
      </c>
      <c r="R839" s="6">
        <v>617206</v>
      </c>
      <c r="S839" s="6">
        <v>2409</v>
      </c>
      <c r="T839" s="6">
        <v>1670825</v>
      </c>
      <c r="U839" s="6">
        <v>142788</v>
      </c>
      <c r="V839" s="6">
        <v>-13480</v>
      </c>
      <c r="W839" s="6">
        <v>0</v>
      </c>
      <c r="X839" s="6">
        <v>176</v>
      </c>
      <c r="Y839" s="6"/>
      <c r="Z839" s="6"/>
      <c r="AA839" s="6"/>
      <c r="AB839" s="6">
        <v>156</v>
      </c>
      <c r="AC839" s="6">
        <v>2189</v>
      </c>
      <c r="AD839" s="6">
        <v>47</v>
      </c>
      <c r="AE839" s="6">
        <v>20530</v>
      </c>
      <c r="AF839" s="6">
        <v>31867</v>
      </c>
    </row>
    <row r="840" spans="1:32" x14ac:dyDescent="0.35">
      <c r="A840" s="1">
        <v>43425</v>
      </c>
      <c r="B840" s="6">
        <v>4106198</v>
      </c>
      <c r="C840" s="6">
        <v>11037</v>
      </c>
      <c r="D840" s="6">
        <v>5200</v>
      </c>
      <c r="E840" s="6">
        <v>1698</v>
      </c>
      <c r="F840" s="6">
        <v>4046033</v>
      </c>
      <c r="G840" s="6">
        <v>3917324</v>
      </c>
      <c r="H840" s="6">
        <v>2253085</v>
      </c>
      <c r="I840" s="6">
        <v>0</v>
      </c>
      <c r="J840" s="6">
        <v>2115384</v>
      </c>
      <c r="K840" s="6">
        <v>115579</v>
      </c>
      <c r="L840" s="6">
        <v>22122</v>
      </c>
      <c r="M840" s="6">
        <v>24916</v>
      </c>
      <c r="N840" s="6">
        <v>78011</v>
      </c>
      <c r="O840" s="6">
        <v>306254</v>
      </c>
      <c r="P840" s="6">
        <v>961676</v>
      </c>
      <c r="Q840" s="6">
        <v>263716</v>
      </c>
      <c r="R840" s="6">
        <v>618512</v>
      </c>
      <c r="S840" s="6">
        <v>2409</v>
      </c>
      <c r="T840" s="6">
        <v>1661830</v>
      </c>
      <c r="U840" s="6">
        <v>142177</v>
      </c>
      <c r="V840" s="6">
        <v>-13538</v>
      </c>
      <c r="W840" s="6">
        <v>0</v>
      </c>
      <c r="X840" s="6">
        <v>71</v>
      </c>
      <c r="Y840" s="6"/>
      <c r="Z840" s="6"/>
      <c r="AA840" s="6"/>
      <c r="AB840" s="6">
        <v>73</v>
      </c>
      <c r="AC840" s="6">
        <v>2192</v>
      </c>
      <c r="AD840" s="6">
        <v>58</v>
      </c>
      <c r="AE840" s="6">
        <v>20665</v>
      </c>
      <c r="AF840" s="6">
        <v>19235</v>
      </c>
    </row>
    <row r="841" spans="1:32" x14ac:dyDescent="0.35">
      <c r="A841" s="1">
        <v>43432</v>
      </c>
      <c r="B841" s="6">
        <v>4097170</v>
      </c>
      <c r="C841" s="6">
        <v>11037</v>
      </c>
      <c r="D841" s="6">
        <v>5200</v>
      </c>
      <c r="E841" s="6">
        <v>1691</v>
      </c>
      <c r="F841" s="6">
        <v>4037288</v>
      </c>
      <c r="G841" s="6">
        <v>3908994</v>
      </c>
      <c r="H841" s="6">
        <v>2253117</v>
      </c>
      <c r="I841" s="6">
        <v>0</v>
      </c>
      <c r="J841" s="6">
        <v>2115384</v>
      </c>
      <c r="K841" s="6">
        <v>115579</v>
      </c>
      <c r="L841" s="6">
        <v>22154</v>
      </c>
      <c r="M841" s="6">
        <v>24916</v>
      </c>
      <c r="N841" s="6">
        <v>78011</v>
      </c>
      <c r="O841" s="6">
        <v>306254</v>
      </c>
      <c r="P841" s="6">
        <v>961680</v>
      </c>
      <c r="Q841" s="6">
        <v>263727</v>
      </c>
      <c r="R841" s="6">
        <v>618528</v>
      </c>
      <c r="S841" s="6">
        <v>2409</v>
      </c>
      <c r="T841" s="6">
        <v>1653468</v>
      </c>
      <c r="U841" s="6">
        <v>141721</v>
      </c>
      <c r="V841" s="6">
        <v>-13512</v>
      </c>
      <c r="W841" s="6">
        <v>0</v>
      </c>
      <c r="X841" s="6">
        <v>84</v>
      </c>
      <c r="Y841" s="6"/>
      <c r="Z841" s="6"/>
      <c r="AA841" s="6"/>
      <c r="AB841" s="6">
        <v>82</v>
      </c>
      <c r="AC841" s="6">
        <v>2200</v>
      </c>
      <c r="AD841" s="6">
        <v>68</v>
      </c>
      <c r="AE841" s="6">
        <v>20483</v>
      </c>
      <c r="AF841" s="6">
        <v>19114</v>
      </c>
    </row>
    <row r="842" spans="1:32" x14ac:dyDescent="0.35">
      <c r="A842" s="1">
        <v>43439</v>
      </c>
      <c r="B842" s="6">
        <v>4086044</v>
      </c>
      <c r="C842" s="6">
        <v>11037</v>
      </c>
      <c r="D842" s="6">
        <v>5200</v>
      </c>
      <c r="E842" s="6">
        <v>1709</v>
      </c>
      <c r="F842" s="6">
        <v>4024487</v>
      </c>
      <c r="G842" s="6">
        <v>3896430</v>
      </c>
      <c r="H842" s="6">
        <v>2240551</v>
      </c>
      <c r="I842" s="6">
        <v>0</v>
      </c>
      <c r="J842" s="6">
        <v>2101796</v>
      </c>
      <c r="K842" s="6">
        <v>116545</v>
      </c>
      <c r="L842" s="6">
        <v>22210</v>
      </c>
      <c r="M842" s="6">
        <v>0</v>
      </c>
      <c r="N842" s="6">
        <v>90541</v>
      </c>
      <c r="O842" s="6">
        <v>302120</v>
      </c>
      <c r="P842" s="6">
        <v>964792</v>
      </c>
      <c r="Q842" s="6">
        <v>264547</v>
      </c>
      <c r="R842" s="6">
        <v>618551</v>
      </c>
      <c r="S842" s="6">
        <v>2409</v>
      </c>
      <c r="T842" s="6">
        <v>1653470</v>
      </c>
      <c r="U842" s="6">
        <v>141473</v>
      </c>
      <c r="V842" s="6">
        <v>-13539</v>
      </c>
      <c r="W842" s="6">
        <v>66</v>
      </c>
      <c r="X842" s="6">
        <v>57</v>
      </c>
      <c r="Y842" s="6"/>
      <c r="Z842" s="6"/>
      <c r="AA842" s="6"/>
      <c r="AB842" s="6">
        <v>62</v>
      </c>
      <c r="AC842" s="6">
        <v>2192</v>
      </c>
      <c r="AD842" s="6">
        <v>194</v>
      </c>
      <c r="AE842" s="6">
        <v>20611</v>
      </c>
      <c r="AF842" s="6">
        <v>20545</v>
      </c>
    </row>
    <row r="843" spans="1:32" x14ac:dyDescent="0.35">
      <c r="A843" s="1">
        <v>43446</v>
      </c>
      <c r="B843" s="6">
        <v>4088314</v>
      </c>
      <c r="C843" s="6">
        <v>11037</v>
      </c>
      <c r="D843" s="6">
        <v>5200</v>
      </c>
      <c r="E843" s="6">
        <v>1722</v>
      </c>
      <c r="F843" s="6">
        <v>4024309</v>
      </c>
      <c r="G843" s="6">
        <v>3896485</v>
      </c>
      <c r="H843" s="6">
        <v>2240606</v>
      </c>
      <c r="I843" s="6">
        <v>0</v>
      </c>
      <c r="J843" s="6">
        <v>2101796</v>
      </c>
      <c r="K843" s="6">
        <v>116545</v>
      </c>
      <c r="L843" s="6">
        <v>22266</v>
      </c>
      <c r="M843" s="6">
        <v>0</v>
      </c>
      <c r="N843" s="6">
        <v>90542</v>
      </c>
      <c r="O843" s="6">
        <v>302120</v>
      </c>
      <c r="P843" s="6">
        <v>964800</v>
      </c>
      <c r="Q843" s="6">
        <v>264567</v>
      </c>
      <c r="R843" s="6">
        <v>618578</v>
      </c>
      <c r="S843" s="6">
        <v>2409</v>
      </c>
      <c r="T843" s="6">
        <v>1653470</v>
      </c>
      <c r="U843" s="6">
        <v>141265</v>
      </c>
      <c r="V843" s="6">
        <v>-13510</v>
      </c>
      <c r="W843" s="6">
        <v>0</v>
      </c>
      <c r="X843" s="6">
        <v>69</v>
      </c>
      <c r="Y843" s="6"/>
      <c r="Z843" s="6"/>
      <c r="AA843" s="6"/>
      <c r="AB843" s="6">
        <v>78</v>
      </c>
      <c r="AC843" s="6">
        <v>2195</v>
      </c>
      <c r="AD843" s="6">
        <v>120</v>
      </c>
      <c r="AE843" s="6">
        <v>20612</v>
      </c>
      <c r="AF843" s="6">
        <v>23034</v>
      </c>
    </row>
    <row r="844" spans="1:32" x14ac:dyDescent="0.35">
      <c r="A844" s="1">
        <v>43453</v>
      </c>
      <c r="B844" s="6">
        <v>4084274</v>
      </c>
      <c r="C844" s="6">
        <v>11037</v>
      </c>
      <c r="D844" s="6">
        <v>5200</v>
      </c>
      <c r="E844" s="6">
        <v>1742</v>
      </c>
      <c r="F844" s="6">
        <v>4019257</v>
      </c>
      <c r="G844" s="6">
        <v>3891757</v>
      </c>
      <c r="H844" s="6">
        <v>2240661</v>
      </c>
      <c r="I844" s="6">
        <v>0</v>
      </c>
      <c r="J844" s="6">
        <v>2101796</v>
      </c>
      <c r="K844" s="6">
        <v>116545</v>
      </c>
      <c r="L844" s="6">
        <v>22321</v>
      </c>
      <c r="M844" s="6">
        <v>18209</v>
      </c>
      <c r="N844" s="6">
        <v>72333</v>
      </c>
      <c r="O844" s="6">
        <v>302120</v>
      </c>
      <c r="P844" s="6">
        <v>964808</v>
      </c>
      <c r="Q844" s="6">
        <v>264587</v>
      </c>
      <c r="R844" s="6">
        <v>618604</v>
      </c>
      <c r="S844" s="6">
        <v>2409</v>
      </c>
      <c r="T844" s="6">
        <v>1648687</v>
      </c>
      <c r="U844" s="6">
        <v>140884</v>
      </c>
      <c r="V844" s="6">
        <v>-13479</v>
      </c>
      <c r="W844" s="6">
        <v>0</v>
      </c>
      <c r="X844" s="6">
        <v>95</v>
      </c>
      <c r="Y844" s="6"/>
      <c r="Z844" s="6"/>
      <c r="AA844" s="6"/>
      <c r="AB844" s="6">
        <v>189</v>
      </c>
      <c r="AC844" s="6">
        <v>2199</v>
      </c>
      <c r="AD844" s="6">
        <v>70</v>
      </c>
      <c r="AE844" s="6">
        <v>20761</v>
      </c>
      <c r="AF844" s="6">
        <v>23819</v>
      </c>
    </row>
    <row r="845" spans="1:32" x14ac:dyDescent="0.35">
      <c r="A845" s="1">
        <v>43460</v>
      </c>
      <c r="B845" s="6">
        <v>4075636</v>
      </c>
      <c r="C845" s="6">
        <v>11037</v>
      </c>
      <c r="D845" s="6">
        <v>5200</v>
      </c>
      <c r="E845" s="6">
        <v>1726</v>
      </c>
      <c r="F845" s="6">
        <v>4007135</v>
      </c>
      <c r="G845" s="6">
        <v>3880249</v>
      </c>
      <c r="H845" s="6">
        <v>2240717</v>
      </c>
      <c r="I845" s="6">
        <v>0</v>
      </c>
      <c r="J845" s="6">
        <v>2101796</v>
      </c>
      <c r="K845" s="6">
        <v>116545</v>
      </c>
      <c r="L845" s="6">
        <v>22376</v>
      </c>
      <c r="M845" s="6">
        <v>18209</v>
      </c>
      <c r="N845" s="6">
        <v>72334</v>
      </c>
      <c r="O845" s="6">
        <v>302121</v>
      </c>
      <c r="P845" s="6">
        <v>964817</v>
      </c>
      <c r="Q845" s="6">
        <v>264607</v>
      </c>
      <c r="R845" s="6">
        <v>618630</v>
      </c>
      <c r="S845" s="6">
        <v>2409</v>
      </c>
      <c r="T845" s="6">
        <v>1637123</v>
      </c>
      <c r="U845" s="6">
        <v>140257</v>
      </c>
      <c r="V845" s="6">
        <v>-13448</v>
      </c>
      <c r="W845" s="6">
        <v>0</v>
      </c>
      <c r="X845" s="6">
        <v>77</v>
      </c>
      <c r="Y845" s="6"/>
      <c r="Z845" s="6"/>
      <c r="AA845" s="6"/>
      <c r="AB845" s="6">
        <v>239</v>
      </c>
      <c r="AC845" s="6">
        <v>2206</v>
      </c>
      <c r="AD845" s="6">
        <v>4207</v>
      </c>
      <c r="AE845" s="6">
        <v>20874</v>
      </c>
      <c r="AF845" s="6">
        <v>23011</v>
      </c>
    </row>
    <row r="846" spans="1:32" x14ac:dyDescent="0.35">
      <c r="A846" s="1">
        <v>43467</v>
      </c>
      <c r="B846" s="6">
        <v>4058378</v>
      </c>
      <c r="C846" s="6">
        <v>11037</v>
      </c>
      <c r="D846" s="6">
        <v>5200</v>
      </c>
      <c r="E846" s="6">
        <v>1722</v>
      </c>
      <c r="F846" s="6">
        <v>3988645</v>
      </c>
      <c r="G846" s="6">
        <v>3862049</v>
      </c>
      <c r="H846" s="6">
        <v>2222517</v>
      </c>
      <c r="I846" s="6">
        <v>0</v>
      </c>
      <c r="J846" s="6">
        <v>2083586</v>
      </c>
      <c r="K846" s="6">
        <v>116545</v>
      </c>
      <c r="L846" s="6">
        <v>22386</v>
      </c>
      <c r="M846" s="6">
        <v>2091</v>
      </c>
      <c r="N846" s="6">
        <v>92622</v>
      </c>
      <c r="O846" s="6">
        <v>290222</v>
      </c>
      <c r="P846" s="6">
        <v>958061</v>
      </c>
      <c r="Q846" s="6">
        <v>260887</v>
      </c>
      <c r="R846" s="6">
        <v>618634</v>
      </c>
      <c r="S846" s="6">
        <v>2409</v>
      </c>
      <c r="T846" s="6">
        <v>1637123</v>
      </c>
      <c r="U846" s="6">
        <v>140008</v>
      </c>
      <c r="V846" s="6">
        <v>-13418</v>
      </c>
      <c r="W846" s="6">
        <v>0</v>
      </c>
      <c r="X846" s="6">
        <v>6</v>
      </c>
      <c r="Y846" s="6"/>
      <c r="Z846" s="6"/>
      <c r="AA846" s="6"/>
      <c r="AB846" s="6">
        <v>209</v>
      </c>
      <c r="AC846" s="6">
        <v>2202</v>
      </c>
      <c r="AD846" s="6">
        <v>4207</v>
      </c>
      <c r="AE846" s="6">
        <v>20999</v>
      </c>
      <c r="AF846" s="6">
        <v>24158</v>
      </c>
    </row>
    <row r="847" spans="1:32" x14ac:dyDescent="0.35">
      <c r="A847" s="1">
        <v>43474</v>
      </c>
      <c r="B847" s="6">
        <v>4056563</v>
      </c>
      <c r="C847" s="6">
        <v>11037</v>
      </c>
      <c r="D847" s="6">
        <v>5200</v>
      </c>
      <c r="E847" s="6">
        <v>1745</v>
      </c>
      <c r="F847" s="6">
        <v>3988353</v>
      </c>
      <c r="G847" s="6">
        <v>3861944</v>
      </c>
      <c r="H847" s="6">
        <v>2222412</v>
      </c>
      <c r="I847" s="6">
        <v>0</v>
      </c>
      <c r="J847" s="6">
        <v>2083586</v>
      </c>
      <c r="K847" s="6">
        <v>116545</v>
      </c>
      <c r="L847" s="6">
        <v>22281</v>
      </c>
      <c r="M847" s="6">
        <v>2090</v>
      </c>
      <c r="N847" s="6">
        <v>92622</v>
      </c>
      <c r="O847" s="6">
        <v>290222</v>
      </c>
      <c r="P847" s="6">
        <v>958045</v>
      </c>
      <c r="Q847" s="6">
        <v>260849</v>
      </c>
      <c r="R847" s="6">
        <v>618585</v>
      </c>
      <c r="S847" s="6">
        <v>2409</v>
      </c>
      <c r="T847" s="6">
        <v>1637123</v>
      </c>
      <c r="U847" s="6">
        <v>139789</v>
      </c>
      <c r="V847" s="6">
        <v>-13387</v>
      </c>
      <c r="W847" s="6">
        <v>0</v>
      </c>
      <c r="X847" s="6">
        <v>7</v>
      </c>
      <c r="Y847" s="6"/>
      <c r="Z847" s="6"/>
      <c r="AA847" s="6"/>
      <c r="AB847" s="6">
        <v>189</v>
      </c>
      <c r="AC847" s="6">
        <v>2202</v>
      </c>
      <c r="AD847" s="6">
        <v>86</v>
      </c>
      <c r="AE847" s="6">
        <v>21159</v>
      </c>
      <c r="AF847" s="6">
        <v>26592</v>
      </c>
    </row>
    <row r="848" spans="1:32" x14ac:dyDescent="0.35">
      <c r="A848" s="1">
        <v>43481</v>
      </c>
      <c r="B848" s="6">
        <v>4050044</v>
      </c>
      <c r="C848" s="6">
        <v>11037</v>
      </c>
      <c r="D848" s="6">
        <v>5200</v>
      </c>
      <c r="E848" s="6">
        <v>1768</v>
      </c>
      <c r="F848" s="6">
        <v>3981427</v>
      </c>
      <c r="G848" s="6">
        <v>3855356</v>
      </c>
      <c r="H848" s="6">
        <v>2220219</v>
      </c>
      <c r="I848" s="6">
        <v>0</v>
      </c>
      <c r="J848" s="6">
        <v>2083586</v>
      </c>
      <c r="K848" s="6">
        <v>114769</v>
      </c>
      <c r="L848" s="6">
        <v>21863</v>
      </c>
      <c r="M848" s="6">
        <v>14191</v>
      </c>
      <c r="N848" s="6">
        <v>78611</v>
      </c>
      <c r="O848" s="6">
        <v>292515</v>
      </c>
      <c r="P848" s="6">
        <v>955556</v>
      </c>
      <c r="Q848" s="6">
        <v>260811</v>
      </c>
      <c r="R848" s="6">
        <v>618535</v>
      </c>
      <c r="S848" s="6">
        <v>2409</v>
      </c>
      <c r="T848" s="6">
        <v>1632729</v>
      </c>
      <c r="U848" s="6">
        <v>139410</v>
      </c>
      <c r="V848" s="6">
        <v>-13354</v>
      </c>
      <c r="W848" s="6">
        <v>0</v>
      </c>
      <c r="X848" s="6">
        <v>15</v>
      </c>
      <c r="Y848" s="6"/>
      <c r="Z848" s="6"/>
      <c r="AA848" s="6"/>
      <c r="AB848" s="6">
        <v>209</v>
      </c>
      <c r="AC848" s="6">
        <v>2204</v>
      </c>
      <c r="AD848" s="6">
        <v>88</v>
      </c>
      <c r="AE848" s="6">
        <v>20997</v>
      </c>
      <c r="AF848" s="6">
        <v>27114</v>
      </c>
    </row>
    <row r="849" spans="1:32" x14ac:dyDescent="0.35">
      <c r="A849" s="1">
        <v>43488</v>
      </c>
      <c r="B849" s="6">
        <v>4047052</v>
      </c>
      <c r="C849" s="6">
        <v>11037</v>
      </c>
      <c r="D849" s="6">
        <v>5200</v>
      </c>
      <c r="E849" s="6">
        <v>1780</v>
      </c>
      <c r="F849" s="6">
        <v>3977112</v>
      </c>
      <c r="G849" s="6">
        <v>3851419</v>
      </c>
      <c r="H849" s="6">
        <v>2220115</v>
      </c>
      <c r="I849" s="6">
        <v>0</v>
      </c>
      <c r="J849" s="6">
        <v>2083586</v>
      </c>
      <c r="K849" s="6">
        <v>114769</v>
      </c>
      <c r="L849" s="6">
        <v>21760</v>
      </c>
      <c r="M849" s="6">
        <v>14191</v>
      </c>
      <c r="N849" s="6">
        <v>78611</v>
      </c>
      <c r="O849" s="6">
        <v>292514</v>
      </c>
      <c r="P849" s="6">
        <v>955541</v>
      </c>
      <c r="Q849" s="6">
        <v>261168</v>
      </c>
      <c r="R849" s="6">
        <v>618090</v>
      </c>
      <c r="S849" s="6">
        <v>2409</v>
      </c>
      <c r="T849" s="6">
        <v>1628895</v>
      </c>
      <c r="U849" s="6">
        <v>138996</v>
      </c>
      <c r="V849" s="6">
        <v>-13322</v>
      </c>
      <c r="W849" s="6">
        <v>0</v>
      </c>
      <c r="X849" s="6">
        <v>19</v>
      </c>
      <c r="Y849" s="6"/>
      <c r="Z849" s="6"/>
      <c r="AA849" s="6"/>
      <c r="AB849" s="6">
        <v>206</v>
      </c>
      <c r="AC849" s="6">
        <v>2205</v>
      </c>
      <c r="AD849" s="6">
        <v>86</v>
      </c>
      <c r="AE849" s="6">
        <v>20930</v>
      </c>
      <c r="AF849" s="6">
        <v>28497</v>
      </c>
    </row>
    <row r="850" spans="1:32" x14ac:dyDescent="0.35">
      <c r="A850" s="1">
        <v>43495</v>
      </c>
      <c r="B850" s="6">
        <v>4039678</v>
      </c>
      <c r="C850" s="6">
        <v>11037</v>
      </c>
      <c r="D850" s="6">
        <v>5200</v>
      </c>
      <c r="E850" s="6">
        <v>1801</v>
      </c>
      <c r="F850" s="6">
        <v>3969512</v>
      </c>
      <c r="G850" s="6">
        <v>3844229</v>
      </c>
      <c r="H850" s="6">
        <v>2220012</v>
      </c>
      <c r="I850" s="6">
        <v>0</v>
      </c>
      <c r="J850" s="6">
        <v>2083586</v>
      </c>
      <c r="K850" s="6">
        <v>114769</v>
      </c>
      <c r="L850" s="6">
        <v>21656</v>
      </c>
      <c r="M850" s="6">
        <v>14191</v>
      </c>
      <c r="N850" s="6">
        <v>110357</v>
      </c>
      <c r="O850" s="6">
        <v>260766</v>
      </c>
      <c r="P850" s="6">
        <v>957302</v>
      </c>
      <c r="Q850" s="6">
        <v>259354</v>
      </c>
      <c r="R850" s="6">
        <v>618041</v>
      </c>
      <c r="S850" s="6">
        <v>2409</v>
      </c>
      <c r="T850" s="6">
        <v>1621809</v>
      </c>
      <c r="U850" s="6">
        <v>138538</v>
      </c>
      <c r="V850" s="6">
        <v>-13289</v>
      </c>
      <c r="W850" s="6">
        <v>0</v>
      </c>
      <c r="X850" s="6">
        <v>34</v>
      </c>
      <c r="Y850" s="6"/>
      <c r="Z850" s="6"/>
      <c r="AA850" s="6"/>
      <c r="AB850" s="6">
        <v>93</v>
      </c>
      <c r="AC850" s="6">
        <v>2207</v>
      </c>
      <c r="AD850" s="6">
        <v>77</v>
      </c>
      <c r="AE850" s="6">
        <v>20951</v>
      </c>
      <c r="AF850" s="6">
        <v>28800</v>
      </c>
    </row>
    <row r="851" spans="1:32" x14ac:dyDescent="0.35">
      <c r="A851" s="1">
        <v>43502</v>
      </c>
      <c r="B851" s="6">
        <v>4026350</v>
      </c>
      <c r="C851" s="6">
        <v>11037</v>
      </c>
      <c r="D851" s="6">
        <v>5200</v>
      </c>
      <c r="E851" s="6">
        <v>1811</v>
      </c>
      <c r="F851" s="6">
        <v>3954970</v>
      </c>
      <c r="G851" s="6">
        <v>3829930</v>
      </c>
      <c r="H851" s="6">
        <v>2205713</v>
      </c>
      <c r="I851" s="6">
        <v>0</v>
      </c>
      <c r="J851" s="6">
        <v>2069396</v>
      </c>
      <c r="K851" s="6">
        <v>114769</v>
      </c>
      <c r="L851" s="6">
        <v>21548</v>
      </c>
      <c r="M851" s="6">
        <v>43523</v>
      </c>
      <c r="N851" s="6">
        <v>66834</v>
      </c>
      <c r="O851" s="6">
        <v>275448</v>
      </c>
      <c r="P851" s="6">
        <v>942603</v>
      </c>
      <c r="Q851" s="6">
        <v>259314</v>
      </c>
      <c r="R851" s="6">
        <v>617990</v>
      </c>
      <c r="S851" s="6">
        <v>2409</v>
      </c>
      <c r="T851" s="6">
        <v>1621809</v>
      </c>
      <c r="U851" s="6">
        <v>138281</v>
      </c>
      <c r="V851" s="6">
        <v>-13258</v>
      </c>
      <c r="W851" s="6">
        <v>0</v>
      </c>
      <c r="X851" s="6">
        <v>16</v>
      </c>
      <c r="Y851" s="6"/>
      <c r="Z851" s="6"/>
      <c r="AA851" s="6"/>
      <c r="AB851" s="6">
        <v>66</v>
      </c>
      <c r="AC851" s="6">
        <v>2199</v>
      </c>
      <c r="AD851" s="6">
        <v>66</v>
      </c>
      <c r="AE851" s="6">
        <v>20894</v>
      </c>
      <c r="AF851" s="6">
        <v>30108</v>
      </c>
    </row>
    <row r="852" spans="1:32" x14ac:dyDescent="0.35">
      <c r="A852" s="1">
        <v>43509</v>
      </c>
      <c r="B852" s="6">
        <v>4028431</v>
      </c>
      <c r="C852" s="6">
        <v>11037</v>
      </c>
      <c r="D852" s="6">
        <v>5200</v>
      </c>
      <c r="E852" s="6">
        <v>1809</v>
      </c>
      <c r="F852" s="6">
        <v>3954823</v>
      </c>
      <c r="G852" s="6">
        <v>3829969</v>
      </c>
      <c r="H852" s="6">
        <v>2205604</v>
      </c>
      <c r="I852" s="6">
        <v>0</v>
      </c>
      <c r="J852" s="6">
        <v>2069396</v>
      </c>
      <c r="K852" s="6">
        <v>114769</v>
      </c>
      <c r="L852" s="6">
        <v>21439</v>
      </c>
      <c r="M852" s="6">
        <v>56052</v>
      </c>
      <c r="N852" s="6">
        <v>54305</v>
      </c>
      <c r="O852" s="6">
        <v>275447</v>
      </c>
      <c r="P852" s="6">
        <v>942588</v>
      </c>
      <c r="Q852" s="6">
        <v>259274</v>
      </c>
      <c r="R852" s="6">
        <v>617938</v>
      </c>
      <c r="S852" s="6">
        <v>2409</v>
      </c>
      <c r="T852" s="6">
        <v>1621956</v>
      </c>
      <c r="U852" s="6">
        <v>138063</v>
      </c>
      <c r="V852" s="6">
        <v>-13226</v>
      </c>
      <c r="W852" s="6">
        <v>0</v>
      </c>
      <c r="X852" s="6">
        <v>18</v>
      </c>
      <c r="Y852" s="6"/>
      <c r="Z852" s="6"/>
      <c r="AA852" s="6"/>
      <c r="AB852" s="6">
        <v>60</v>
      </c>
      <c r="AC852" s="6">
        <v>2201</v>
      </c>
      <c r="AD852" s="6">
        <v>71</v>
      </c>
      <c r="AE852" s="6">
        <v>20708</v>
      </c>
      <c r="AF852" s="6">
        <v>32523</v>
      </c>
    </row>
    <row r="853" spans="1:32" x14ac:dyDescent="0.35">
      <c r="A853" s="1">
        <v>43516</v>
      </c>
      <c r="B853" s="6">
        <v>3981420</v>
      </c>
      <c r="C853" s="6">
        <v>11037</v>
      </c>
      <c r="D853" s="6">
        <v>5200</v>
      </c>
      <c r="E853" s="6">
        <v>1798</v>
      </c>
      <c r="F853" s="6">
        <v>3923075</v>
      </c>
      <c r="G853" s="6">
        <v>3798759</v>
      </c>
      <c r="H853" s="6">
        <v>2182201</v>
      </c>
      <c r="I853" s="6">
        <v>0</v>
      </c>
      <c r="J853" s="6">
        <v>2046102</v>
      </c>
      <c r="K853" s="6">
        <v>114769</v>
      </c>
      <c r="L853" s="6">
        <v>21330</v>
      </c>
      <c r="M853" s="6">
        <v>12529</v>
      </c>
      <c r="N853" s="6">
        <v>92780</v>
      </c>
      <c r="O853" s="6">
        <v>274118</v>
      </c>
      <c r="P853" s="6">
        <v>930757</v>
      </c>
      <c r="Q853" s="6">
        <v>254819</v>
      </c>
      <c r="R853" s="6">
        <v>617197</v>
      </c>
      <c r="S853" s="6">
        <v>2409</v>
      </c>
      <c r="T853" s="6">
        <v>1614150</v>
      </c>
      <c r="U853" s="6">
        <v>137544</v>
      </c>
      <c r="V853" s="6">
        <v>-13250</v>
      </c>
      <c r="W853" s="6">
        <v>0</v>
      </c>
      <c r="X853" s="6">
        <v>23</v>
      </c>
      <c r="Y853" s="6"/>
      <c r="Z853" s="6"/>
      <c r="AA853" s="6"/>
      <c r="AB853" s="6">
        <v>74</v>
      </c>
      <c r="AC853" s="6">
        <v>2203</v>
      </c>
      <c r="AD853" s="6">
        <v>68</v>
      </c>
      <c r="AE853" s="6">
        <v>20807</v>
      </c>
      <c r="AF853" s="6">
        <v>17158</v>
      </c>
    </row>
    <row r="854" spans="1:32" x14ac:dyDescent="0.35">
      <c r="A854" s="1">
        <v>43523</v>
      </c>
      <c r="B854" s="6">
        <v>3974590</v>
      </c>
      <c r="C854" s="6">
        <v>11037</v>
      </c>
      <c r="D854" s="6">
        <v>5200</v>
      </c>
      <c r="E854" s="6">
        <v>1782</v>
      </c>
      <c r="F854" s="6">
        <v>3916003</v>
      </c>
      <c r="G854" s="6">
        <v>3792109</v>
      </c>
      <c r="H854" s="6">
        <v>2182092</v>
      </c>
      <c r="I854" s="6">
        <v>0</v>
      </c>
      <c r="J854" s="6">
        <v>2046102</v>
      </c>
      <c r="K854" s="6">
        <v>114769</v>
      </c>
      <c r="L854" s="6">
        <v>21221</v>
      </c>
      <c r="M854" s="6">
        <v>12529</v>
      </c>
      <c r="N854" s="6">
        <v>92780</v>
      </c>
      <c r="O854" s="6">
        <v>274117</v>
      </c>
      <c r="P854" s="6">
        <v>930742</v>
      </c>
      <c r="Q854" s="6">
        <v>254779</v>
      </c>
      <c r="R854" s="6">
        <v>617145</v>
      </c>
      <c r="S854" s="6">
        <v>2409</v>
      </c>
      <c r="T854" s="6">
        <v>1607609</v>
      </c>
      <c r="U854" s="6">
        <v>137099</v>
      </c>
      <c r="V854" s="6">
        <v>-13218</v>
      </c>
      <c r="W854" s="6">
        <v>0</v>
      </c>
      <c r="X854" s="6">
        <v>12</v>
      </c>
      <c r="Y854" s="6"/>
      <c r="Z854" s="6"/>
      <c r="AA854" s="6"/>
      <c r="AB854" s="6">
        <v>52</v>
      </c>
      <c r="AC854" s="6">
        <v>2205</v>
      </c>
      <c r="AD854" s="6">
        <v>88</v>
      </c>
      <c r="AE854" s="6">
        <v>20792</v>
      </c>
      <c r="AF854" s="6">
        <v>17432</v>
      </c>
    </row>
    <row r="855" spans="1:32" x14ac:dyDescent="0.35">
      <c r="A855" s="1">
        <v>43530</v>
      </c>
      <c r="B855" s="6">
        <v>3969134</v>
      </c>
      <c r="C855" s="6">
        <v>11037</v>
      </c>
      <c r="D855" s="6">
        <v>5200</v>
      </c>
      <c r="E855" s="6">
        <v>1770</v>
      </c>
      <c r="F855" s="6">
        <v>3909088</v>
      </c>
      <c r="G855" s="6">
        <v>3785438</v>
      </c>
      <c r="H855" s="6">
        <v>2175420</v>
      </c>
      <c r="I855" s="6">
        <v>0</v>
      </c>
      <c r="J855" s="6">
        <v>2039011</v>
      </c>
      <c r="K855" s="6">
        <v>115154</v>
      </c>
      <c r="L855" s="6">
        <v>21255</v>
      </c>
      <c r="M855" s="6">
        <v>0</v>
      </c>
      <c r="N855" s="6">
        <v>112837</v>
      </c>
      <c r="O855" s="6">
        <v>270526</v>
      </c>
      <c r="P855" s="6">
        <v>922063</v>
      </c>
      <c r="Q855" s="6">
        <v>252449</v>
      </c>
      <c r="R855" s="6">
        <v>617546</v>
      </c>
      <c r="S855" s="6">
        <v>2409</v>
      </c>
      <c r="T855" s="6">
        <v>1607609</v>
      </c>
      <c r="U855" s="6">
        <v>136856</v>
      </c>
      <c r="V855" s="6">
        <v>-13213</v>
      </c>
      <c r="W855" s="6">
        <v>0</v>
      </c>
      <c r="X855" s="6">
        <v>6</v>
      </c>
      <c r="Y855" s="6"/>
      <c r="Z855" s="6"/>
      <c r="AA855" s="6"/>
      <c r="AB855" s="6">
        <v>64</v>
      </c>
      <c r="AC855" s="6">
        <v>2199</v>
      </c>
      <c r="AD855" s="6">
        <v>65</v>
      </c>
      <c r="AE855" s="6">
        <v>20679</v>
      </c>
      <c r="AF855" s="6">
        <v>19033</v>
      </c>
    </row>
    <row r="856" spans="1:32" x14ac:dyDescent="0.35">
      <c r="A856" s="1">
        <v>43537</v>
      </c>
      <c r="B856" s="6">
        <v>3971559</v>
      </c>
      <c r="C856" s="6">
        <v>11037</v>
      </c>
      <c r="D856" s="6">
        <v>5200</v>
      </c>
      <c r="E856" s="6">
        <v>1763</v>
      </c>
      <c r="F856" s="6">
        <v>3909137</v>
      </c>
      <c r="G856" s="6">
        <v>3785655</v>
      </c>
      <c r="H856" s="6">
        <v>2175479</v>
      </c>
      <c r="I856" s="6">
        <v>0</v>
      </c>
      <c r="J856" s="6">
        <v>2039011</v>
      </c>
      <c r="K856" s="6">
        <v>115154</v>
      </c>
      <c r="L856" s="6">
        <v>21314</v>
      </c>
      <c r="M856" s="6">
        <v>0</v>
      </c>
      <c r="N856" s="6">
        <v>112837</v>
      </c>
      <c r="O856" s="6">
        <v>270527</v>
      </c>
      <c r="P856" s="6">
        <v>922071</v>
      </c>
      <c r="Q856" s="6">
        <v>252470</v>
      </c>
      <c r="R856" s="6">
        <v>617574</v>
      </c>
      <c r="S856" s="6">
        <v>2409</v>
      </c>
      <c r="T856" s="6">
        <v>1607767</v>
      </c>
      <c r="U856" s="6">
        <v>136656</v>
      </c>
      <c r="V856" s="6">
        <v>-13184</v>
      </c>
      <c r="W856" s="6">
        <v>0</v>
      </c>
      <c r="X856" s="6">
        <v>11</v>
      </c>
      <c r="Y856" s="6"/>
      <c r="Z856" s="6"/>
      <c r="AA856" s="6"/>
      <c r="AB856" s="6">
        <v>48</v>
      </c>
      <c r="AC856" s="6">
        <v>2202</v>
      </c>
      <c r="AD856" s="6">
        <v>67</v>
      </c>
      <c r="AE856" s="6">
        <v>20701</v>
      </c>
      <c r="AF856" s="6">
        <v>21405</v>
      </c>
    </row>
    <row r="857" spans="1:32" x14ac:dyDescent="0.35">
      <c r="A857" s="1">
        <v>43544</v>
      </c>
      <c r="B857" s="6">
        <v>3962748</v>
      </c>
      <c r="C857" s="6">
        <v>11037</v>
      </c>
      <c r="D857" s="6">
        <v>5200</v>
      </c>
      <c r="E857" s="6">
        <v>1745</v>
      </c>
      <c r="F857" s="6">
        <v>3900414</v>
      </c>
      <c r="G857" s="6">
        <v>3777418</v>
      </c>
      <c r="H857" s="6">
        <v>2175537</v>
      </c>
      <c r="I857" s="6">
        <v>0</v>
      </c>
      <c r="J857" s="6">
        <v>2039011</v>
      </c>
      <c r="K857" s="6">
        <v>115154</v>
      </c>
      <c r="L857" s="6">
        <v>21373</v>
      </c>
      <c r="M857" s="6">
        <v>22379</v>
      </c>
      <c r="N857" s="6">
        <v>90458</v>
      </c>
      <c r="O857" s="6">
        <v>270527</v>
      </c>
      <c r="P857" s="6">
        <v>922080</v>
      </c>
      <c r="Q857" s="6">
        <v>252492</v>
      </c>
      <c r="R857" s="6">
        <v>617602</v>
      </c>
      <c r="S857" s="6">
        <v>2409</v>
      </c>
      <c r="T857" s="6">
        <v>1599472</v>
      </c>
      <c r="U857" s="6">
        <v>136138</v>
      </c>
      <c r="V857" s="6">
        <v>-13153</v>
      </c>
      <c r="W857" s="6">
        <v>0</v>
      </c>
      <c r="X857" s="6">
        <v>11</v>
      </c>
      <c r="Y857" s="6"/>
      <c r="Z857" s="6"/>
      <c r="AA857" s="6"/>
      <c r="AB857" s="6">
        <v>55</v>
      </c>
      <c r="AC857" s="6">
        <v>2204</v>
      </c>
      <c r="AD857" s="6">
        <v>68</v>
      </c>
      <c r="AE857" s="6">
        <v>20733</v>
      </c>
      <c r="AF857" s="6">
        <v>21294</v>
      </c>
    </row>
    <row r="858" spans="1:32" x14ac:dyDescent="0.35">
      <c r="A858" s="1">
        <v>43551</v>
      </c>
      <c r="B858" s="6">
        <v>3955617</v>
      </c>
      <c r="C858" s="6">
        <v>11037</v>
      </c>
      <c r="D858" s="6">
        <v>5200</v>
      </c>
      <c r="E858" s="6">
        <v>1729</v>
      </c>
      <c r="F858" s="6">
        <v>3893275</v>
      </c>
      <c r="G858" s="6">
        <v>3770666</v>
      </c>
      <c r="H858" s="6">
        <v>2175596</v>
      </c>
      <c r="I858" s="6">
        <v>0</v>
      </c>
      <c r="J858" s="6">
        <v>2039011</v>
      </c>
      <c r="K858" s="6">
        <v>115154</v>
      </c>
      <c r="L858" s="6">
        <v>21431</v>
      </c>
      <c r="M858" s="6">
        <v>22379</v>
      </c>
      <c r="N858" s="6">
        <v>90458</v>
      </c>
      <c r="O858" s="6">
        <v>270528</v>
      </c>
      <c r="P858" s="6">
        <v>922088</v>
      </c>
      <c r="Q858" s="6">
        <v>252513</v>
      </c>
      <c r="R858" s="6">
        <v>617630</v>
      </c>
      <c r="S858" s="6">
        <v>2347</v>
      </c>
      <c r="T858" s="6">
        <v>1592723</v>
      </c>
      <c r="U858" s="6">
        <v>135705</v>
      </c>
      <c r="V858" s="6">
        <v>-13122</v>
      </c>
      <c r="W858" s="6">
        <v>0</v>
      </c>
      <c r="X858" s="6">
        <v>27</v>
      </c>
      <c r="Y858" s="6"/>
      <c r="Z858" s="6"/>
      <c r="AA858" s="6"/>
      <c r="AB858" s="6">
        <v>58</v>
      </c>
      <c r="AC858" s="6">
        <v>2207</v>
      </c>
      <c r="AD858" s="6">
        <v>66</v>
      </c>
      <c r="AE858" s="6">
        <v>20700</v>
      </c>
      <c r="AF858" s="6">
        <v>21347</v>
      </c>
    </row>
    <row r="859" spans="1:32" x14ac:dyDescent="0.35">
      <c r="A859" s="1">
        <v>43558</v>
      </c>
      <c r="B859" s="6">
        <v>3935509</v>
      </c>
      <c r="C859" s="6">
        <v>11037</v>
      </c>
      <c r="D859" s="6">
        <v>5200</v>
      </c>
      <c r="E859" s="6">
        <v>1719</v>
      </c>
      <c r="F859" s="6">
        <v>3870764</v>
      </c>
      <c r="G859" s="6">
        <v>3748378</v>
      </c>
      <c r="H859" s="6">
        <v>2153308</v>
      </c>
      <c r="I859" s="6">
        <v>0</v>
      </c>
      <c r="J859" s="6">
        <v>2016632</v>
      </c>
      <c r="K859" s="6">
        <v>115154</v>
      </c>
      <c r="L859" s="6">
        <v>21523</v>
      </c>
      <c r="M859" s="6">
        <v>180</v>
      </c>
      <c r="N859" s="6">
        <v>111741</v>
      </c>
      <c r="O859" s="6">
        <v>265650</v>
      </c>
      <c r="P859" s="6">
        <v>908908</v>
      </c>
      <c r="Q859" s="6">
        <v>249157</v>
      </c>
      <c r="R859" s="6">
        <v>617673</v>
      </c>
      <c r="S859" s="6">
        <v>2347</v>
      </c>
      <c r="T859" s="6">
        <v>1592723</v>
      </c>
      <c r="U859" s="6">
        <v>135468</v>
      </c>
      <c r="V859" s="6">
        <v>-13093</v>
      </c>
      <c r="W859" s="6">
        <v>0</v>
      </c>
      <c r="X859" s="6">
        <v>11</v>
      </c>
      <c r="Y859" s="6"/>
      <c r="Z859" s="6"/>
      <c r="AA859" s="6"/>
      <c r="AB859" s="6">
        <v>46</v>
      </c>
      <c r="AC859" s="6">
        <v>2199</v>
      </c>
      <c r="AD859" s="6">
        <v>1365</v>
      </c>
      <c r="AE859" s="6">
        <v>20606</v>
      </c>
      <c r="AF859" s="6">
        <v>22572</v>
      </c>
    </row>
    <row r="860" spans="1:32" x14ac:dyDescent="0.35">
      <c r="A860" s="1">
        <v>43565</v>
      </c>
      <c r="B860" s="6">
        <v>3936784</v>
      </c>
      <c r="C860" s="6">
        <v>11037</v>
      </c>
      <c r="D860" s="6">
        <v>5200</v>
      </c>
      <c r="E860" s="6">
        <v>1708</v>
      </c>
      <c r="F860" s="6">
        <v>3870941</v>
      </c>
      <c r="G860" s="6">
        <v>3748702</v>
      </c>
      <c r="H860" s="6">
        <v>2153443</v>
      </c>
      <c r="I860" s="6">
        <v>0</v>
      </c>
      <c r="J860" s="6">
        <v>2016632</v>
      </c>
      <c r="K860" s="6">
        <v>115154</v>
      </c>
      <c r="L860" s="6">
        <v>21658</v>
      </c>
      <c r="M860" s="6">
        <v>180</v>
      </c>
      <c r="N860" s="6">
        <v>111741</v>
      </c>
      <c r="O860" s="6">
        <v>265651</v>
      </c>
      <c r="P860" s="6">
        <v>908927</v>
      </c>
      <c r="Q860" s="6">
        <v>249207</v>
      </c>
      <c r="R860" s="6">
        <v>617738</v>
      </c>
      <c r="S860" s="6">
        <v>2347</v>
      </c>
      <c r="T860" s="6">
        <v>1592912</v>
      </c>
      <c r="U860" s="6">
        <v>135283</v>
      </c>
      <c r="V860" s="6">
        <v>-13065</v>
      </c>
      <c r="W860" s="6">
        <v>0</v>
      </c>
      <c r="X860" s="6">
        <v>21</v>
      </c>
      <c r="Y860" s="6"/>
      <c r="Z860" s="6"/>
      <c r="AA860" s="6"/>
      <c r="AB860" s="6">
        <v>55</v>
      </c>
      <c r="AC860" s="6">
        <v>2202</v>
      </c>
      <c r="AD860" s="6">
        <v>55</v>
      </c>
      <c r="AE860" s="6">
        <v>20675</v>
      </c>
      <c r="AF860" s="6">
        <v>24912</v>
      </c>
    </row>
    <row r="861" spans="1:32" x14ac:dyDescent="0.35">
      <c r="A861" s="1">
        <v>43572</v>
      </c>
      <c r="B861" s="6">
        <v>3931827</v>
      </c>
      <c r="C861" s="6">
        <v>11037</v>
      </c>
      <c r="D861" s="6">
        <v>5200</v>
      </c>
      <c r="E861" s="6">
        <v>1694</v>
      </c>
      <c r="F861" s="6">
        <v>3865592</v>
      </c>
      <c r="G861" s="6">
        <v>3743694</v>
      </c>
      <c r="H861" s="6">
        <v>2153409</v>
      </c>
      <c r="I861" s="6">
        <v>0</v>
      </c>
      <c r="J861" s="6">
        <v>2016474</v>
      </c>
      <c r="K861" s="6">
        <v>115144</v>
      </c>
      <c r="L861" s="6">
        <v>21792</v>
      </c>
      <c r="M861" s="6">
        <v>31746</v>
      </c>
      <c r="N861" s="6">
        <v>82182</v>
      </c>
      <c r="O861" s="6">
        <v>263734</v>
      </c>
      <c r="P861" s="6">
        <v>908683</v>
      </c>
      <c r="Q861" s="6">
        <v>249260</v>
      </c>
      <c r="R861" s="6">
        <v>617804</v>
      </c>
      <c r="S861" s="6">
        <v>2347</v>
      </c>
      <c r="T861" s="6">
        <v>1587938</v>
      </c>
      <c r="U861" s="6">
        <v>134913</v>
      </c>
      <c r="V861" s="6">
        <v>-13034</v>
      </c>
      <c r="W861" s="6">
        <v>0</v>
      </c>
      <c r="X861" s="6">
        <v>19</v>
      </c>
      <c r="Y861" s="6"/>
      <c r="Z861" s="6"/>
      <c r="AA861" s="6"/>
      <c r="AB861" s="6">
        <v>65</v>
      </c>
      <c r="AC861" s="6">
        <v>2203</v>
      </c>
      <c r="AD861" s="6">
        <v>55</v>
      </c>
      <c r="AE861" s="6">
        <v>20626</v>
      </c>
      <c r="AF861" s="6">
        <v>25356</v>
      </c>
    </row>
    <row r="862" spans="1:32" x14ac:dyDescent="0.35">
      <c r="A862" s="1">
        <v>43579</v>
      </c>
      <c r="B862" s="6">
        <v>3928273</v>
      </c>
      <c r="C862" s="6">
        <v>11037</v>
      </c>
      <c r="D862" s="6">
        <v>5200</v>
      </c>
      <c r="E862" s="6">
        <v>1679</v>
      </c>
      <c r="F862" s="6">
        <v>3860811</v>
      </c>
      <c r="G862" s="6">
        <v>3739284</v>
      </c>
      <c r="H862" s="6">
        <v>2153544</v>
      </c>
      <c r="I862" s="6">
        <v>0</v>
      </c>
      <c r="J862" s="6">
        <v>2016474</v>
      </c>
      <c r="K862" s="6">
        <v>115144</v>
      </c>
      <c r="L862" s="6">
        <v>21926</v>
      </c>
      <c r="M862" s="6">
        <v>31746</v>
      </c>
      <c r="N862" s="6">
        <v>82182</v>
      </c>
      <c r="O862" s="6">
        <v>263735</v>
      </c>
      <c r="P862" s="6">
        <v>908702</v>
      </c>
      <c r="Q862" s="6">
        <v>262007</v>
      </c>
      <c r="R862" s="6">
        <v>605171</v>
      </c>
      <c r="S862" s="6">
        <v>2347</v>
      </c>
      <c r="T862" s="6">
        <v>1583393</v>
      </c>
      <c r="U862" s="6">
        <v>134493</v>
      </c>
      <c r="V862" s="6">
        <v>-12998</v>
      </c>
      <c r="W862" s="6">
        <v>0</v>
      </c>
      <c r="X862" s="6">
        <v>32</v>
      </c>
      <c r="Y862" s="6"/>
      <c r="Z862" s="6"/>
      <c r="AA862" s="6"/>
      <c r="AB862" s="6">
        <v>58</v>
      </c>
      <c r="AC862" s="6">
        <v>2204</v>
      </c>
      <c r="AD862" s="6">
        <v>55</v>
      </c>
      <c r="AE862" s="6">
        <v>20527</v>
      </c>
      <c r="AF862" s="6">
        <v>26702</v>
      </c>
    </row>
    <row r="863" spans="1:32" x14ac:dyDescent="0.35">
      <c r="A863" s="1">
        <v>43586</v>
      </c>
      <c r="B863" s="6">
        <v>3889691</v>
      </c>
      <c r="C863" s="6">
        <v>11037</v>
      </c>
      <c r="D863" s="6">
        <v>5200</v>
      </c>
      <c r="E863" s="6">
        <v>1670</v>
      </c>
      <c r="F863" s="6">
        <v>3822829</v>
      </c>
      <c r="G863" s="6">
        <v>3701734</v>
      </c>
      <c r="H863" s="6">
        <v>2123954</v>
      </c>
      <c r="I863" s="6">
        <v>100</v>
      </c>
      <c r="J863" s="6">
        <v>1986425</v>
      </c>
      <c r="K863" s="6">
        <v>115361</v>
      </c>
      <c r="L863" s="6">
        <v>22067</v>
      </c>
      <c r="M863" s="6">
        <v>38475</v>
      </c>
      <c r="N863" s="6">
        <v>43808</v>
      </c>
      <c r="O863" s="6">
        <v>275285</v>
      </c>
      <c r="P863" s="6">
        <v>902502</v>
      </c>
      <c r="Q863" s="6">
        <v>258659</v>
      </c>
      <c r="R863" s="6">
        <v>605225</v>
      </c>
      <c r="S863" s="6">
        <v>2347</v>
      </c>
      <c r="T863" s="6">
        <v>1575433</v>
      </c>
      <c r="U863" s="6">
        <v>134032</v>
      </c>
      <c r="V863" s="6">
        <v>-12971</v>
      </c>
      <c r="W863" s="6">
        <v>0</v>
      </c>
      <c r="X863" s="6">
        <v>34</v>
      </c>
      <c r="Y863" s="6"/>
      <c r="Z863" s="6"/>
      <c r="AA863" s="6"/>
      <c r="AB863" s="6">
        <v>71</v>
      </c>
      <c r="AC863" s="6">
        <v>2194</v>
      </c>
      <c r="AD863" s="6">
        <v>55</v>
      </c>
      <c r="AE863" s="6">
        <v>20643</v>
      </c>
      <c r="AF863" s="6">
        <v>25993</v>
      </c>
    </row>
    <row r="864" spans="1:32" x14ac:dyDescent="0.35">
      <c r="A864" s="1">
        <v>43593</v>
      </c>
      <c r="B864" s="6">
        <v>3892216</v>
      </c>
      <c r="C864" s="6">
        <v>11037</v>
      </c>
      <c r="D864" s="6">
        <v>5200</v>
      </c>
      <c r="E864" s="6">
        <v>1671</v>
      </c>
      <c r="F864" s="6">
        <v>3822953</v>
      </c>
      <c r="G864" s="6">
        <v>3701909</v>
      </c>
      <c r="H864" s="6">
        <v>2124129</v>
      </c>
      <c r="I864" s="6">
        <v>100</v>
      </c>
      <c r="J864" s="6">
        <v>1986425</v>
      </c>
      <c r="K864" s="6">
        <v>115361</v>
      </c>
      <c r="L864" s="6">
        <v>22242</v>
      </c>
      <c r="M864" s="6">
        <v>38475</v>
      </c>
      <c r="N864" s="6">
        <v>63116</v>
      </c>
      <c r="O864" s="6">
        <v>255978</v>
      </c>
      <c r="P864" s="6">
        <v>902527</v>
      </c>
      <c r="Q864" s="6">
        <v>258739</v>
      </c>
      <c r="R864" s="6">
        <v>605292</v>
      </c>
      <c r="S864" s="6">
        <v>2347</v>
      </c>
      <c r="T864" s="6">
        <v>1575433</v>
      </c>
      <c r="U864" s="6">
        <v>133856</v>
      </c>
      <c r="V864" s="6">
        <v>-12943</v>
      </c>
      <c r="W864" s="6">
        <v>65</v>
      </c>
      <c r="X864" s="6">
        <v>66</v>
      </c>
      <c r="Y864" s="6"/>
      <c r="Z864" s="6"/>
      <c r="AA864" s="6"/>
      <c r="AB864" s="6">
        <v>115</v>
      </c>
      <c r="AC864" s="6">
        <v>2194</v>
      </c>
      <c r="AD864" s="6">
        <v>55</v>
      </c>
      <c r="AE864" s="6">
        <v>20667</v>
      </c>
      <c r="AF864" s="6">
        <v>28322</v>
      </c>
    </row>
    <row r="865" spans="1:32" x14ac:dyDescent="0.35">
      <c r="A865" s="1">
        <v>43600</v>
      </c>
      <c r="B865" s="6">
        <v>3864749</v>
      </c>
      <c r="C865" s="6">
        <v>11037</v>
      </c>
      <c r="D865" s="6">
        <v>5200</v>
      </c>
      <c r="E865" s="6">
        <v>1678</v>
      </c>
      <c r="F865" s="6">
        <v>3806843</v>
      </c>
      <c r="G865" s="6">
        <v>3686375</v>
      </c>
      <c r="H865" s="6">
        <v>2114444</v>
      </c>
      <c r="I865" s="6">
        <v>100</v>
      </c>
      <c r="J865" s="6">
        <v>1976565</v>
      </c>
      <c r="K865" s="6">
        <v>115361</v>
      </c>
      <c r="L865" s="6">
        <v>22417</v>
      </c>
      <c r="M865" s="6">
        <v>0</v>
      </c>
      <c r="N865" s="6">
        <v>63117</v>
      </c>
      <c r="O865" s="6">
        <v>255980</v>
      </c>
      <c r="P865" s="6">
        <v>917215</v>
      </c>
      <c r="Q865" s="6">
        <v>257102</v>
      </c>
      <c r="R865" s="6">
        <v>621030</v>
      </c>
      <c r="S865" s="6">
        <v>2347</v>
      </c>
      <c r="T865" s="6">
        <v>1569584</v>
      </c>
      <c r="U865" s="6">
        <v>133469</v>
      </c>
      <c r="V865" s="6">
        <v>-13064</v>
      </c>
      <c r="W865" s="6">
        <v>0</v>
      </c>
      <c r="X865" s="6">
        <v>64</v>
      </c>
      <c r="Y865" s="6"/>
      <c r="Z865" s="6"/>
      <c r="AA865" s="6"/>
      <c r="AB865" s="6">
        <v>119</v>
      </c>
      <c r="AC865" s="6">
        <v>2196</v>
      </c>
      <c r="AD865" s="6">
        <v>50</v>
      </c>
      <c r="AE865" s="6">
        <v>20711</v>
      </c>
      <c r="AF865" s="6">
        <v>16914</v>
      </c>
    </row>
    <row r="866" spans="1:32" x14ac:dyDescent="0.35">
      <c r="A866" s="1">
        <v>43607</v>
      </c>
      <c r="B866" s="6">
        <v>3860435</v>
      </c>
      <c r="C866" s="6">
        <v>11037</v>
      </c>
      <c r="D866" s="6">
        <v>5200</v>
      </c>
      <c r="E866" s="6">
        <v>1661</v>
      </c>
      <c r="F866" s="6">
        <v>3801394</v>
      </c>
      <c r="G866" s="6">
        <v>3681344</v>
      </c>
      <c r="H866" s="6">
        <v>2114569</v>
      </c>
      <c r="I866" s="6">
        <v>50</v>
      </c>
      <c r="J866" s="6">
        <v>1976565</v>
      </c>
      <c r="K866" s="6">
        <v>115361</v>
      </c>
      <c r="L866" s="6">
        <v>22592</v>
      </c>
      <c r="M866" s="6">
        <v>20057</v>
      </c>
      <c r="N866" s="6">
        <v>97826</v>
      </c>
      <c r="O866" s="6">
        <v>251024</v>
      </c>
      <c r="P866" s="6">
        <v>867384</v>
      </c>
      <c r="Q866" s="6">
        <v>266380</v>
      </c>
      <c r="R866" s="6">
        <v>611899</v>
      </c>
      <c r="S866" s="6">
        <v>2347</v>
      </c>
      <c r="T866" s="6">
        <v>1564428</v>
      </c>
      <c r="U866" s="6">
        <v>133034</v>
      </c>
      <c r="V866" s="6">
        <v>-13034</v>
      </c>
      <c r="W866" s="6">
        <v>0</v>
      </c>
      <c r="X866" s="6">
        <v>50</v>
      </c>
      <c r="Y866" s="6"/>
      <c r="Z866" s="6"/>
      <c r="AA866" s="6"/>
      <c r="AB866" s="6">
        <v>110</v>
      </c>
      <c r="AC866" s="6">
        <v>2197</v>
      </c>
      <c r="AD866" s="6">
        <v>17</v>
      </c>
      <c r="AE866" s="6">
        <v>20600</v>
      </c>
      <c r="AF866" s="6">
        <v>18218</v>
      </c>
    </row>
    <row r="867" spans="1:32" x14ac:dyDescent="0.35">
      <c r="A867" s="1">
        <v>43614</v>
      </c>
      <c r="B867" s="6">
        <v>3851444</v>
      </c>
      <c r="C867" s="6">
        <v>11037</v>
      </c>
      <c r="D867" s="6">
        <v>5200</v>
      </c>
      <c r="E867" s="6">
        <v>1649</v>
      </c>
      <c r="F867" s="6">
        <v>3792095</v>
      </c>
      <c r="G867" s="6">
        <v>3672496</v>
      </c>
      <c r="H867" s="6">
        <v>2114744</v>
      </c>
      <c r="I867" s="6">
        <v>50</v>
      </c>
      <c r="J867" s="6">
        <v>1976565</v>
      </c>
      <c r="K867" s="6">
        <v>115361</v>
      </c>
      <c r="L867" s="6">
        <v>22767</v>
      </c>
      <c r="M867" s="6">
        <v>20062</v>
      </c>
      <c r="N867" s="6">
        <v>97821</v>
      </c>
      <c r="O867" s="6">
        <v>251025</v>
      </c>
      <c r="P867" s="6">
        <v>867409</v>
      </c>
      <c r="Q867" s="6">
        <v>266461</v>
      </c>
      <c r="R867" s="6">
        <v>611966</v>
      </c>
      <c r="S867" s="6">
        <v>2347</v>
      </c>
      <c r="T867" s="6">
        <v>1555405</v>
      </c>
      <c r="U867" s="6">
        <v>132550</v>
      </c>
      <c r="V867" s="6">
        <v>-13004</v>
      </c>
      <c r="W867" s="6">
        <v>0</v>
      </c>
      <c r="X867" s="6">
        <v>53</v>
      </c>
      <c r="Y867" s="6"/>
      <c r="Z867" s="6"/>
      <c r="AA867" s="6"/>
      <c r="AB867" s="6">
        <v>132</v>
      </c>
      <c r="AC867" s="6">
        <v>2195</v>
      </c>
      <c r="AD867" s="6">
        <v>17</v>
      </c>
      <c r="AE867" s="6">
        <v>20660</v>
      </c>
      <c r="AF867" s="6">
        <v>18458</v>
      </c>
    </row>
    <row r="868" spans="1:32" x14ac:dyDescent="0.35">
      <c r="A868" s="1">
        <v>43621</v>
      </c>
      <c r="B868" s="6">
        <v>3847645</v>
      </c>
      <c r="C868" s="6">
        <v>11037</v>
      </c>
      <c r="D868" s="6">
        <v>5200</v>
      </c>
      <c r="E868" s="6">
        <v>1660</v>
      </c>
      <c r="F868" s="6">
        <v>3786946</v>
      </c>
      <c r="G868" s="6">
        <v>3667537</v>
      </c>
      <c r="H868" s="6">
        <v>2109785</v>
      </c>
      <c r="I868" s="6">
        <v>50</v>
      </c>
      <c r="J868" s="6">
        <v>1970270</v>
      </c>
      <c r="K868" s="6">
        <v>116516</v>
      </c>
      <c r="L868" s="6">
        <v>22948</v>
      </c>
      <c r="M868" s="6">
        <v>50</v>
      </c>
      <c r="N868" s="6">
        <v>112451</v>
      </c>
      <c r="O868" s="6">
        <v>246840</v>
      </c>
      <c r="P868" s="6">
        <v>870714</v>
      </c>
      <c r="Q868" s="6">
        <v>267697</v>
      </c>
      <c r="R868" s="6">
        <v>612032</v>
      </c>
      <c r="S868" s="6">
        <v>2347</v>
      </c>
      <c r="T868" s="6">
        <v>1555405</v>
      </c>
      <c r="U868" s="6">
        <v>132357</v>
      </c>
      <c r="V868" s="6">
        <v>-12994</v>
      </c>
      <c r="W868" s="6">
        <v>0</v>
      </c>
      <c r="X868" s="6">
        <v>45</v>
      </c>
      <c r="Y868" s="6"/>
      <c r="Z868" s="6"/>
      <c r="AA868" s="6"/>
      <c r="AB868" s="6">
        <v>126</v>
      </c>
      <c r="AC868" s="6">
        <v>2189</v>
      </c>
      <c r="AD868" s="6">
        <v>17</v>
      </c>
      <c r="AE868" s="6">
        <v>20855</v>
      </c>
      <c r="AF868" s="6">
        <v>19614</v>
      </c>
    </row>
    <row r="869" spans="1:32" x14ac:dyDescent="0.35">
      <c r="A869" s="1">
        <v>43628</v>
      </c>
      <c r="B869" s="6">
        <v>3849955</v>
      </c>
      <c r="C869" s="6">
        <v>11037</v>
      </c>
      <c r="D869" s="6">
        <v>5200</v>
      </c>
      <c r="E869" s="6">
        <v>1667</v>
      </c>
      <c r="F869" s="6">
        <v>3786985</v>
      </c>
      <c r="G869" s="6">
        <v>3667709</v>
      </c>
      <c r="H869" s="6">
        <v>2109957</v>
      </c>
      <c r="I869" s="6">
        <v>50</v>
      </c>
      <c r="J869" s="6">
        <v>1970270</v>
      </c>
      <c r="K869" s="6">
        <v>116516</v>
      </c>
      <c r="L869" s="6">
        <v>23120</v>
      </c>
      <c r="M869" s="6">
        <v>45</v>
      </c>
      <c r="N869" s="6">
        <v>112457</v>
      </c>
      <c r="O869" s="6">
        <v>246842</v>
      </c>
      <c r="P869" s="6">
        <v>870738</v>
      </c>
      <c r="Q869" s="6">
        <v>267777</v>
      </c>
      <c r="R869" s="6">
        <v>612098</v>
      </c>
      <c r="S869" s="6">
        <v>2347</v>
      </c>
      <c r="T869" s="6">
        <v>1555405</v>
      </c>
      <c r="U869" s="6">
        <v>132190</v>
      </c>
      <c r="V869" s="6">
        <v>-12966</v>
      </c>
      <c r="W869" s="6">
        <v>0</v>
      </c>
      <c r="X869" s="6">
        <v>53</v>
      </c>
      <c r="Y869" s="6"/>
      <c r="Z869" s="6"/>
      <c r="AA869" s="6"/>
      <c r="AB869" s="6">
        <v>43</v>
      </c>
      <c r="AC869" s="6">
        <v>2192</v>
      </c>
      <c r="AD869" s="6">
        <v>22</v>
      </c>
      <c r="AE869" s="6">
        <v>20911</v>
      </c>
      <c r="AF869" s="6">
        <v>21898</v>
      </c>
    </row>
    <row r="870" spans="1:32" x14ac:dyDescent="0.35">
      <c r="A870" s="1">
        <v>43635</v>
      </c>
      <c r="B870" s="6">
        <v>3844016</v>
      </c>
      <c r="C870" s="6">
        <v>11037</v>
      </c>
      <c r="D870" s="6">
        <v>5200</v>
      </c>
      <c r="E870" s="6">
        <v>1670</v>
      </c>
      <c r="F870" s="6">
        <v>3780225</v>
      </c>
      <c r="G870" s="6">
        <v>3661227</v>
      </c>
      <c r="H870" s="6">
        <v>2110084</v>
      </c>
      <c r="I870" s="6">
        <v>5</v>
      </c>
      <c r="J870" s="6">
        <v>1970270</v>
      </c>
      <c r="K870" s="6">
        <v>116516</v>
      </c>
      <c r="L870" s="6">
        <v>23293</v>
      </c>
      <c r="M870" s="6">
        <v>21463</v>
      </c>
      <c r="N870" s="6">
        <v>90995</v>
      </c>
      <c r="O870" s="6">
        <v>246843</v>
      </c>
      <c r="P870" s="6">
        <v>870762</v>
      </c>
      <c r="Q870" s="6">
        <v>267857</v>
      </c>
      <c r="R870" s="6">
        <v>612163</v>
      </c>
      <c r="S870" s="6">
        <v>2347</v>
      </c>
      <c r="T870" s="6">
        <v>1548796</v>
      </c>
      <c r="U870" s="6">
        <v>131780</v>
      </c>
      <c r="V870" s="6">
        <v>-12936</v>
      </c>
      <c r="W870" s="6">
        <v>0</v>
      </c>
      <c r="X870" s="6">
        <v>154</v>
      </c>
      <c r="Y870" s="6"/>
      <c r="Z870" s="6"/>
      <c r="AA870" s="6"/>
      <c r="AB870" s="6">
        <v>53</v>
      </c>
      <c r="AC870" s="6">
        <v>2192</v>
      </c>
      <c r="AD870" s="6">
        <v>17</v>
      </c>
      <c r="AE870" s="6">
        <v>20811</v>
      </c>
      <c r="AF870" s="6">
        <v>22810</v>
      </c>
    </row>
    <row r="871" spans="1:32" x14ac:dyDescent="0.35">
      <c r="A871" s="1">
        <v>43642</v>
      </c>
      <c r="B871" s="6">
        <v>3826817</v>
      </c>
      <c r="C871" s="6">
        <v>11037</v>
      </c>
      <c r="D871" s="6">
        <v>5200</v>
      </c>
      <c r="E871" s="6">
        <v>1684</v>
      </c>
      <c r="F871" s="6">
        <v>3763634</v>
      </c>
      <c r="G871" s="6">
        <v>3645329</v>
      </c>
      <c r="H871" s="6">
        <v>2110256</v>
      </c>
      <c r="I871" s="6">
        <v>5</v>
      </c>
      <c r="J871" s="6">
        <v>1970270</v>
      </c>
      <c r="K871" s="6">
        <v>116516</v>
      </c>
      <c r="L871" s="6">
        <v>23465</v>
      </c>
      <c r="M871" s="6">
        <v>21465</v>
      </c>
      <c r="N871" s="6">
        <v>90993</v>
      </c>
      <c r="O871" s="6">
        <v>246845</v>
      </c>
      <c r="P871" s="6">
        <v>870787</v>
      </c>
      <c r="Q871" s="6">
        <v>267937</v>
      </c>
      <c r="R871" s="6">
        <v>612229</v>
      </c>
      <c r="S871" s="6">
        <v>2347</v>
      </c>
      <c r="T871" s="6">
        <v>1532726</v>
      </c>
      <c r="U871" s="6">
        <v>131026</v>
      </c>
      <c r="V871" s="6">
        <v>-12905</v>
      </c>
      <c r="W871" s="6">
        <v>0</v>
      </c>
      <c r="X871" s="6">
        <v>184</v>
      </c>
      <c r="Y871" s="6"/>
      <c r="Z871" s="6"/>
      <c r="AA871" s="6"/>
      <c r="AB871" s="6">
        <v>68</v>
      </c>
      <c r="AC871" s="6">
        <v>2191</v>
      </c>
      <c r="AD871" s="6">
        <v>18</v>
      </c>
      <c r="AE871" s="6">
        <v>21060</v>
      </c>
      <c r="AF871" s="6">
        <v>21924</v>
      </c>
    </row>
    <row r="872" spans="1:32" x14ac:dyDescent="0.35">
      <c r="A872" s="1">
        <v>43649</v>
      </c>
      <c r="B872" s="6">
        <v>3813198</v>
      </c>
      <c r="C872" s="6">
        <v>11037</v>
      </c>
      <c r="D872" s="6">
        <v>5200</v>
      </c>
      <c r="E872" s="6">
        <v>1676</v>
      </c>
      <c r="F872" s="6">
        <v>3748455</v>
      </c>
      <c r="G872" s="6">
        <v>3630466</v>
      </c>
      <c r="H872" s="6">
        <v>2095393</v>
      </c>
      <c r="I872" s="6">
        <v>5</v>
      </c>
      <c r="J872" s="6">
        <v>1955270</v>
      </c>
      <c r="K872" s="6">
        <v>116516</v>
      </c>
      <c r="L872" s="6">
        <v>23601</v>
      </c>
      <c r="M872" s="6">
        <v>2198</v>
      </c>
      <c r="N872" s="6">
        <v>101784</v>
      </c>
      <c r="O872" s="6">
        <v>250963</v>
      </c>
      <c r="P872" s="6">
        <v>861740</v>
      </c>
      <c r="Q872" s="6">
        <v>266427</v>
      </c>
      <c r="R872" s="6">
        <v>612281</v>
      </c>
      <c r="S872" s="6">
        <v>2347</v>
      </c>
      <c r="T872" s="6">
        <v>1532726</v>
      </c>
      <c r="U872" s="6">
        <v>130759</v>
      </c>
      <c r="V872" s="6">
        <v>-12874</v>
      </c>
      <c r="W872" s="6">
        <v>0</v>
      </c>
      <c r="X872" s="6">
        <v>105</v>
      </c>
      <c r="Y872" s="6"/>
      <c r="Z872" s="6"/>
      <c r="AA872" s="6"/>
      <c r="AB872" s="6">
        <v>99</v>
      </c>
      <c r="AC872" s="6">
        <v>2185</v>
      </c>
      <c r="AD872" s="6">
        <v>17</v>
      </c>
      <c r="AE872" s="6">
        <v>20917</v>
      </c>
      <c r="AF872" s="6">
        <v>23611</v>
      </c>
    </row>
    <row r="873" spans="1:32" x14ac:dyDescent="0.35">
      <c r="A873" s="1">
        <v>43656</v>
      </c>
      <c r="B873" s="6">
        <v>3815038</v>
      </c>
      <c r="C873" s="6">
        <v>11037</v>
      </c>
      <c r="D873" s="6">
        <v>5200</v>
      </c>
      <c r="E873" s="6">
        <v>1670</v>
      </c>
      <c r="F873" s="6">
        <v>3748405</v>
      </c>
      <c r="G873" s="6">
        <v>3630521</v>
      </c>
      <c r="H873" s="6">
        <v>2095448</v>
      </c>
      <c r="I873" s="6">
        <v>2</v>
      </c>
      <c r="J873" s="6">
        <v>1955270</v>
      </c>
      <c r="K873" s="6">
        <v>116516</v>
      </c>
      <c r="L873" s="6">
        <v>23659</v>
      </c>
      <c r="M873" s="6">
        <v>2196</v>
      </c>
      <c r="N873" s="6">
        <v>101784</v>
      </c>
      <c r="O873" s="6">
        <v>250964</v>
      </c>
      <c r="P873" s="6">
        <v>861748</v>
      </c>
      <c r="Q873" s="6">
        <v>266454</v>
      </c>
      <c r="R873" s="6">
        <v>612303</v>
      </c>
      <c r="S873" s="6">
        <v>2347</v>
      </c>
      <c r="T873" s="6">
        <v>1532726</v>
      </c>
      <c r="U873" s="6">
        <v>130617</v>
      </c>
      <c r="V873" s="6">
        <v>-12850</v>
      </c>
      <c r="W873" s="6">
        <v>0</v>
      </c>
      <c r="X873" s="6">
        <v>117</v>
      </c>
      <c r="Y873" s="6"/>
      <c r="Z873" s="6"/>
      <c r="AA873" s="6"/>
      <c r="AB873" s="6">
        <v>90</v>
      </c>
      <c r="AC873" s="6">
        <v>2186</v>
      </c>
      <c r="AD873" s="6">
        <v>43</v>
      </c>
      <c r="AE873" s="6">
        <v>20853</v>
      </c>
      <c r="AF873" s="6">
        <v>25556</v>
      </c>
    </row>
    <row r="874" spans="1:32" x14ac:dyDescent="0.35">
      <c r="A874" s="1">
        <v>43663</v>
      </c>
      <c r="B874" s="6">
        <v>3808110</v>
      </c>
      <c r="C874" s="6">
        <v>11037</v>
      </c>
      <c r="D874" s="6">
        <v>5200</v>
      </c>
      <c r="E874" s="6">
        <v>1674</v>
      </c>
      <c r="F874" s="6">
        <v>3740960</v>
      </c>
      <c r="G874" s="6">
        <v>3623424</v>
      </c>
      <c r="H874" s="6">
        <v>2093984</v>
      </c>
      <c r="I874" s="6">
        <v>2</v>
      </c>
      <c r="J874" s="6">
        <v>1954371</v>
      </c>
      <c r="K874" s="6">
        <v>115989</v>
      </c>
      <c r="L874" s="6">
        <v>23622</v>
      </c>
      <c r="M874" s="6">
        <v>19308</v>
      </c>
      <c r="N874" s="6">
        <v>82476</v>
      </c>
      <c r="O874" s="6">
        <v>256783</v>
      </c>
      <c r="P874" s="6">
        <v>856268</v>
      </c>
      <c r="Q874" s="6">
        <v>266685</v>
      </c>
      <c r="R874" s="6">
        <v>612465</v>
      </c>
      <c r="S874" s="6">
        <v>2347</v>
      </c>
      <c r="T874" s="6">
        <v>1527093</v>
      </c>
      <c r="U874" s="6">
        <v>130223</v>
      </c>
      <c r="V874" s="6">
        <v>-12807</v>
      </c>
      <c r="W874" s="6">
        <v>0</v>
      </c>
      <c r="X874" s="6">
        <v>120</v>
      </c>
      <c r="Y874" s="6"/>
      <c r="Z874" s="6"/>
      <c r="AA874" s="6"/>
      <c r="AB874" s="6">
        <v>84</v>
      </c>
      <c r="AC874" s="6">
        <v>2187</v>
      </c>
      <c r="AD874" s="6">
        <v>38</v>
      </c>
      <c r="AE874" s="6">
        <v>20849</v>
      </c>
      <c r="AF874" s="6">
        <v>26082</v>
      </c>
    </row>
    <row r="875" spans="1:32" x14ac:dyDescent="0.35">
      <c r="A875" s="1">
        <v>43670</v>
      </c>
      <c r="B875" s="6">
        <v>3803436</v>
      </c>
      <c r="C875" s="6">
        <v>11037</v>
      </c>
      <c r="D875" s="6">
        <v>5200</v>
      </c>
      <c r="E875" s="6">
        <v>1681</v>
      </c>
      <c r="F875" s="6">
        <v>3735058</v>
      </c>
      <c r="G875" s="6">
        <v>3617939</v>
      </c>
      <c r="H875" s="6">
        <v>2094051</v>
      </c>
      <c r="I875" s="6">
        <v>2</v>
      </c>
      <c r="J875" s="6">
        <v>1954371</v>
      </c>
      <c r="K875" s="6">
        <v>115989</v>
      </c>
      <c r="L875" s="6">
        <v>23689</v>
      </c>
      <c r="M875" s="6">
        <v>19310</v>
      </c>
      <c r="N875" s="6">
        <v>82473</v>
      </c>
      <c r="O875" s="6">
        <v>256786</v>
      </c>
      <c r="P875" s="6">
        <v>856275</v>
      </c>
      <c r="Q875" s="6">
        <v>266716</v>
      </c>
      <c r="R875" s="6">
        <v>612491</v>
      </c>
      <c r="S875" s="6">
        <v>2347</v>
      </c>
      <c r="T875" s="6">
        <v>1521542</v>
      </c>
      <c r="U875" s="6">
        <v>129767</v>
      </c>
      <c r="V875" s="6">
        <v>-12777</v>
      </c>
      <c r="W875" s="6">
        <v>0</v>
      </c>
      <c r="X875" s="6">
        <v>129</v>
      </c>
      <c r="Y875" s="6"/>
      <c r="Z875" s="6"/>
      <c r="AA875" s="6"/>
      <c r="AB875" s="6">
        <v>108</v>
      </c>
      <c r="AC875" s="6">
        <v>2189</v>
      </c>
      <c r="AD875" s="6">
        <v>11</v>
      </c>
      <c r="AE875" s="6">
        <v>20752</v>
      </c>
      <c r="AF875" s="6">
        <v>27400</v>
      </c>
    </row>
    <row r="876" spans="1:32" x14ac:dyDescent="0.35">
      <c r="A876" s="1">
        <v>43677</v>
      </c>
      <c r="B876" s="6">
        <v>3779102</v>
      </c>
      <c r="C876" s="6">
        <v>11037</v>
      </c>
      <c r="D876" s="6">
        <v>5200</v>
      </c>
      <c r="E876" s="6">
        <v>1682</v>
      </c>
      <c r="F876" s="6">
        <v>3711446</v>
      </c>
      <c r="G876" s="6">
        <v>3594822</v>
      </c>
      <c r="H876" s="6">
        <v>2080700</v>
      </c>
      <c r="I876" s="6">
        <v>2</v>
      </c>
      <c r="J876" s="6">
        <v>1940396</v>
      </c>
      <c r="K876" s="6">
        <v>116545</v>
      </c>
      <c r="L876" s="6">
        <v>23757</v>
      </c>
      <c r="M876" s="6">
        <v>54817</v>
      </c>
      <c r="N876" s="6">
        <v>27659</v>
      </c>
      <c r="O876" s="6">
        <v>256814</v>
      </c>
      <c r="P876" s="6">
        <v>863166</v>
      </c>
      <c r="Q876" s="6">
        <v>265728</v>
      </c>
      <c r="R876" s="6">
        <v>612516</v>
      </c>
      <c r="S876" s="6">
        <v>2347</v>
      </c>
      <c r="T876" s="6">
        <v>1511775</v>
      </c>
      <c r="U876" s="6">
        <v>129256</v>
      </c>
      <c r="V876" s="6">
        <v>-12764</v>
      </c>
      <c r="W876" s="6">
        <v>0</v>
      </c>
      <c r="X876" s="6">
        <v>132</v>
      </c>
      <c r="Y876" s="6"/>
      <c r="Z876" s="6"/>
      <c r="AA876" s="6"/>
      <c r="AB876" s="6">
        <v>68</v>
      </c>
      <c r="AC876" s="6">
        <v>2195</v>
      </c>
      <c r="AD876" s="6">
        <v>11</v>
      </c>
      <c r="AE876" s="6">
        <v>20715</v>
      </c>
      <c r="AF876" s="6">
        <v>26746</v>
      </c>
    </row>
    <row r="877" spans="1:32" x14ac:dyDescent="0.35">
      <c r="A877" s="1">
        <v>43684</v>
      </c>
      <c r="B877" s="6">
        <v>3781543</v>
      </c>
      <c r="C877" s="6">
        <v>11037</v>
      </c>
      <c r="D877" s="6">
        <v>5200</v>
      </c>
      <c r="E877" s="6">
        <v>1699</v>
      </c>
      <c r="F877" s="6">
        <v>3711280</v>
      </c>
      <c r="G877" s="6">
        <v>3594828</v>
      </c>
      <c r="H877" s="6">
        <v>2080704</v>
      </c>
      <c r="I877" s="6">
        <v>0</v>
      </c>
      <c r="J877" s="6">
        <v>1940396</v>
      </c>
      <c r="K877" s="6">
        <v>116545</v>
      </c>
      <c r="L877" s="6">
        <v>23763</v>
      </c>
      <c r="M877" s="6">
        <v>54814</v>
      </c>
      <c r="N877" s="6">
        <v>43341</v>
      </c>
      <c r="O877" s="6">
        <v>251235</v>
      </c>
      <c r="P877" s="6">
        <v>853063</v>
      </c>
      <c r="Q877" s="6">
        <v>265731</v>
      </c>
      <c r="R877" s="6">
        <v>612519</v>
      </c>
      <c r="S877" s="6">
        <v>2347</v>
      </c>
      <c r="T877" s="6">
        <v>1511777</v>
      </c>
      <c r="U877" s="6">
        <v>129085</v>
      </c>
      <c r="V877" s="6">
        <v>-12735</v>
      </c>
      <c r="W877" s="6">
        <v>0</v>
      </c>
      <c r="X877" s="6">
        <v>102</v>
      </c>
      <c r="Y877" s="6"/>
      <c r="Z877" s="6"/>
      <c r="AA877" s="6"/>
      <c r="AB877" s="6">
        <v>58</v>
      </c>
      <c r="AC877" s="6">
        <v>2185</v>
      </c>
      <c r="AD877" s="6">
        <v>30</v>
      </c>
      <c r="AE877" s="6">
        <v>21054</v>
      </c>
      <c r="AF877" s="6">
        <v>29000</v>
      </c>
    </row>
    <row r="878" spans="1:32" x14ac:dyDescent="0.35">
      <c r="A878" s="1">
        <v>43691</v>
      </c>
      <c r="B878" s="6">
        <v>3786018</v>
      </c>
      <c r="C878" s="6">
        <v>11037</v>
      </c>
      <c r="D878" s="6">
        <v>5200</v>
      </c>
      <c r="E878" s="6">
        <v>1715</v>
      </c>
      <c r="F878" s="6">
        <v>3713513</v>
      </c>
      <c r="G878" s="6">
        <v>3597231</v>
      </c>
      <c r="H878" s="6">
        <v>2080710</v>
      </c>
      <c r="I878" s="6">
        <v>0</v>
      </c>
      <c r="J878" s="6">
        <v>1940396</v>
      </c>
      <c r="K878" s="6">
        <v>116545</v>
      </c>
      <c r="L878" s="6">
        <v>23769</v>
      </c>
      <c r="M878" s="6">
        <v>54814</v>
      </c>
      <c r="N878" s="6">
        <v>43341</v>
      </c>
      <c r="O878" s="6">
        <v>251235</v>
      </c>
      <c r="P878" s="6">
        <v>853064</v>
      </c>
      <c r="Q878" s="6">
        <v>265734</v>
      </c>
      <c r="R878" s="6">
        <v>612521</v>
      </c>
      <c r="S878" s="6">
        <v>2347</v>
      </c>
      <c r="T878" s="6">
        <v>1514174</v>
      </c>
      <c r="U878" s="6">
        <v>128888</v>
      </c>
      <c r="V878" s="6">
        <v>-12706</v>
      </c>
      <c r="W878" s="6">
        <v>0</v>
      </c>
      <c r="X878" s="6">
        <v>100</v>
      </c>
      <c r="Y878" s="6"/>
      <c r="Z878" s="6"/>
      <c r="AA878" s="6"/>
      <c r="AB878" s="6">
        <v>59</v>
      </c>
      <c r="AC878" s="6">
        <v>2186</v>
      </c>
      <c r="AD878" s="6">
        <v>45</v>
      </c>
      <c r="AE878" s="6">
        <v>20940</v>
      </c>
      <c r="AF878" s="6">
        <v>31323</v>
      </c>
    </row>
    <row r="879" spans="1:32" x14ac:dyDescent="0.35">
      <c r="A879" s="1">
        <v>43698</v>
      </c>
      <c r="B879" s="6">
        <v>3764866</v>
      </c>
      <c r="C879" s="6">
        <v>11037</v>
      </c>
      <c r="D879" s="6">
        <v>5200</v>
      </c>
      <c r="E879" s="6">
        <v>1724</v>
      </c>
      <c r="F879" s="6">
        <v>3707313</v>
      </c>
      <c r="G879" s="6">
        <v>3591937</v>
      </c>
      <c r="H879" s="6">
        <v>2088920</v>
      </c>
      <c r="I879" s="6">
        <v>3001</v>
      </c>
      <c r="J879" s="6">
        <v>1945599</v>
      </c>
      <c r="K879" s="6">
        <v>116545</v>
      </c>
      <c r="L879" s="6">
        <v>23775</v>
      </c>
      <c r="M879" s="6">
        <v>14674</v>
      </c>
      <c r="N879" s="6">
        <v>70603</v>
      </c>
      <c r="O879" s="6">
        <v>268484</v>
      </c>
      <c r="P879" s="6">
        <v>826882</v>
      </c>
      <c r="Q879" s="6">
        <v>289608</v>
      </c>
      <c r="R879" s="6">
        <v>618670</v>
      </c>
      <c r="S879" s="6">
        <v>2347</v>
      </c>
      <c r="T879" s="6">
        <v>1500670</v>
      </c>
      <c r="U879" s="6">
        <v>128243</v>
      </c>
      <c r="V879" s="6">
        <v>-13046</v>
      </c>
      <c r="W879" s="6">
        <v>0</v>
      </c>
      <c r="X879" s="6">
        <v>179</v>
      </c>
      <c r="Y879" s="6"/>
      <c r="Z879" s="6"/>
      <c r="AA879" s="6"/>
      <c r="AB879" s="6">
        <v>53</v>
      </c>
      <c r="AC879" s="6">
        <v>2191</v>
      </c>
      <c r="AD879" s="6">
        <v>43</v>
      </c>
      <c r="AE879" s="6">
        <v>20829</v>
      </c>
      <c r="AF879" s="6">
        <v>16477</v>
      </c>
    </row>
    <row r="880" spans="1:32" x14ac:dyDescent="0.35">
      <c r="A880" s="1">
        <v>43705</v>
      </c>
      <c r="B880" s="6">
        <v>3759946</v>
      </c>
      <c r="C880" s="6">
        <v>11037</v>
      </c>
      <c r="D880" s="6">
        <v>5200</v>
      </c>
      <c r="E880" s="6">
        <v>1722</v>
      </c>
      <c r="F880" s="6">
        <v>3702074</v>
      </c>
      <c r="G880" s="6">
        <v>3587082</v>
      </c>
      <c r="H880" s="6">
        <v>2095130</v>
      </c>
      <c r="I880" s="6">
        <v>3001</v>
      </c>
      <c r="J880" s="6">
        <v>1951802</v>
      </c>
      <c r="K880" s="6">
        <v>116545</v>
      </c>
      <c r="L880" s="6">
        <v>23782</v>
      </c>
      <c r="M880" s="6">
        <v>14674</v>
      </c>
      <c r="N880" s="6">
        <v>70603</v>
      </c>
      <c r="O880" s="6">
        <v>268484</v>
      </c>
      <c r="P880" s="6">
        <v>830985</v>
      </c>
      <c r="Q880" s="6">
        <v>291712</v>
      </c>
      <c r="R880" s="6">
        <v>618672</v>
      </c>
      <c r="S880" s="6">
        <v>2347</v>
      </c>
      <c r="T880" s="6">
        <v>1489605</v>
      </c>
      <c r="U880" s="6">
        <v>127805</v>
      </c>
      <c r="V880" s="6">
        <v>-12923</v>
      </c>
      <c r="W880" s="6">
        <v>0</v>
      </c>
      <c r="X880" s="6">
        <v>110</v>
      </c>
      <c r="Y880" s="6"/>
      <c r="Z880" s="6"/>
      <c r="AA880" s="6"/>
      <c r="AB880" s="6">
        <v>49</v>
      </c>
      <c r="AC880" s="6">
        <v>2191</v>
      </c>
      <c r="AD880" s="6">
        <v>69</v>
      </c>
      <c r="AE880" s="6">
        <v>20868</v>
      </c>
      <c r="AF880" s="6">
        <v>16736</v>
      </c>
    </row>
    <row r="881" spans="1:32" x14ac:dyDescent="0.35">
      <c r="A881" s="1">
        <v>43712</v>
      </c>
      <c r="B881" s="6">
        <v>3761508</v>
      </c>
      <c r="C881" s="6">
        <v>11037</v>
      </c>
      <c r="D881" s="6">
        <v>5200</v>
      </c>
      <c r="E881" s="6">
        <v>1702</v>
      </c>
      <c r="F881" s="6">
        <v>3701836</v>
      </c>
      <c r="G881" s="6">
        <v>3587116</v>
      </c>
      <c r="H881" s="6">
        <v>2095164</v>
      </c>
      <c r="I881" s="6">
        <v>3001</v>
      </c>
      <c r="J881" s="6">
        <v>1951802</v>
      </c>
      <c r="K881" s="6">
        <v>116545</v>
      </c>
      <c r="L881" s="6">
        <v>23816</v>
      </c>
      <c r="M881" s="6">
        <v>50</v>
      </c>
      <c r="N881" s="6">
        <v>78951</v>
      </c>
      <c r="O881" s="6">
        <v>265484</v>
      </c>
      <c r="P881" s="6">
        <v>836987</v>
      </c>
      <c r="Q881" s="6">
        <v>295006</v>
      </c>
      <c r="R881" s="6">
        <v>618685</v>
      </c>
      <c r="S881" s="6">
        <v>2347</v>
      </c>
      <c r="T881" s="6">
        <v>1489605</v>
      </c>
      <c r="U881" s="6">
        <v>127584</v>
      </c>
      <c r="V881" s="6">
        <v>-12957</v>
      </c>
      <c r="W881" s="6">
        <v>0</v>
      </c>
      <c r="X881" s="6">
        <v>93</v>
      </c>
      <c r="Y881" s="6"/>
      <c r="Z881" s="6"/>
      <c r="AA881" s="6"/>
      <c r="AB881" s="6">
        <v>87</v>
      </c>
      <c r="AC881" s="6">
        <v>2184</v>
      </c>
      <c r="AD881" s="6">
        <v>872</v>
      </c>
      <c r="AE881" s="6">
        <v>20767</v>
      </c>
      <c r="AF881" s="6">
        <v>17823</v>
      </c>
    </row>
    <row r="882" spans="1:32" x14ac:dyDescent="0.35">
      <c r="A882" s="1">
        <v>43719</v>
      </c>
      <c r="B882" s="6">
        <v>3769673</v>
      </c>
      <c r="C882" s="6">
        <v>11037</v>
      </c>
      <c r="D882" s="6">
        <v>5200</v>
      </c>
      <c r="E882" s="6">
        <v>1706</v>
      </c>
      <c r="F882" s="6">
        <v>3708775</v>
      </c>
      <c r="G882" s="6">
        <v>3593121</v>
      </c>
      <c r="H882" s="6">
        <v>2101169</v>
      </c>
      <c r="I882" s="6">
        <v>3001</v>
      </c>
      <c r="J882" s="6">
        <v>1955803</v>
      </c>
      <c r="K882" s="6">
        <v>118146</v>
      </c>
      <c r="L882" s="6">
        <v>24219</v>
      </c>
      <c r="M882" s="6">
        <v>50</v>
      </c>
      <c r="N882" s="6">
        <v>78951</v>
      </c>
      <c r="O882" s="6">
        <v>265487</v>
      </c>
      <c r="P882" s="6">
        <v>837872</v>
      </c>
      <c r="Q882" s="6">
        <v>297554</v>
      </c>
      <c r="R882" s="6">
        <v>621254</v>
      </c>
      <c r="S882" s="6">
        <v>2347</v>
      </c>
      <c r="T882" s="6">
        <v>1489605</v>
      </c>
      <c r="U882" s="6">
        <v>128311</v>
      </c>
      <c r="V882" s="6">
        <v>-12739</v>
      </c>
      <c r="W882" s="6">
        <v>0</v>
      </c>
      <c r="X882" s="6">
        <v>83</v>
      </c>
      <c r="Y882" s="6"/>
      <c r="Z882" s="6"/>
      <c r="AA882" s="6"/>
      <c r="AB882" s="6">
        <v>45</v>
      </c>
      <c r="AC882" s="6">
        <v>2184</v>
      </c>
      <c r="AD882" s="6">
        <v>40</v>
      </c>
      <c r="AE882" s="6">
        <v>20623</v>
      </c>
      <c r="AF882" s="6">
        <v>20062</v>
      </c>
    </row>
    <row r="883" spans="1:32" x14ac:dyDescent="0.35">
      <c r="A883" s="1">
        <v>43726</v>
      </c>
      <c r="B883" s="6">
        <v>3844695</v>
      </c>
      <c r="C883" s="6">
        <v>11037</v>
      </c>
      <c r="D883" s="6">
        <v>5200</v>
      </c>
      <c r="E883" s="6">
        <v>1703</v>
      </c>
      <c r="F883" s="6">
        <v>3782875</v>
      </c>
      <c r="G883" s="6">
        <v>3592607</v>
      </c>
      <c r="H883" s="6">
        <v>2105826</v>
      </c>
      <c r="I883" s="6">
        <v>6002</v>
      </c>
      <c r="J883" s="6">
        <v>1957404</v>
      </c>
      <c r="K883" s="6">
        <v>118146</v>
      </c>
      <c r="L883" s="6">
        <v>24274</v>
      </c>
      <c r="M883" s="6">
        <v>12985</v>
      </c>
      <c r="N883" s="6">
        <v>66593</v>
      </c>
      <c r="O883" s="6">
        <v>269514</v>
      </c>
      <c r="P883" s="6">
        <v>837878</v>
      </c>
      <c r="Q883" s="6">
        <v>297580</v>
      </c>
      <c r="R883" s="6">
        <v>621275</v>
      </c>
      <c r="S883" s="6">
        <v>2347</v>
      </c>
      <c r="T883" s="6">
        <v>1484434</v>
      </c>
      <c r="U883" s="6">
        <v>127927</v>
      </c>
      <c r="V883" s="6">
        <v>-12746</v>
      </c>
      <c r="W883" s="6">
        <v>75000</v>
      </c>
      <c r="X883" s="6">
        <v>87</v>
      </c>
      <c r="Y883" s="6"/>
      <c r="Z883" s="6"/>
      <c r="AA883" s="6"/>
      <c r="AB883" s="6">
        <v>47</v>
      </c>
      <c r="AC883" s="6">
        <v>2189</v>
      </c>
      <c r="AD883" s="6">
        <v>39</v>
      </c>
      <c r="AE883" s="6">
        <v>20652</v>
      </c>
      <c r="AF883" s="6">
        <v>20953</v>
      </c>
    </row>
    <row r="884" spans="1:32" x14ac:dyDescent="0.35">
      <c r="A884" s="1">
        <v>43733</v>
      </c>
      <c r="B884" s="6">
        <v>3857715</v>
      </c>
      <c r="C884" s="6">
        <v>11037</v>
      </c>
      <c r="D884" s="6">
        <v>5200</v>
      </c>
      <c r="E884" s="6">
        <v>1698</v>
      </c>
      <c r="F884" s="6">
        <v>3796829</v>
      </c>
      <c r="G884" s="6">
        <v>3577287</v>
      </c>
      <c r="H884" s="6">
        <v>2107683</v>
      </c>
      <c r="I884" s="6">
        <v>6002</v>
      </c>
      <c r="J884" s="6">
        <v>1959205</v>
      </c>
      <c r="K884" s="6">
        <v>118146</v>
      </c>
      <c r="L884" s="6">
        <v>24330</v>
      </c>
      <c r="M884" s="6">
        <v>13085</v>
      </c>
      <c r="N884" s="6">
        <v>66568</v>
      </c>
      <c r="O884" s="6">
        <v>269442</v>
      </c>
      <c r="P884" s="6">
        <v>839685</v>
      </c>
      <c r="Q884" s="6">
        <v>297606</v>
      </c>
      <c r="R884" s="6">
        <v>621296</v>
      </c>
      <c r="S884" s="6">
        <v>2347</v>
      </c>
      <c r="T884" s="6">
        <v>1467257</v>
      </c>
      <c r="U884" s="6">
        <v>127161</v>
      </c>
      <c r="V884" s="6">
        <v>-12714</v>
      </c>
      <c r="W884" s="6">
        <v>105000</v>
      </c>
      <c r="X884" s="6">
        <v>96</v>
      </c>
      <c r="Y884" s="6"/>
      <c r="Z884" s="6"/>
      <c r="AA884" s="6"/>
      <c r="AB884" s="6">
        <v>53</v>
      </c>
      <c r="AC884" s="6">
        <v>2190</v>
      </c>
      <c r="AD884" s="6">
        <v>42</v>
      </c>
      <c r="AE884" s="6">
        <v>20562</v>
      </c>
      <c r="AF884" s="6">
        <v>20105</v>
      </c>
    </row>
    <row r="885" spans="1:32" x14ac:dyDescent="0.35">
      <c r="A885" s="1">
        <v>43740</v>
      </c>
      <c r="B885" s="6">
        <v>3945831</v>
      </c>
      <c r="C885" s="6">
        <v>11037</v>
      </c>
      <c r="D885" s="6">
        <v>5200</v>
      </c>
      <c r="E885" s="6">
        <v>1702</v>
      </c>
      <c r="F885" s="6">
        <v>3882410</v>
      </c>
      <c r="G885" s="6">
        <v>3586738</v>
      </c>
      <c r="H885" s="6">
        <v>2117130</v>
      </c>
      <c r="I885" s="6">
        <v>6002</v>
      </c>
      <c r="J885" s="6">
        <v>1967364</v>
      </c>
      <c r="K885" s="6">
        <v>119392</v>
      </c>
      <c r="L885" s="6">
        <v>24372</v>
      </c>
      <c r="M885" s="6">
        <v>128</v>
      </c>
      <c r="N885" s="6">
        <v>77461</v>
      </c>
      <c r="O885" s="6">
        <v>267176</v>
      </c>
      <c r="P885" s="6">
        <v>848695</v>
      </c>
      <c r="Q885" s="6">
        <v>302345</v>
      </c>
      <c r="R885" s="6">
        <v>621326</v>
      </c>
      <c r="S885" s="6">
        <v>2347</v>
      </c>
      <c r="T885" s="6">
        <v>1467260</v>
      </c>
      <c r="U885" s="6">
        <v>127155</v>
      </c>
      <c r="V885" s="6">
        <v>-12646</v>
      </c>
      <c r="W885" s="6">
        <v>181050</v>
      </c>
      <c r="X885" s="6">
        <v>114</v>
      </c>
      <c r="Y885" s="6"/>
      <c r="Z885" s="6"/>
      <c r="AA885" s="6"/>
      <c r="AB885" s="6">
        <v>49</v>
      </c>
      <c r="AC885" s="6">
        <v>2183</v>
      </c>
      <c r="AD885" s="6">
        <v>973</v>
      </c>
      <c r="AE885" s="6">
        <v>20699</v>
      </c>
      <c r="AF885" s="6">
        <v>21579</v>
      </c>
    </row>
    <row r="886" spans="1:32" x14ac:dyDescent="0.35">
      <c r="A886" s="1">
        <v>43747</v>
      </c>
      <c r="B886" s="6">
        <v>3949955</v>
      </c>
      <c r="C886" s="6">
        <v>11037</v>
      </c>
      <c r="D886" s="6">
        <v>5200</v>
      </c>
      <c r="E886" s="6">
        <v>1700</v>
      </c>
      <c r="F886" s="6">
        <v>3885287</v>
      </c>
      <c r="G886" s="6">
        <v>3591105</v>
      </c>
      <c r="H886" s="6">
        <v>2121485</v>
      </c>
      <c r="I886" s="6">
        <v>6002</v>
      </c>
      <c r="J886" s="6">
        <v>1969966</v>
      </c>
      <c r="K886" s="6">
        <v>120993</v>
      </c>
      <c r="L886" s="6">
        <v>24524</v>
      </c>
      <c r="M886" s="6">
        <v>28</v>
      </c>
      <c r="N886" s="6">
        <v>77561</v>
      </c>
      <c r="O886" s="6">
        <v>267176</v>
      </c>
      <c r="P886" s="6">
        <v>849095</v>
      </c>
      <c r="Q886" s="6">
        <v>302408</v>
      </c>
      <c r="R886" s="6">
        <v>625217</v>
      </c>
      <c r="S886" s="6">
        <v>2347</v>
      </c>
      <c r="T886" s="6">
        <v>1467273</v>
      </c>
      <c r="U886" s="6">
        <v>128013</v>
      </c>
      <c r="V886" s="6">
        <v>-12553</v>
      </c>
      <c r="W886" s="6">
        <v>178650</v>
      </c>
      <c r="X886" s="6">
        <v>72</v>
      </c>
      <c r="Y886" s="6"/>
      <c r="Z886" s="6"/>
      <c r="AA886" s="6"/>
      <c r="AB886" s="6">
        <v>52</v>
      </c>
      <c r="AC886" s="6">
        <v>2186</v>
      </c>
      <c r="AD886" s="6">
        <v>39</v>
      </c>
      <c r="AE886" s="6">
        <v>20619</v>
      </c>
      <c r="AF886" s="6">
        <v>23836</v>
      </c>
    </row>
    <row r="887" spans="1:32" x14ac:dyDescent="0.35">
      <c r="A887" s="1">
        <v>43754</v>
      </c>
      <c r="B887" s="6">
        <v>3966471</v>
      </c>
      <c r="C887" s="6">
        <v>11037</v>
      </c>
      <c r="D887" s="6">
        <v>5200</v>
      </c>
      <c r="E887" s="6">
        <v>1684</v>
      </c>
      <c r="F887" s="6">
        <v>3901420</v>
      </c>
      <c r="G887" s="6">
        <v>3588569</v>
      </c>
      <c r="H887" s="6">
        <v>2123085</v>
      </c>
      <c r="I887" s="6">
        <v>6002</v>
      </c>
      <c r="J887" s="6">
        <v>1971567</v>
      </c>
      <c r="K887" s="6">
        <v>120993</v>
      </c>
      <c r="L887" s="6">
        <v>24523</v>
      </c>
      <c r="M887" s="6">
        <v>15683</v>
      </c>
      <c r="N887" s="6">
        <v>63032</v>
      </c>
      <c r="O887" s="6">
        <v>267651</v>
      </c>
      <c r="P887" s="6">
        <v>849095</v>
      </c>
      <c r="Q887" s="6">
        <v>302407</v>
      </c>
      <c r="R887" s="6">
        <v>625217</v>
      </c>
      <c r="S887" s="6">
        <v>2347</v>
      </c>
      <c r="T887" s="6">
        <v>1463137</v>
      </c>
      <c r="U887" s="6">
        <v>127617</v>
      </c>
      <c r="V887" s="6">
        <v>-12526</v>
      </c>
      <c r="W887" s="6">
        <v>197700</v>
      </c>
      <c r="X887" s="6">
        <v>60</v>
      </c>
      <c r="Y887" s="6"/>
      <c r="Z887" s="6"/>
      <c r="AA887" s="6"/>
      <c r="AB887" s="6">
        <v>80</v>
      </c>
      <c r="AC887" s="6">
        <v>2186</v>
      </c>
      <c r="AD887" s="6">
        <v>43</v>
      </c>
      <c r="AE887" s="6">
        <v>20622</v>
      </c>
      <c r="AF887" s="6">
        <v>24199</v>
      </c>
    </row>
    <row r="888" spans="1:32" x14ac:dyDescent="0.35">
      <c r="A888" s="1">
        <v>43761</v>
      </c>
      <c r="B888" s="6">
        <v>3968700</v>
      </c>
      <c r="C888" s="6">
        <v>11037</v>
      </c>
      <c r="D888" s="6">
        <v>5200</v>
      </c>
      <c r="E888" s="6">
        <v>1680</v>
      </c>
      <c r="F888" s="6">
        <v>3902264</v>
      </c>
      <c r="G888" s="6">
        <v>3609449</v>
      </c>
      <c r="H888" s="6">
        <v>2149188</v>
      </c>
      <c r="I888" s="6">
        <v>28505</v>
      </c>
      <c r="J888" s="6">
        <v>1975169</v>
      </c>
      <c r="K888" s="6">
        <v>120993</v>
      </c>
      <c r="L888" s="6">
        <v>24521</v>
      </c>
      <c r="M888" s="6">
        <v>15736</v>
      </c>
      <c r="N888" s="6">
        <v>77195</v>
      </c>
      <c r="O888" s="6">
        <v>276315</v>
      </c>
      <c r="P888" s="6">
        <v>852320</v>
      </c>
      <c r="Q888" s="6">
        <v>302406</v>
      </c>
      <c r="R888" s="6">
        <v>625216</v>
      </c>
      <c r="S888" s="6">
        <v>2347</v>
      </c>
      <c r="T888" s="6">
        <v>1457914</v>
      </c>
      <c r="U888" s="6">
        <v>127189</v>
      </c>
      <c r="V888" s="6">
        <v>-12633</v>
      </c>
      <c r="W888" s="6">
        <v>178204</v>
      </c>
      <c r="X888" s="6">
        <v>54</v>
      </c>
      <c r="Y888" s="6"/>
      <c r="Z888" s="6"/>
      <c r="AA888" s="6"/>
      <c r="AB888" s="6">
        <v>50</v>
      </c>
      <c r="AC888" s="6">
        <v>2191</v>
      </c>
      <c r="AD888" s="6">
        <v>43</v>
      </c>
      <c r="AE888" s="6">
        <v>20673</v>
      </c>
      <c r="AF888" s="6">
        <v>25562</v>
      </c>
    </row>
    <row r="889" spans="1:32" x14ac:dyDescent="0.35">
      <c r="A889" s="1">
        <v>43768</v>
      </c>
      <c r="B889" s="6">
        <v>4019823</v>
      </c>
      <c r="C889" s="6">
        <v>11037</v>
      </c>
      <c r="D889" s="6">
        <v>5200</v>
      </c>
      <c r="E889" s="6">
        <v>1674</v>
      </c>
      <c r="F889" s="6">
        <v>3953070</v>
      </c>
      <c r="G889" s="6">
        <v>3623600</v>
      </c>
      <c r="H889" s="6">
        <v>2175491</v>
      </c>
      <c r="I889" s="6">
        <v>51008</v>
      </c>
      <c r="J889" s="6">
        <v>1978971</v>
      </c>
      <c r="K889" s="6">
        <v>120993</v>
      </c>
      <c r="L889" s="6">
        <v>24519</v>
      </c>
      <c r="M889" s="6">
        <v>17783</v>
      </c>
      <c r="N889" s="6">
        <v>81959</v>
      </c>
      <c r="O889" s="6">
        <v>292006</v>
      </c>
      <c r="P889" s="6">
        <v>856122</v>
      </c>
      <c r="Q889" s="6">
        <v>302405</v>
      </c>
      <c r="R889" s="6">
        <v>625215</v>
      </c>
      <c r="S889" s="6">
        <v>2347</v>
      </c>
      <c r="T889" s="6">
        <v>1445762</v>
      </c>
      <c r="U889" s="6">
        <v>126652</v>
      </c>
      <c r="V889" s="6">
        <v>-12750</v>
      </c>
      <c r="W889" s="6">
        <v>215500</v>
      </c>
      <c r="X889" s="6">
        <v>68</v>
      </c>
      <c r="Y889" s="6"/>
      <c r="Z889" s="6"/>
      <c r="AA889" s="6"/>
      <c r="AB889" s="6">
        <v>54</v>
      </c>
      <c r="AC889" s="6">
        <v>2200</v>
      </c>
      <c r="AD889" s="6">
        <v>41</v>
      </c>
      <c r="AE889" s="6">
        <v>20660</v>
      </c>
      <c r="AF889" s="6">
        <v>25887</v>
      </c>
    </row>
    <row r="890" spans="1:32" x14ac:dyDescent="0.35">
      <c r="A890" s="1">
        <v>43775</v>
      </c>
      <c r="B890" s="6">
        <v>4039443</v>
      </c>
      <c r="C890" s="6">
        <v>11037</v>
      </c>
      <c r="D890" s="6">
        <v>5200</v>
      </c>
      <c r="E890" s="6">
        <v>1674</v>
      </c>
      <c r="F890" s="6">
        <v>3971447</v>
      </c>
      <c r="G890" s="6">
        <v>3642441</v>
      </c>
      <c r="H890" s="6">
        <v>2194318</v>
      </c>
      <c r="I890" s="6">
        <v>66010</v>
      </c>
      <c r="J890" s="6">
        <v>1980995</v>
      </c>
      <c r="K890" s="6">
        <v>122771</v>
      </c>
      <c r="L890" s="6">
        <v>24542</v>
      </c>
      <c r="M890" s="6">
        <v>41822</v>
      </c>
      <c r="N890" s="6">
        <v>65966</v>
      </c>
      <c r="O890" s="6">
        <v>285932</v>
      </c>
      <c r="P890" s="6">
        <v>866728</v>
      </c>
      <c r="Q890" s="6">
        <v>308578</v>
      </c>
      <c r="R890" s="6">
        <v>625292</v>
      </c>
      <c r="S890" s="6">
        <v>2347</v>
      </c>
      <c r="T890" s="6">
        <v>1445776</v>
      </c>
      <c r="U890" s="6">
        <v>126604</v>
      </c>
      <c r="V890" s="6">
        <v>-12781</v>
      </c>
      <c r="W890" s="6">
        <v>215160</v>
      </c>
      <c r="X890" s="6">
        <v>22</v>
      </c>
      <c r="Y890" s="6"/>
      <c r="Z890" s="6"/>
      <c r="AA890" s="6"/>
      <c r="AB890" s="6">
        <v>76</v>
      </c>
      <c r="AC890" s="6">
        <v>2186</v>
      </c>
      <c r="AD890" s="6">
        <v>46</v>
      </c>
      <c r="AE890" s="6">
        <v>20607</v>
      </c>
      <c r="AF890" s="6">
        <v>27171</v>
      </c>
    </row>
    <row r="891" spans="1:32" x14ac:dyDescent="0.35">
      <c r="A891" s="1">
        <v>43782</v>
      </c>
      <c r="B891" s="6">
        <v>4047882</v>
      </c>
      <c r="C891" s="6">
        <v>11037</v>
      </c>
      <c r="D891" s="6">
        <v>5200</v>
      </c>
      <c r="E891" s="6">
        <v>1667</v>
      </c>
      <c r="F891" s="6">
        <v>3977733</v>
      </c>
      <c r="G891" s="6">
        <v>3653964</v>
      </c>
      <c r="H891" s="6">
        <v>2201529</v>
      </c>
      <c r="I891" s="6">
        <v>69011</v>
      </c>
      <c r="J891" s="6">
        <v>1983196</v>
      </c>
      <c r="K891" s="6">
        <v>124372</v>
      </c>
      <c r="L891" s="6">
        <v>24950</v>
      </c>
      <c r="M891" s="6">
        <v>41805</v>
      </c>
      <c r="N891" s="6">
        <v>66967</v>
      </c>
      <c r="O891" s="6">
        <v>287950</v>
      </c>
      <c r="P891" s="6">
        <v>867266</v>
      </c>
      <c r="Q891" s="6">
        <v>310038</v>
      </c>
      <c r="R891" s="6">
        <v>627503</v>
      </c>
      <c r="S891" s="6">
        <v>2347</v>
      </c>
      <c r="T891" s="6">
        <v>1450089</v>
      </c>
      <c r="U891" s="6">
        <v>126854</v>
      </c>
      <c r="V891" s="6">
        <v>-12731</v>
      </c>
      <c r="W891" s="6">
        <v>209609</v>
      </c>
      <c r="X891" s="6">
        <v>37</v>
      </c>
      <c r="Y891" s="6"/>
      <c r="Z891" s="6"/>
      <c r="AA891" s="6"/>
      <c r="AB891" s="6">
        <v>95</v>
      </c>
      <c r="AC891" s="6">
        <v>2188</v>
      </c>
      <c r="AD891" s="6">
        <v>41</v>
      </c>
      <c r="AE891" s="6">
        <v>20531</v>
      </c>
      <c r="AF891" s="6">
        <v>29389</v>
      </c>
    </row>
    <row r="892" spans="1:32" x14ac:dyDescent="0.35">
      <c r="A892" s="1">
        <v>43789</v>
      </c>
      <c r="B892" s="6">
        <v>4030249</v>
      </c>
      <c r="C892" s="6">
        <v>11037</v>
      </c>
      <c r="D892" s="6">
        <v>5200</v>
      </c>
      <c r="E892" s="6">
        <v>1658</v>
      </c>
      <c r="F892" s="6">
        <v>3972307</v>
      </c>
      <c r="G892" s="6">
        <v>3659904</v>
      </c>
      <c r="H892" s="6">
        <v>2220361</v>
      </c>
      <c r="I892" s="6">
        <v>84013</v>
      </c>
      <c r="J892" s="6">
        <v>1986999</v>
      </c>
      <c r="K892" s="6">
        <v>124372</v>
      </c>
      <c r="L892" s="6">
        <v>24977</v>
      </c>
      <c r="M892" s="6">
        <v>10034</v>
      </c>
      <c r="N892" s="6">
        <v>96881</v>
      </c>
      <c r="O892" s="6">
        <v>282729</v>
      </c>
      <c r="P892" s="6">
        <v>876899</v>
      </c>
      <c r="Q892" s="6">
        <v>317309</v>
      </c>
      <c r="R892" s="6">
        <v>636510</v>
      </c>
      <c r="S892" s="6">
        <v>2347</v>
      </c>
      <c r="T892" s="6">
        <v>1437197</v>
      </c>
      <c r="U892" s="6">
        <v>126210</v>
      </c>
      <c r="V892" s="6">
        <v>-12993</v>
      </c>
      <c r="W892" s="6">
        <v>199159</v>
      </c>
      <c r="X892" s="6">
        <v>26</v>
      </c>
      <c r="Y892" s="6"/>
      <c r="Z892" s="6"/>
      <c r="AA892" s="6"/>
      <c r="AB892" s="6">
        <v>57</v>
      </c>
      <c r="AC892" s="6">
        <v>2193</v>
      </c>
      <c r="AD892" s="6">
        <v>48</v>
      </c>
      <c r="AE892" s="6">
        <v>20607</v>
      </c>
      <c r="AF892" s="6">
        <v>17141</v>
      </c>
    </row>
    <row r="893" spans="1:32" x14ac:dyDescent="0.35">
      <c r="A893" s="1">
        <v>43796</v>
      </c>
      <c r="B893" s="6">
        <v>4052875</v>
      </c>
      <c r="C893" s="6">
        <v>11037</v>
      </c>
      <c r="D893" s="6">
        <v>5200</v>
      </c>
      <c r="E893" s="6">
        <v>1621</v>
      </c>
      <c r="F893" s="6">
        <v>3994379</v>
      </c>
      <c r="G893" s="6">
        <v>3674569</v>
      </c>
      <c r="H893" s="6">
        <v>2248498</v>
      </c>
      <c r="I893" s="6">
        <v>106516</v>
      </c>
      <c r="J893" s="6">
        <v>1992602</v>
      </c>
      <c r="K893" s="6">
        <v>124372</v>
      </c>
      <c r="L893" s="6">
        <v>25008</v>
      </c>
      <c r="M893" s="6">
        <v>10203</v>
      </c>
      <c r="N893" s="6">
        <v>97984</v>
      </c>
      <c r="O893" s="6">
        <v>303961</v>
      </c>
      <c r="P893" s="6">
        <v>882505</v>
      </c>
      <c r="Q893" s="6">
        <v>317323</v>
      </c>
      <c r="R893" s="6">
        <v>636521</v>
      </c>
      <c r="S893" s="6">
        <v>2347</v>
      </c>
      <c r="T893" s="6">
        <v>1423724</v>
      </c>
      <c r="U893" s="6">
        <v>125635</v>
      </c>
      <c r="V893" s="6">
        <v>-13108</v>
      </c>
      <c r="W893" s="6">
        <v>207243</v>
      </c>
      <c r="X893" s="6">
        <v>40</v>
      </c>
      <c r="Y893" s="6"/>
      <c r="Z893" s="6"/>
      <c r="AA893" s="6"/>
      <c r="AB893" s="6">
        <v>83</v>
      </c>
      <c r="AC893" s="6">
        <v>2205</v>
      </c>
      <c r="AD893" s="6">
        <v>47</v>
      </c>
      <c r="AE893" s="6">
        <v>20493</v>
      </c>
      <c r="AF893" s="6">
        <v>17809</v>
      </c>
    </row>
    <row r="894" spans="1:32" x14ac:dyDescent="0.35">
      <c r="A894" s="1">
        <v>43803</v>
      </c>
      <c r="B894" s="6">
        <v>4065696</v>
      </c>
      <c r="C894" s="6">
        <v>11037</v>
      </c>
      <c r="D894" s="6">
        <v>5200</v>
      </c>
      <c r="E894" s="6">
        <v>1620</v>
      </c>
      <c r="F894" s="6">
        <v>4006350</v>
      </c>
      <c r="G894" s="6">
        <v>3685925</v>
      </c>
      <c r="H894" s="6">
        <v>2259853</v>
      </c>
      <c r="I894" s="6">
        <v>114017</v>
      </c>
      <c r="J894" s="6">
        <v>1996404</v>
      </c>
      <c r="K894" s="6">
        <v>124372</v>
      </c>
      <c r="L894" s="6">
        <v>25060</v>
      </c>
      <c r="M894" s="6">
        <v>8372</v>
      </c>
      <c r="N894" s="6">
        <v>110535</v>
      </c>
      <c r="O894" s="6">
        <v>301082</v>
      </c>
      <c r="P894" s="6">
        <v>881241</v>
      </c>
      <c r="Q894" s="6">
        <v>322057</v>
      </c>
      <c r="R894" s="6">
        <v>636566</v>
      </c>
      <c r="S894" s="6">
        <v>2347</v>
      </c>
      <c r="T894" s="6">
        <v>1423725</v>
      </c>
      <c r="U894" s="6">
        <v>125541</v>
      </c>
      <c r="V894" s="6">
        <v>-13131</v>
      </c>
      <c r="W894" s="6">
        <v>208007</v>
      </c>
      <c r="X894" s="6">
        <v>9</v>
      </c>
      <c r="Y894" s="6"/>
      <c r="Z894" s="6"/>
      <c r="AA894" s="6"/>
      <c r="AB894" s="6">
        <v>53</v>
      </c>
      <c r="AC894" s="6">
        <v>2191</v>
      </c>
      <c r="AD894" s="6">
        <v>47</v>
      </c>
      <c r="AE894" s="6">
        <v>20604</v>
      </c>
      <c r="AF894" s="6">
        <v>18594</v>
      </c>
    </row>
    <row r="895" spans="1:32" x14ac:dyDescent="0.35">
      <c r="A895" s="1">
        <v>43810</v>
      </c>
      <c r="B895" s="6">
        <v>4095491</v>
      </c>
      <c r="C895" s="6">
        <v>11037</v>
      </c>
      <c r="D895" s="6">
        <v>5200</v>
      </c>
      <c r="E895" s="6">
        <v>1649</v>
      </c>
      <c r="F895" s="6">
        <v>4033811</v>
      </c>
      <c r="G895" s="6">
        <v>3708268</v>
      </c>
      <c r="H895" s="6">
        <v>2282196</v>
      </c>
      <c r="I895" s="6">
        <v>132020</v>
      </c>
      <c r="J895" s="6">
        <v>1998956</v>
      </c>
      <c r="K895" s="6">
        <v>125973</v>
      </c>
      <c r="L895" s="6">
        <v>25247</v>
      </c>
      <c r="M895" s="6">
        <v>13623</v>
      </c>
      <c r="N895" s="6">
        <v>110472</v>
      </c>
      <c r="O895" s="6">
        <v>313901</v>
      </c>
      <c r="P895" s="6">
        <v>881601</v>
      </c>
      <c r="Q895" s="6">
        <v>322136</v>
      </c>
      <c r="R895" s="6">
        <v>640463</v>
      </c>
      <c r="S895" s="6">
        <v>2347</v>
      </c>
      <c r="T895" s="6">
        <v>1423725</v>
      </c>
      <c r="U895" s="6">
        <v>125711</v>
      </c>
      <c r="V895" s="6">
        <v>-13143</v>
      </c>
      <c r="W895" s="6">
        <v>212957</v>
      </c>
      <c r="X895" s="6">
        <v>18</v>
      </c>
      <c r="Y895" s="6"/>
      <c r="Z895" s="6"/>
      <c r="AA895" s="6"/>
      <c r="AB895" s="6">
        <v>63</v>
      </c>
      <c r="AC895" s="6">
        <v>2192</v>
      </c>
      <c r="AD895" s="6">
        <v>69</v>
      </c>
      <c r="AE895" s="6">
        <v>20636</v>
      </c>
      <c r="AF895" s="6">
        <v>20834</v>
      </c>
    </row>
    <row r="896" spans="1:32" x14ac:dyDescent="0.35">
      <c r="A896" s="1">
        <v>43817</v>
      </c>
      <c r="B896" s="6">
        <v>4137052</v>
      </c>
      <c r="C896" s="6">
        <v>11037</v>
      </c>
      <c r="D896" s="6">
        <v>5200</v>
      </c>
      <c r="E896" s="6">
        <v>1673</v>
      </c>
      <c r="F896" s="6">
        <v>4074333</v>
      </c>
      <c r="G896" s="6">
        <v>3725461</v>
      </c>
      <c r="H896" s="6">
        <v>2300678</v>
      </c>
      <c r="I896" s="6">
        <v>147022</v>
      </c>
      <c r="J896" s="6">
        <v>2002358</v>
      </c>
      <c r="K896" s="6">
        <v>125973</v>
      </c>
      <c r="L896" s="6">
        <v>25325</v>
      </c>
      <c r="M896" s="6">
        <v>22179</v>
      </c>
      <c r="N896" s="6">
        <v>104466</v>
      </c>
      <c r="O896" s="6">
        <v>328716</v>
      </c>
      <c r="P896" s="6">
        <v>882652</v>
      </c>
      <c r="Q896" s="6">
        <v>322172</v>
      </c>
      <c r="R896" s="6">
        <v>640493</v>
      </c>
      <c r="S896" s="6">
        <v>2347</v>
      </c>
      <c r="T896" s="6">
        <v>1422436</v>
      </c>
      <c r="U896" s="6">
        <v>125398</v>
      </c>
      <c r="V896" s="6">
        <v>-13237</v>
      </c>
      <c r="W896" s="6">
        <v>236662</v>
      </c>
      <c r="X896" s="6">
        <v>48</v>
      </c>
      <c r="Y896" s="6"/>
      <c r="Z896" s="6"/>
      <c r="AA896" s="6"/>
      <c r="AB896" s="6">
        <v>54</v>
      </c>
      <c r="AC896" s="6">
        <v>2195</v>
      </c>
      <c r="AD896" s="6">
        <v>79</v>
      </c>
      <c r="AE896" s="6">
        <v>20587</v>
      </c>
      <c r="AF896" s="6">
        <v>21895</v>
      </c>
    </row>
    <row r="897" spans="1:32" x14ac:dyDescent="0.35">
      <c r="A897" s="1">
        <v>43824</v>
      </c>
      <c r="B897" s="6">
        <v>4165591</v>
      </c>
      <c r="C897" s="6">
        <v>11037</v>
      </c>
      <c r="D897" s="6">
        <v>5200</v>
      </c>
      <c r="E897" s="6">
        <v>1661</v>
      </c>
      <c r="F897" s="6">
        <v>4097936</v>
      </c>
      <c r="G897" s="6">
        <v>3751189</v>
      </c>
      <c r="H897" s="6">
        <v>2328862</v>
      </c>
      <c r="I897" s="6">
        <v>169525</v>
      </c>
      <c r="J897" s="6">
        <v>2007961</v>
      </c>
      <c r="K897" s="6">
        <v>125973</v>
      </c>
      <c r="L897" s="6">
        <v>25403</v>
      </c>
      <c r="M897" s="6">
        <v>18371</v>
      </c>
      <c r="N897" s="6">
        <v>114373</v>
      </c>
      <c r="O897" s="6">
        <v>345124</v>
      </c>
      <c r="P897" s="6">
        <v>888264</v>
      </c>
      <c r="Q897" s="6">
        <v>322208</v>
      </c>
      <c r="R897" s="6">
        <v>640522</v>
      </c>
      <c r="S897" s="6">
        <v>2347</v>
      </c>
      <c r="T897" s="6">
        <v>1419980</v>
      </c>
      <c r="U897" s="6">
        <v>125080</v>
      </c>
      <c r="V897" s="6">
        <v>-13316</v>
      </c>
      <c r="W897" s="6">
        <v>234969</v>
      </c>
      <c r="X897" s="6">
        <v>13</v>
      </c>
      <c r="Y897" s="6"/>
      <c r="Z897" s="6"/>
      <c r="AA897" s="6"/>
      <c r="AB897" s="6">
        <v>103</v>
      </c>
      <c r="AC897" s="6">
        <v>2207</v>
      </c>
      <c r="AD897" s="6">
        <v>3729</v>
      </c>
      <c r="AE897" s="6">
        <v>20571</v>
      </c>
      <c r="AF897" s="6">
        <v>23146</v>
      </c>
    </row>
    <row r="898" spans="1:32" x14ac:dyDescent="0.35">
      <c r="A898" s="1">
        <v>43831</v>
      </c>
      <c r="B898" s="6">
        <v>4173626</v>
      </c>
      <c r="C898" s="6">
        <v>11037</v>
      </c>
      <c r="D898" s="6">
        <v>5200</v>
      </c>
      <c r="E898" s="6">
        <v>1657</v>
      </c>
      <c r="F898" s="6">
        <v>4106911</v>
      </c>
      <c r="G898" s="6">
        <v>3739957</v>
      </c>
      <c r="H898" s="6">
        <v>2328933</v>
      </c>
      <c r="I898" s="6">
        <v>169525</v>
      </c>
      <c r="J898" s="6">
        <v>2006550</v>
      </c>
      <c r="K898" s="6">
        <v>127384</v>
      </c>
      <c r="L898" s="6">
        <v>25474</v>
      </c>
      <c r="M898" s="6">
        <v>8260</v>
      </c>
      <c r="N898" s="6">
        <v>115689</v>
      </c>
      <c r="O898" s="6">
        <v>341875</v>
      </c>
      <c r="P898" s="6">
        <v>900972</v>
      </c>
      <c r="Q898" s="6">
        <v>321591</v>
      </c>
      <c r="R898" s="6">
        <v>640547</v>
      </c>
      <c r="S898" s="6">
        <v>2347</v>
      </c>
      <c r="T898" s="6">
        <v>1408677</v>
      </c>
      <c r="U898" s="6">
        <v>124577</v>
      </c>
      <c r="V898" s="6">
        <v>-13284</v>
      </c>
      <c r="W898" s="6">
        <v>255619</v>
      </c>
      <c r="X898" s="6">
        <v>42</v>
      </c>
      <c r="Y898" s="6"/>
      <c r="Z898" s="6"/>
      <c r="AA898" s="6"/>
      <c r="AB898" s="6">
        <v>82</v>
      </c>
      <c r="AC898" s="6">
        <v>2211</v>
      </c>
      <c r="AD898" s="6">
        <v>3728</v>
      </c>
      <c r="AE898" s="6">
        <v>20792</v>
      </c>
      <c r="AF898" s="6">
        <v>22007</v>
      </c>
    </row>
    <row r="899" spans="1:32" x14ac:dyDescent="0.35">
      <c r="A899" s="1">
        <v>43838</v>
      </c>
      <c r="B899" s="6">
        <v>4149544</v>
      </c>
      <c r="C899" s="6">
        <v>11037</v>
      </c>
      <c r="D899" s="6">
        <v>5200</v>
      </c>
      <c r="E899" s="6">
        <v>1677</v>
      </c>
      <c r="F899" s="6">
        <v>4080523</v>
      </c>
      <c r="G899" s="6">
        <v>3758738</v>
      </c>
      <c r="H899" s="6">
        <v>2347714</v>
      </c>
      <c r="I899" s="6">
        <v>184527</v>
      </c>
      <c r="J899" s="6">
        <v>2010350</v>
      </c>
      <c r="K899" s="6">
        <v>127384</v>
      </c>
      <c r="L899" s="6">
        <v>25453</v>
      </c>
      <c r="M899" s="6">
        <v>18271</v>
      </c>
      <c r="N899" s="6">
        <v>125491</v>
      </c>
      <c r="O899" s="6">
        <v>344202</v>
      </c>
      <c r="P899" s="6">
        <v>894850</v>
      </c>
      <c r="Q899" s="6">
        <v>324301</v>
      </c>
      <c r="R899" s="6">
        <v>640599</v>
      </c>
      <c r="S899" s="6">
        <v>2347</v>
      </c>
      <c r="T899" s="6">
        <v>1408677</v>
      </c>
      <c r="U899" s="6">
        <v>124474</v>
      </c>
      <c r="V899" s="6">
        <v>-13278</v>
      </c>
      <c r="W899" s="6">
        <v>210587</v>
      </c>
      <c r="X899" s="6">
        <v>2</v>
      </c>
      <c r="Y899" s="6"/>
      <c r="Z899" s="6"/>
      <c r="AA899" s="6"/>
      <c r="AB899" s="6">
        <v>56</v>
      </c>
      <c r="AC899" s="6">
        <v>2198</v>
      </c>
      <c r="AD899" s="6">
        <v>3728</v>
      </c>
      <c r="AE899" s="6">
        <v>20632</v>
      </c>
      <c r="AF899" s="6">
        <v>24493</v>
      </c>
    </row>
    <row r="900" spans="1:32" x14ac:dyDescent="0.35">
      <c r="A900" s="1">
        <v>43845</v>
      </c>
      <c r="B900" s="6">
        <v>4175850</v>
      </c>
      <c r="C900" s="6">
        <v>11037</v>
      </c>
      <c r="D900" s="6">
        <v>5200</v>
      </c>
      <c r="E900" s="6">
        <v>1713</v>
      </c>
      <c r="F900" s="6">
        <v>4109966</v>
      </c>
      <c r="G900" s="6">
        <v>3769300</v>
      </c>
      <c r="H900" s="6">
        <v>2362635</v>
      </c>
      <c r="I900" s="6">
        <v>195029</v>
      </c>
      <c r="J900" s="6">
        <v>2014116</v>
      </c>
      <c r="K900" s="6">
        <v>128005</v>
      </c>
      <c r="L900" s="6">
        <v>25485</v>
      </c>
      <c r="M900" s="6">
        <v>14867</v>
      </c>
      <c r="N900" s="6">
        <v>131504</v>
      </c>
      <c r="O900" s="6">
        <v>349598</v>
      </c>
      <c r="P900" s="6">
        <v>907750</v>
      </c>
      <c r="Q900" s="6">
        <v>315612</v>
      </c>
      <c r="R900" s="6">
        <v>643304</v>
      </c>
      <c r="S900" s="6">
        <v>2347</v>
      </c>
      <c r="T900" s="6">
        <v>1404318</v>
      </c>
      <c r="U900" s="6">
        <v>124410</v>
      </c>
      <c r="V900" s="6">
        <v>-13221</v>
      </c>
      <c r="W900" s="6">
        <v>229468</v>
      </c>
      <c r="X900" s="6">
        <v>9</v>
      </c>
      <c r="Y900" s="6"/>
      <c r="Z900" s="6"/>
      <c r="AA900" s="6"/>
      <c r="AB900" s="6">
        <v>91</v>
      </c>
      <c r="AC900" s="6">
        <v>2199</v>
      </c>
      <c r="AD900" s="6">
        <v>59</v>
      </c>
      <c r="AE900" s="6">
        <v>20607</v>
      </c>
      <c r="AF900" s="6">
        <v>24978</v>
      </c>
    </row>
    <row r="901" spans="1:32" x14ac:dyDescent="0.35">
      <c r="A901" s="1">
        <v>43852</v>
      </c>
      <c r="B901" s="6">
        <v>4145912</v>
      </c>
      <c r="C901" s="6">
        <v>11037</v>
      </c>
      <c r="D901" s="6">
        <v>5200</v>
      </c>
      <c r="E901" s="6">
        <v>1744</v>
      </c>
      <c r="F901" s="6">
        <v>4078787</v>
      </c>
      <c r="G901" s="6">
        <v>3782010</v>
      </c>
      <c r="H901" s="6">
        <v>2381020</v>
      </c>
      <c r="I901" s="6">
        <v>210031</v>
      </c>
      <c r="J901" s="6">
        <v>2017518</v>
      </c>
      <c r="K901" s="6">
        <v>128005</v>
      </c>
      <c r="L901" s="6">
        <v>25467</v>
      </c>
      <c r="M901" s="6">
        <v>23659</v>
      </c>
      <c r="N901" s="6">
        <v>126629</v>
      </c>
      <c r="O901" s="6">
        <v>369212</v>
      </c>
      <c r="P901" s="6">
        <v>902619</v>
      </c>
      <c r="Q901" s="6">
        <v>315605</v>
      </c>
      <c r="R901" s="6">
        <v>643297</v>
      </c>
      <c r="S901" s="6">
        <v>2347</v>
      </c>
      <c r="T901" s="6">
        <v>1398642</v>
      </c>
      <c r="U901" s="6">
        <v>123974</v>
      </c>
      <c r="V901" s="6">
        <v>-13272</v>
      </c>
      <c r="W901" s="6">
        <v>186076</v>
      </c>
      <c r="X901" s="6">
        <v>0</v>
      </c>
      <c r="Y901" s="6"/>
      <c r="Z901" s="6"/>
      <c r="AA901" s="6"/>
      <c r="AB901" s="6">
        <v>84</v>
      </c>
      <c r="AC901" s="6">
        <v>2200</v>
      </c>
      <c r="AD901" s="6">
        <v>54</v>
      </c>
      <c r="AE901" s="6">
        <v>20526</v>
      </c>
      <c r="AF901" s="6">
        <v>26280</v>
      </c>
    </row>
    <row r="902" spans="1:32" x14ac:dyDescent="0.35">
      <c r="A902" s="1">
        <v>43859</v>
      </c>
      <c r="B902" s="6">
        <v>4151630</v>
      </c>
      <c r="C902" s="6">
        <v>11037</v>
      </c>
      <c r="D902" s="6">
        <v>5200</v>
      </c>
      <c r="E902" s="6">
        <v>1767</v>
      </c>
      <c r="F902" s="6">
        <v>4084123</v>
      </c>
      <c r="G902" s="6">
        <v>3798743</v>
      </c>
      <c r="H902" s="6">
        <v>2409108</v>
      </c>
      <c r="I902" s="6">
        <v>232534</v>
      </c>
      <c r="J902" s="6">
        <v>2023121</v>
      </c>
      <c r="K902" s="6">
        <v>128005</v>
      </c>
      <c r="L902" s="6">
        <v>25448</v>
      </c>
      <c r="M902" s="6">
        <v>28266</v>
      </c>
      <c r="N902" s="6">
        <v>135202</v>
      </c>
      <c r="O902" s="6">
        <v>378533</v>
      </c>
      <c r="P902" s="6">
        <v>908219</v>
      </c>
      <c r="Q902" s="6">
        <v>315598</v>
      </c>
      <c r="R902" s="6">
        <v>643290</v>
      </c>
      <c r="S902" s="6">
        <v>2347</v>
      </c>
      <c r="T902" s="6">
        <v>1387288</v>
      </c>
      <c r="U902" s="6">
        <v>123527</v>
      </c>
      <c r="V902" s="6">
        <v>-13306</v>
      </c>
      <c r="W902" s="6">
        <v>175125</v>
      </c>
      <c r="X902" s="6">
        <v>34</v>
      </c>
      <c r="Y902" s="6"/>
      <c r="Z902" s="6"/>
      <c r="AA902" s="6"/>
      <c r="AB902" s="6">
        <v>54</v>
      </c>
      <c r="AC902" s="6">
        <v>2210</v>
      </c>
      <c r="AD902" s="6">
        <v>51</v>
      </c>
      <c r="AE902" s="6">
        <v>20499</v>
      </c>
      <c r="AF902" s="6">
        <v>26689</v>
      </c>
    </row>
    <row r="903" spans="1:32" x14ac:dyDescent="0.35">
      <c r="A903" s="1">
        <v>43866</v>
      </c>
      <c r="B903" s="6">
        <v>4166707</v>
      </c>
      <c r="C903" s="6">
        <v>11037</v>
      </c>
      <c r="D903" s="6">
        <v>5200</v>
      </c>
      <c r="E903" s="6">
        <v>1772</v>
      </c>
      <c r="F903" s="6">
        <v>4097977</v>
      </c>
      <c r="G903" s="6">
        <v>3817516</v>
      </c>
      <c r="H903" s="6">
        <v>2427880</v>
      </c>
      <c r="I903" s="6">
        <v>247536</v>
      </c>
      <c r="J903" s="6">
        <v>2025475</v>
      </c>
      <c r="K903" s="6">
        <v>129451</v>
      </c>
      <c r="L903" s="6">
        <v>25418</v>
      </c>
      <c r="M903" s="6">
        <v>53364</v>
      </c>
      <c r="N903" s="6">
        <v>115176</v>
      </c>
      <c r="O903" s="6">
        <v>378638</v>
      </c>
      <c r="P903" s="6">
        <v>917955</v>
      </c>
      <c r="Q903" s="6">
        <v>319329</v>
      </c>
      <c r="R903" s="6">
        <v>643419</v>
      </c>
      <c r="S903" s="6">
        <v>2347</v>
      </c>
      <c r="T903" s="6">
        <v>1387289</v>
      </c>
      <c r="U903" s="6">
        <v>123542</v>
      </c>
      <c r="V903" s="6">
        <v>-13333</v>
      </c>
      <c r="W903" s="6">
        <v>170250</v>
      </c>
      <c r="X903" s="6">
        <v>1</v>
      </c>
      <c r="Y903" s="6"/>
      <c r="Z903" s="6"/>
      <c r="AA903" s="6"/>
      <c r="AB903" s="6">
        <v>76</v>
      </c>
      <c r="AC903" s="6">
        <v>2193</v>
      </c>
      <c r="AD903" s="6">
        <v>48</v>
      </c>
      <c r="AE903" s="6">
        <v>20453</v>
      </c>
      <c r="AF903" s="6">
        <v>27952</v>
      </c>
    </row>
    <row r="904" spans="1:32" x14ac:dyDescent="0.35">
      <c r="A904" s="1">
        <v>43873</v>
      </c>
      <c r="B904" s="6">
        <v>4182689</v>
      </c>
      <c r="C904" s="6">
        <v>11037</v>
      </c>
      <c r="D904" s="6">
        <v>5200</v>
      </c>
      <c r="E904" s="6">
        <v>1783</v>
      </c>
      <c r="F904" s="6">
        <v>4111877</v>
      </c>
      <c r="G904" s="6">
        <v>3836494</v>
      </c>
      <c r="H904" s="6">
        <v>2442621</v>
      </c>
      <c r="I904" s="6">
        <v>258038</v>
      </c>
      <c r="J904" s="6">
        <v>2028077</v>
      </c>
      <c r="K904" s="6">
        <v>131052</v>
      </c>
      <c r="L904" s="6">
        <v>25454</v>
      </c>
      <c r="M904" s="6">
        <v>52182</v>
      </c>
      <c r="N904" s="6">
        <v>129306</v>
      </c>
      <c r="O904" s="6">
        <v>376189</v>
      </c>
      <c r="P904" s="6">
        <v>918350</v>
      </c>
      <c r="Q904" s="6">
        <v>319315</v>
      </c>
      <c r="R904" s="6">
        <v>647278</v>
      </c>
      <c r="S904" s="6">
        <v>2347</v>
      </c>
      <c r="T904" s="6">
        <v>1391526</v>
      </c>
      <c r="U904" s="6">
        <v>124249</v>
      </c>
      <c r="V904" s="6">
        <v>-13266</v>
      </c>
      <c r="W904" s="6">
        <v>164400</v>
      </c>
      <c r="X904" s="6">
        <v>0</v>
      </c>
      <c r="Y904" s="6"/>
      <c r="Z904" s="6"/>
      <c r="AA904" s="6"/>
      <c r="AB904" s="6">
        <v>55</v>
      </c>
      <c r="AC904" s="6">
        <v>2197</v>
      </c>
      <c r="AD904" s="6">
        <v>55</v>
      </c>
      <c r="AE904" s="6">
        <v>20310</v>
      </c>
      <c r="AF904" s="6">
        <v>30175</v>
      </c>
    </row>
    <row r="905" spans="1:32" x14ac:dyDescent="0.35">
      <c r="A905" s="1">
        <v>43880</v>
      </c>
      <c r="B905" s="6">
        <v>4171570</v>
      </c>
      <c r="C905" s="6">
        <v>11037</v>
      </c>
      <c r="D905" s="6">
        <v>5200</v>
      </c>
      <c r="E905" s="6">
        <v>1774</v>
      </c>
      <c r="F905" s="6">
        <v>4114092</v>
      </c>
      <c r="G905" s="6">
        <v>3839819</v>
      </c>
      <c r="H905" s="6">
        <v>2451688</v>
      </c>
      <c r="I905" s="6">
        <v>265539</v>
      </c>
      <c r="J905" s="6">
        <v>2029678</v>
      </c>
      <c r="K905" s="6">
        <v>131052</v>
      </c>
      <c r="L905" s="6">
        <v>25419</v>
      </c>
      <c r="M905" s="6">
        <v>31238</v>
      </c>
      <c r="N905" s="6">
        <v>170808</v>
      </c>
      <c r="O905" s="6">
        <v>361944</v>
      </c>
      <c r="P905" s="6">
        <v>906588</v>
      </c>
      <c r="Q905" s="6">
        <v>325396</v>
      </c>
      <c r="R905" s="6">
        <v>655715</v>
      </c>
      <c r="S905" s="6">
        <v>2347</v>
      </c>
      <c r="T905" s="6">
        <v>1385784</v>
      </c>
      <c r="U905" s="6">
        <v>123866</v>
      </c>
      <c r="V905" s="6">
        <v>-13499</v>
      </c>
      <c r="W905" s="6">
        <v>163900</v>
      </c>
      <c r="X905" s="6">
        <v>5</v>
      </c>
      <c r="Y905" s="6"/>
      <c r="Z905" s="6"/>
      <c r="AA905" s="6"/>
      <c r="AB905" s="6">
        <v>71</v>
      </c>
      <c r="AC905" s="6">
        <v>2199</v>
      </c>
      <c r="AD905" s="6">
        <v>67</v>
      </c>
      <c r="AE905" s="6">
        <v>20112</v>
      </c>
      <c r="AF905" s="6">
        <v>17018</v>
      </c>
    </row>
    <row r="906" spans="1:32" x14ac:dyDescent="0.35">
      <c r="A906" s="1">
        <v>43887</v>
      </c>
      <c r="B906" s="6">
        <v>4158637</v>
      </c>
      <c r="C906" s="6">
        <v>11037</v>
      </c>
      <c r="D906" s="6">
        <v>5200</v>
      </c>
      <c r="E906" s="6">
        <v>1770</v>
      </c>
      <c r="F906" s="6">
        <v>4101559</v>
      </c>
      <c r="G906" s="6">
        <v>3848250</v>
      </c>
      <c r="H906" s="6">
        <v>2474060</v>
      </c>
      <c r="I906" s="6">
        <v>280541</v>
      </c>
      <c r="J906" s="6">
        <v>2037082</v>
      </c>
      <c r="K906" s="6">
        <v>131052</v>
      </c>
      <c r="L906" s="6">
        <v>25385</v>
      </c>
      <c r="M906" s="6">
        <v>34812</v>
      </c>
      <c r="N906" s="6">
        <v>188784</v>
      </c>
      <c r="O906" s="6">
        <v>355980</v>
      </c>
      <c r="P906" s="6">
        <v>913398</v>
      </c>
      <c r="Q906" s="6">
        <v>325382</v>
      </c>
      <c r="R906" s="6">
        <v>655702</v>
      </c>
      <c r="S906" s="6">
        <v>2347</v>
      </c>
      <c r="T906" s="6">
        <v>1371843</v>
      </c>
      <c r="U906" s="6">
        <v>123303</v>
      </c>
      <c r="V906" s="6">
        <v>-13447</v>
      </c>
      <c r="W906" s="6">
        <v>143440</v>
      </c>
      <c r="X906" s="6">
        <v>13</v>
      </c>
      <c r="Y906" s="6"/>
      <c r="Z906" s="6"/>
      <c r="AA906" s="6"/>
      <c r="AB906" s="6">
        <v>47</v>
      </c>
      <c r="AC906" s="6">
        <v>2202</v>
      </c>
      <c r="AD906" s="6">
        <v>44</v>
      </c>
      <c r="AE906" s="6">
        <v>20275</v>
      </c>
      <c r="AF906" s="6">
        <v>16503</v>
      </c>
    </row>
    <row r="907" spans="1:32" x14ac:dyDescent="0.35">
      <c r="A907" s="1">
        <v>43894</v>
      </c>
      <c r="B907" s="6">
        <v>4241507</v>
      </c>
      <c r="C907" s="6">
        <v>11037</v>
      </c>
      <c r="D907" s="6">
        <v>5200</v>
      </c>
      <c r="E907" s="6">
        <v>1751</v>
      </c>
      <c r="F907" s="6">
        <v>4182798</v>
      </c>
      <c r="G907" s="6">
        <v>3876816</v>
      </c>
      <c r="H907" s="6">
        <v>2502624</v>
      </c>
      <c r="I907" s="6">
        <v>303042</v>
      </c>
      <c r="J907" s="6">
        <v>2043081</v>
      </c>
      <c r="K907" s="6">
        <v>131052</v>
      </c>
      <c r="L907" s="6">
        <v>25449</v>
      </c>
      <c r="M907" s="6">
        <v>22679</v>
      </c>
      <c r="N907" s="6">
        <v>213281</v>
      </c>
      <c r="O907" s="6">
        <v>367820</v>
      </c>
      <c r="P907" s="6">
        <v>914339</v>
      </c>
      <c r="Q907" s="6">
        <v>326323</v>
      </c>
      <c r="R907" s="6">
        <v>658181</v>
      </c>
      <c r="S907" s="6">
        <v>2347</v>
      </c>
      <c r="T907" s="6">
        <v>1371846</v>
      </c>
      <c r="U907" s="6">
        <v>124406</v>
      </c>
      <c r="V907" s="6">
        <v>-13425</v>
      </c>
      <c r="W907" s="6">
        <v>195000</v>
      </c>
      <c r="X907" s="6">
        <v>1</v>
      </c>
      <c r="Y907" s="6"/>
      <c r="Z907" s="6"/>
      <c r="AA907" s="6"/>
      <c r="AB907" s="6">
        <v>42</v>
      </c>
      <c r="AC907" s="6">
        <v>2198</v>
      </c>
      <c r="AD907" s="6">
        <v>48</v>
      </c>
      <c r="AE907" s="6">
        <v>20775</v>
      </c>
      <c r="AF907" s="6">
        <v>17657</v>
      </c>
    </row>
    <row r="908" spans="1:32" x14ac:dyDescent="0.35">
      <c r="A908" s="1">
        <v>43901</v>
      </c>
      <c r="B908" s="6">
        <v>4311911</v>
      </c>
      <c r="C908" s="6">
        <v>11037</v>
      </c>
      <c r="D908" s="6">
        <v>5200</v>
      </c>
      <c r="E908" s="6">
        <v>1729</v>
      </c>
      <c r="F908" s="6">
        <v>4250666</v>
      </c>
      <c r="G908" s="6">
        <v>3897224</v>
      </c>
      <c r="H908" s="6">
        <v>2523031</v>
      </c>
      <c r="I908" s="6">
        <v>321043</v>
      </c>
      <c r="J908" s="6">
        <v>2043482</v>
      </c>
      <c r="K908" s="6">
        <v>132653</v>
      </c>
      <c r="L908" s="6">
        <v>25853</v>
      </c>
      <c r="M908" s="6">
        <v>21427</v>
      </c>
      <c r="N908" s="6">
        <v>221961</v>
      </c>
      <c r="O908" s="6">
        <v>378403</v>
      </c>
      <c r="P908" s="6">
        <v>915101</v>
      </c>
      <c r="Q908" s="6">
        <v>327906</v>
      </c>
      <c r="R908" s="6">
        <v>658232</v>
      </c>
      <c r="S908" s="6">
        <v>2347</v>
      </c>
      <c r="T908" s="6">
        <v>1371846</v>
      </c>
      <c r="U908" s="6">
        <v>124423</v>
      </c>
      <c r="V908" s="6">
        <v>-13366</v>
      </c>
      <c r="W908" s="6">
        <v>242375</v>
      </c>
      <c r="X908" s="6">
        <v>11</v>
      </c>
      <c r="Y908" s="6"/>
      <c r="Z908" s="6"/>
      <c r="AA908" s="6"/>
      <c r="AB908" s="6">
        <v>59</v>
      </c>
      <c r="AC908" s="6">
        <v>2199</v>
      </c>
      <c r="AD908" s="6">
        <v>58</v>
      </c>
      <c r="AE908" s="6">
        <v>21147</v>
      </c>
      <c r="AF908" s="6">
        <v>19815</v>
      </c>
    </row>
    <row r="909" spans="1:32" x14ac:dyDescent="0.35">
      <c r="A909" s="1">
        <v>43908</v>
      </c>
      <c r="B909" s="6">
        <v>4668212</v>
      </c>
      <c r="C909" s="6">
        <v>11037</v>
      </c>
      <c r="D909" s="6">
        <v>5200</v>
      </c>
      <c r="E909" s="6">
        <v>1675</v>
      </c>
      <c r="F909" s="6">
        <v>4606221</v>
      </c>
      <c r="G909" s="6">
        <v>4009794</v>
      </c>
      <c r="H909" s="6">
        <v>2640771</v>
      </c>
      <c r="I909" s="6">
        <v>321043</v>
      </c>
      <c r="J909" s="6">
        <v>2154496</v>
      </c>
      <c r="K909" s="6">
        <v>138653</v>
      </c>
      <c r="L909" s="6">
        <v>26579</v>
      </c>
      <c r="M909" s="6">
        <v>35806</v>
      </c>
      <c r="N909" s="6">
        <v>211429</v>
      </c>
      <c r="O909" s="6">
        <v>387117</v>
      </c>
      <c r="P909" s="6">
        <v>966762</v>
      </c>
      <c r="Q909" s="6">
        <v>357666</v>
      </c>
      <c r="R909" s="6">
        <v>681991</v>
      </c>
      <c r="S909" s="6">
        <v>2347</v>
      </c>
      <c r="T909" s="6">
        <v>1366676</v>
      </c>
      <c r="U909" s="6">
        <v>138294</v>
      </c>
      <c r="V909" s="6">
        <v>-12036</v>
      </c>
      <c r="W909" s="6">
        <v>441945</v>
      </c>
      <c r="X909" s="6">
        <v>28224</v>
      </c>
      <c r="Y909" s="6"/>
      <c r="Z909" s="6"/>
      <c r="AA909" s="6"/>
      <c r="AB909" s="6">
        <v>51</v>
      </c>
      <c r="AC909" s="6">
        <v>2202</v>
      </c>
      <c r="AD909" s="6">
        <v>45</v>
      </c>
      <c r="AE909" s="6">
        <v>20363</v>
      </c>
      <c r="AF909" s="6">
        <v>21418</v>
      </c>
    </row>
    <row r="910" spans="1:32" x14ac:dyDescent="0.35">
      <c r="A910" s="1">
        <v>43915</v>
      </c>
      <c r="B910" s="6">
        <v>5254278</v>
      </c>
      <c r="C910" s="6">
        <v>11037</v>
      </c>
      <c r="D910" s="6">
        <v>5200</v>
      </c>
      <c r="E910" s="6">
        <v>1641</v>
      </c>
      <c r="F910" s="6">
        <v>4985004</v>
      </c>
      <c r="G910" s="6">
        <v>4365282</v>
      </c>
      <c r="H910" s="6">
        <v>2978372</v>
      </c>
      <c r="I910" s="6">
        <v>326044</v>
      </c>
      <c r="J910" s="6">
        <v>2456125</v>
      </c>
      <c r="K910" s="6">
        <v>166932</v>
      </c>
      <c r="L910" s="6">
        <v>29271</v>
      </c>
      <c r="M910" s="6">
        <v>44037</v>
      </c>
      <c r="N910" s="6">
        <v>221051</v>
      </c>
      <c r="O910" s="6">
        <v>430067</v>
      </c>
      <c r="P910" s="6">
        <v>1111145</v>
      </c>
      <c r="Q910" s="6">
        <v>436318</v>
      </c>
      <c r="R910" s="6">
        <v>735754</v>
      </c>
      <c r="S910" s="6">
        <v>2347</v>
      </c>
      <c r="T910" s="6">
        <v>1384563</v>
      </c>
      <c r="U910" s="6">
        <v>168273</v>
      </c>
      <c r="V910" s="6">
        <v>-10026</v>
      </c>
      <c r="W910" s="6">
        <v>352355</v>
      </c>
      <c r="X910" s="6">
        <v>109119</v>
      </c>
      <c r="Y910" s="6"/>
      <c r="Z910" s="6"/>
      <c r="AA910" s="6"/>
      <c r="AB910" s="6">
        <v>37</v>
      </c>
      <c r="AC910" s="6">
        <v>2207</v>
      </c>
      <c r="AD910" s="6">
        <v>206051</v>
      </c>
      <c r="AE910" s="6">
        <v>20133</v>
      </c>
      <c r="AF910" s="6">
        <v>22968</v>
      </c>
    </row>
    <row r="911" spans="1:32" x14ac:dyDescent="0.35">
      <c r="A911" s="1">
        <v>43922</v>
      </c>
      <c r="B911" s="6">
        <v>5811607</v>
      </c>
      <c r="C911" s="6">
        <v>11037</v>
      </c>
      <c r="D911" s="6">
        <v>5200</v>
      </c>
      <c r="E911" s="6">
        <v>1660</v>
      </c>
      <c r="F911" s="6">
        <v>5396259</v>
      </c>
      <c r="G911" s="6">
        <v>4800901</v>
      </c>
      <c r="H911" s="6">
        <v>3340832</v>
      </c>
      <c r="I911" s="6">
        <v>326044</v>
      </c>
      <c r="J911" s="6">
        <v>2791860</v>
      </c>
      <c r="K911" s="6">
        <v>191725</v>
      </c>
      <c r="L911" s="6">
        <v>31204</v>
      </c>
      <c r="M911" s="6">
        <v>36238</v>
      </c>
      <c r="N911" s="6">
        <v>233009</v>
      </c>
      <c r="O911" s="6">
        <v>468063</v>
      </c>
      <c r="P911" s="6">
        <v>1298345</v>
      </c>
      <c r="Q911" s="6">
        <v>509228</v>
      </c>
      <c r="R911" s="6">
        <v>795949</v>
      </c>
      <c r="S911" s="6">
        <v>2347</v>
      </c>
      <c r="T911" s="6">
        <v>1457721</v>
      </c>
      <c r="U911" s="6">
        <v>211339</v>
      </c>
      <c r="V911" s="6">
        <v>-8492</v>
      </c>
      <c r="W911" s="6">
        <v>263050</v>
      </c>
      <c r="X911" s="6">
        <v>129461</v>
      </c>
      <c r="Y911" s="6"/>
      <c r="Z911" s="6"/>
      <c r="AA911" s="6"/>
      <c r="AB911" s="6">
        <v>40</v>
      </c>
      <c r="AC911" s="6">
        <v>2198</v>
      </c>
      <c r="AD911" s="6">
        <v>348544</v>
      </c>
      <c r="AE911" s="6">
        <v>20584</v>
      </c>
      <c r="AF911" s="6">
        <v>26085</v>
      </c>
    </row>
    <row r="912" spans="1:32" x14ac:dyDescent="0.35">
      <c r="A912" s="1">
        <v>43929</v>
      </c>
      <c r="B912" s="6">
        <v>6083141</v>
      </c>
      <c r="C912" s="6">
        <v>11037</v>
      </c>
      <c r="D912" s="6">
        <v>5200</v>
      </c>
      <c r="E912" s="6">
        <v>1668</v>
      </c>
      <c r="F912" s="6">
        <v>5654554</v>
      </c>
      <c r="G912" s="6">
        <v>5096434</v>
      </c>
      <c r="H912" s="6">
        <v>3634386</v>
      </c>
      <c r="I912" s="6">
        <v>326044</v>
      </c>
      <c r="J912" s="6">
        <v>3064860</v>
      </c>
      <c r="K912" s="6">
        <v>210625</v>
      </c>
      <c r="L912" s="6">
        <v>32857</v>
      </c>
      <c r="M912" s="6">
        <v>47112</v>
      </c>
      <c r="N912" s="6">
        <v>233415</v>
      </c>
      <c r="O912" s="6">
        <v>500589</v>
      </c>
      <c r="P912" s="6">
        <v>1432206</v>
      </c>
      <c r="Q912" s="6">
        <v>576918</v>
      </c>
      <c r="R912" s="6">
        <v>844146</v>
      </c>
      <c r="S912" s="6">
        <v>2347</v>
      </c>
      <c r="T912" s="6">
        <v>1459701</v>
      </c>
      <c r="U912" s="6">
        <v>243113</v>
      </c>
      <c r="V912" s="6">
        <v>-7381</v>
      </c>
      <c r="W912" s="6">
        <v>192751</v>
      </c>
      <c r="X912" s="6">
        <v>129637</v>
      </c>
      <c r="Y912" s="6"/>
      <c r="Z912" s="6"/>
      <c r="AA912" s="6"/>
      <c r="AB912" s="6">
        <v>39</v>
      </c>
      <c r="AC912" s="6">
        <v>2201</v>
      </c>
      <c r="AD912" s="6">
        <v>358077</v>
      </c>
      <c r="AE912" s="6">
        <v>20373</v>
      </c>
      <c r="AF912" s="6">
        <v>29990</v>
      </c>
    </row>
    <row r="913" spans="1:32" x14ac:dyDescent="0.35">
      <c r="A913" s="1">
        <v>43936</v>
      </c>
      <c r="B913" s="6">
        <v>6367887</v>
      </c>
      <c r="C913" s="6">
        <v>11037</v>
      </c>
      <c r="D913" s="6">
        <v>5200</v>
      </c>
      <c r="E913" s="6">
        <v>1656</v>
      </c>
      <c r="F913" s="6">
        <v>5916263</v>
      </c>
      <c r="G913" s="6">
        <v>5359376</v>
      </c>
      <c r="H913" s="6">
        <v>3788858</v>
      </c>
      <c r="I913" s="6">
        <v>326044</v>
      </c>
      <c r="J913" s="6">
        <v>3206144</v>
      </c>
      <c r="K913" s="6">
        <v>222692</v>
      </c>
      <c r="L913" s="6">
        <v>33978</v>
      </c>
      <c r="M913" s="6">
        <v>58644</v>
      </c>
      <c r="N913" s="6">
        <v>225035</v>
      </c>
      <c r="O913" s="6">
        <v>527601</v>
      </c>
      <c r="P913" s="6">
        <v>1493336</v>
      </c>
      <c r="Q913" s="6">
        <v>621255</v>
      </c>
      <c r="R913" s="6">
        <v>862987</v>
      </c>
      <c r="S913" s="6">
        <v>2347</v>
      </c>
      <c r="T913" s="6">
        <v>1568171</v>
      </c>
      <c r="U913" s="6">
        <v>262334</v>
      </c>
      <c r="V913" s="6">
        <v>-6896</v>
      </c>
      <c r="W913" s="6">
        <v>181100</v>
      </c>
      <c r="X913" s="6">
        <v>120349</v>
      </c>
      <c r="Y913" s="6"/>
      <c r="Z913" s="6"/>
      <c r="AA913" s="6"/>
      <c r="AB913" s="6">
        <v>35</v>
      </c>
      <c r="AC913" s="6">
        <v>2203</v>
      </c>
      <c r="AD913" s="6">
        <v>378291</v>
      </c>
      <c r="AE913" s="6">
        <v>20525</v>
      </c>
      <c r="AF913" s="6">
        <v>31703</v>
      </c>
    </row>
    <row r="914" spans="1:32" x14ac:dyDescent="0.35">
      <c r="A914" s="1">
        <v>43943</v>
      </c>
      <c r="B914" s="6">
        <v>6573136</v>
      </c>
      <c r="C914" s="6">
        <v>11037</v>
      </c>
      <c r="D914" s="6">
        <v>5200</v>
      </c>
      <c r="E914" s="6">
        <v>1636</v>
      </c>
      <c r="F914" s="6">
        <v>6085683</v>
      </c>
      <c r="G914" s="6">
        <v>5534186</v>
      </c>
      <c r="H914" s="6">
        <v>3909352</v>
      </c>
      <c r="I914" s="6">
        <v>326044</v>
      </c>
      <c r="J914" s="6">
        <v>3314644</v>
      </c>
      <c r="K914" s="6">
        <v>233692</v>
      </c>
      <c r="L914" s="6">
        <v>34972</v>
      </c>
      <c r="M914" s="6">
        <v>58869</v>
      </c>
      <c r="N914" s="6">
        <v>243599</v>
      </c>
      <c r="O914" s="6">
        <v>528185</v>
      </c>
      <c r="P914" s="6">
        <v>1536392</v>
      </c>
      <c r="Q914" s="6">
        <v>659309</v>
      </c>
      <c r="R914" s="6">
        <v>882997</v>
      </c>
      <c r="S914" s="6">
        <v>2347</v>
      </c>
      <c r="T914" s="6">
        <v>1622487</v>
      </c>
      <c r="U914" s="6">
        <v>278037</v>
      </c>
      <c r="V914" s="6">
        <v>-6128</v>
      </c>
      <c r="W914" s="6">
        <v>157500</v>
      </c>
      <c r="X914" s="6">
        <v>122088</v>
      </c>
      <c r="Y914" s="6"/>
      <c r="Z914" s="6"/>
      <c r="AA914" s="6"/>
      <c r="AB914" s="6">
        <v>35</v>
      </c>
      <c r="AC914" s="6">
        <v>2207</v>
      </c>
      <c r="AD914" s="6">
        <v>409712</v>
      </c>
      <c r="AE914" s="6">
        <v>20405</v>
      </c>
      <c r="AF914" s="6">
        <v>34487</v>
      </c>
    </row>
    <row r="915" spans="1:32" x14ac:dyDescent="0.35">
      <c r="A915" s="1">
        <v>43950</v>
      </c>
      <c r="B915" s="6">
        <v>6655929</v>
      </c>
      <c r="C915" s="6">
        <v>11037</v>
      </c>
      <c r="D915" s="6">
        <v>5200</v>
      </c>
      <c r="E915" s="6">
        <v>1598</v>
      </c>
      <c r="F915" s="6">
        <v>6137246</v>
      </c>
      <c r="G915" s="6">
        <v>5578486</v>
      </c>
      <c r="H915" s="6">
        <v>3971419</v>
      </c>
      <c r="I915" s="6">
        <v>326044</v>
      </c>
      <c r="J915" s="6">
        <v>3367047</v>
      </c>
      <c r="K915" s="6">
        <v>242290</v>
      </c>
      <c r="L915" s="6">
        <v>36038</v>
      </c>
      <c r="M915" s="6">
        <v>55294</v>
      </c>
      <c r="N915" s="6">
        <v>249856</v>
      </c>
      <c r="O915" s="6">
        <v>535821</v>
      </c>
      <c r="P915" s="6">
        <v>1572472</v>
      </c>
      <c r="Q915" s="6">
        <v>665596</v>
      </c>
      <c r="R915" s="6">
        <v>892381</v>
      </c>
      <c r="S915" s="6">
        <v>2347</v>
      </c>
      <c r="T915" s="6">
        <v>1604720</v>
      </c>
      <c r="U915" s="6">
        <v>283240</v>
      </c>
      <c r="V915" s="6">
        <v>-5711</v>
      </c>
      <c r="W915" s="6">
        <v>158202</v>
      </c>
      <c r="X915" s="6">
        <v>123028</v>
      </c>
      <c r="Y915" s="6"/>
      <c r="Z915" s="6"/>
      <c r="AA915" s="6"/>
      <c r="AB915" s="6">
        <v>41</v>
      </c>
      <c r="AC915" s="6">
        <v>2208</v>
      </c>
      <c r="AD915" s="6">
        <v>438953</v>
      </c>
      <c r="AE915" s="6">
        <v>20525</v>
      </c>
      <c r="AF915" s="6">
        <v>35749</v>
      </c>
    </row>
    <row r="916" spans="1:32" x14ac:dyDescent="0.35">
      <c r="A916" s="1">
        <v>43957</v>
      </c>
      <c r="B916" s="6">
        <v>6721420</v>
      </c>
      <c r="C916" s="6">
        <v>11037</v>
      </c>
      <c r="D916" s="6">
        <v>5200</v>
      </c>
      <c r="E916" s="6">
        <v>1557</v>
      </c>
      <c r="F916" s="6">
        <v>6194928</v>
      </c>
      <c r="G916" s="6">
        <v>5627918</v>
      </c>
      <c r="H916" s="6">
        <v>4020191</v>
      </c>
      <c r="I916" s="6">
        <v>326044</v>
      </c>
      <c r="J916" s="6">
        <v>3409516</v>
      </c>
      <c r="K916" s="6">
        <v>248266</v>
      </c>
      <c r="L916" s="6">
        <v>36365</v>
      </c>
      <c r="M916" s="6">
        <v>104760</v>
      </c>
      <c r="N916" s="6">
        <v>213636</v>
      </c>
      <c r="O916" s="6">
        <v>558517</v>
      </c>
      <c r="P916" s="6">
        <v>1568584</v>
      </c>
      <c r="Q916" s="6">
        <v>675810</v>
      </c>
      <c r="R916" s="6">
        <v>898885</v>
      </c>
      <c r="S916" s="6">
        <v>2347</v>
      </c>
      <c r="T916" s="6">
        <v>1605380</v>
      </c>
      <c r="U916" s="6">
        <v>286502</v>
      </c>
      <c r="V916" s="6">
        <v>-5534</v>
      </c>
      <c r="W916" s="6">
        <v>172700</v>
      </c>
      <c r="X916" s="6">
        <v>113342</v>
      </c>
      <c r="Y916" s="6"/>
      <c r="Z916" s="6"/>
      <c r="AA916" s="6"/>
      <c r="AB916" s="6">
        <v>30</v>
      </c>
      <c r="AC916" s="6">
        <v>2203</v>
      </c>
      <c r="AD916" s="6">
        <v>444885</v>
      </c>
      <c r="AE916" s="6">
        <v>20521</v>
      </c>
      <c r="AF916" s="6">
        <v>37069</v>
      </c>
    </row>
    <row r="917" spans="1:32" x14ac:dyDescent="0.35">
      <c r="A917" s="1">
        <v>43964</v>
      </c>
      <c r="B917" s="6">
        <v>6934227</v>
      </c>
      <c r="C917" s="6">
        <v>11037</v>
      </c>
      <c r="D917" s="6">
        <v>5200</v>
      </c>
      <c r="E917" s="6">
        <v>1509</v>
      </c>
      <c r="F917" s="6">
        <v>6407819</v>
      </c>
      <c r="G917" s="6">
        <v>5843376</v>
      </c>
      <c r="H917" s="6">
        <v>4057268</v>
      </c>
      <c r="I917" s="6">
        <v>326044</v>
      </c>
      <c r="J917" s="6">
        <v>3442616</v>
      </c>
      <c r="K917" s="6">
        <v>252016</v>
      </c>
      <c r="L917" s="6">
        <v>36592</v>
      </c>
      <c r="M917" s="6">
        <v>102681</v>
      </c>
      <c r="N917" s="6">
        <v>217461</v>
      </c>
      <c r="O917" s="6">
        <v>561643</v>
      </c>
      <c r="P917" s="6">
        <v>1584494</v>
      </c>
      <c r="Q917" s="6">
        <v>686628</v>
      </c>
      <c r="R917" s="6">
        <v>904361</v>
      </c>
      <c r="S917" s="6">
        <v>2347</v>
      </c>
      <c r="T917" s="6">
        <v>1783761</v>
      </c>
      <c r="U917" s="6">
        <v>297516</v>
      </c>
      <c r="V917" s="6">
        <v>-5354</v>
      </c>
      <c r="W917" s="6">
        <v>157354</v>
      </c>
      <c r="X917" s="6">
        <v>114927</v>
      </c>
      <c r="Y917" s="6"/>
      <c r="Z917" s="6"/>
      <c r="AA917" s="6"/>
      <c r="AB917" s="6">
        <v>49</v>
      </c>
      <c r="AC917" s="6">
        <v>2205</v>
      </c>
      <c r="AD917" s="6">
        <v>440934</v>
      </c>
      <c r="AE917" s="6">
        <v>20484</v>
      </c>
      <c r="AF917" s="6">
        <v>40394</v>
      </c>
    </row>
    <row r="918" spans="1:32" x14ac:dyDescent="0.35">
      <c r="A918" s="1">
        <v>43971</v>
      </c>
      <c r="B918" s="6">
        <v>7037258</v>
      </c>
      <c r="C918" s="6">
        <v>11037</v>
      </c>
      <c r="D918" s="6">
        <v>5200</v>
      </c>
      <c r="E918" s="6">
        <v>1478</v>
      </c>
      <c r="F918" s="6">
        <v>6518859</v>
      </c>
      <c r="G918" s="6">
        <v>5954518</v>
      </c>
      <c r="H918" s="6">
        <v>4089331</v>
      </c>
      <c r="I918" s="6">
        <v>326044</v>
      </c>
      <c r="J918" s="6">
        <v>3471224</v>
      </c>
      <c r="K918" s="6">
        <v>255266</v>
      </c>
      <c r="L918" s="6">
        <v>36797</v>
      </c>
      <c r="M918" s="6">
        <v>66859</v>
      </c>
      <c r="N918" s="6">
        <v>274175</v>
      </c>
      <c r="O918" s="6">
        <v>557843</v>
      </c>
      <c r="P918" s="6">
        <v>1568066</v>
      </c>
      <c r="Q918" s="6">
        <v>711258</v>
      </c>
      <c r="R918" s="6">
        <v>911130</v>
      </c>
      <c r="S918" s="6">
        <v>2347</v>
      </c>
      <c r="T918" s="6">
        <v>1862841</v>
      </c>
      <c r="U918" s="6">
        <v>304104</v>
      </c>
      <c r="V918" s="6">
        <v>-5691</v>
      </c>
      <c r="W918" s="6">
        <v>157351</v>
      </c>
      <c r="X918" s="6">
        <v>108577</v>
      </c>
      <c r="Y918" s="6"/>
      <c r="Z918" s="6"/>
      <c r="AA918" s="6"/>
      <c r="AB918" s="6">
        <v>51</v>
      </c>
      <c r="AC918" s="6">
        <v>2206</v>
      </c>
      <c r="AD918" s="6">
        <v>446103</v>
      </c>
      <c r="AE918" s="6">
        <v>20595</v>
      </c>
      <c r="AF918" s="6">
        <v>25635</v>
      </c>
    </row>
    <row r="919" spans="1:32" x14ac:dyDescent="0.35">
      <c r="A919" s="1">
        <v>43978</v>
      </c>
      <c r="B919" s="6">
        <v>7097316</v>
      </c>
      <c r="C919" s="6">
        <v>11037</v>
      </c>
      <c r="D919" s="6">
        <v>5200</v>
      </c>
      <c r="E919" s="6">
        <v>1447</v>
      </c>
      <c r="F919" s="6">
        <v>6533722</v>
      </c>
      <c r="G919" s="6">
        <v>5946969</v>
      </c>
      <c r="H919" s="6">
        <v>4109512</v>
      </c>
      <c r="I919" s="6">
        <v>326044</v>
      </c>
      <c r="J919" s="6">
        <v>3489174</v>
      </c>
      <c r="K919" s="6">
        <v>257451</v>
      </c>
      <c r="L919" s="6">
        <v>36843</v>
      </c>
      <c r="M919" s="6">
        <v>55608</v>
      </c>
      <c r="N919" s="6">
        <v>279039</v>
      </c>
      <c r="O919" s="6">
        <v>564220</v>
      </c>
      <c r="P919" s="6">
        <v>1577552</v>
      </c>
      <c r="Q919" s="6">
        <v>719915</v>
      </c>
      <c r="R919" s="6">
        <v>913177</v>
      </c>
      <c r="S919" s="6">
        <v>2347</v>
      </c>
      <c r="T919" s="6">
        <v>1835110</v>
      </c>
      <c r="U919" s="6">
        <v>304256</v>
      </c>
      <c r="V919" s="6">
        <v>-5500</v>
      </c>
      <c r="W919" s="6">
        <v>181101</v>
      </c>
      <c r="X919" s="6">
        <v>106896</v>
      </c>
      <c r="Y919" s="6"/>
      <c r="Z919" s="6"/>
      <c r="AA919" s="6"/>
      <c r="AB919" s="6">
        <v>67</v>
      </c>
      <c r="AC919" s="6">
        <v>2205</v>
      </c>
      <c r="AD919" s="6">
        <v>448946</v>
      </c>
      <c r="AE919" s="6">
        <v>20564</v>
      </c>
      <c r="AF919" s="6">
        <v>26482</v>
      </c>
    </row>
    <row r="920" spans="1:32" x14ac:dyDescent="0.35">
      <c r="A920" s="1">
        <v>43985</v>
      </c>
      <c r="B920" s="6">
        <v>7165217</v>
      </c>
      <c r="C920" s="6">
        <v>11037</v>
      </c>
      <c r="D920" s="6">
        <v>5200</v>
      </c>
      <c r="E920" s="6">
        <v>1434</v>
      </c>
      <c r="F920" s="6">
        <v>6585568</v>
      </c>
      <c r="G920" s="6">
        <v>5972297</v>
      </c>
      <c r="H920" s="6">
        <v>4134356</v>
      </c>
      <c r="I920" s="6">
        <v>326044</v>
      </c>
      <c r="J920" s="6">
        <v>3512424</v>
      </c>
      <c r="K920" s="6">
        <v>259151</v>
      </c>
      <c r="L920" s="6">
        <v>36737</v>
      </c>
      <c r="M920" s="6">
        <v>49583</v>
      </c>
      <c r="N920" s="6">
        <v>283619</v>
      </c>
      <c r="O920" s="6">
        <v>589247</v>
      </c>
      <c r="P920" s="6">
        <v>1575173</v>
      </c>
      <c r="Q920" s="6">
        <v>719393</v>
      </c>
      <c r="R920" s="6">
        <v>917341</v>
      </c>
      <c r="S920" s="6">
        <v>2347</v>
      </c>
      <c r="T920" s="6">
        <v>1835594</v>
      </c>
      <c r="U920" s="6">
        <v>305269</v>
      </c>
      <c r="V920" s="6">
        <v>-5504</v>
      </c>
      <c r="W920" s="6">
        <v>211550</v>
      </c>
      <c r="X920" s="6">
        <v>101956</v>
      </c>
      <c r="Y920" s="6"/>
      <c r="Z920" s="6">
        <v>16075</v>
      </c>
      <c r="AA920" s="6"/>
      <c r="AB920" s="6">
        <v>41</v>
      </c>
      <c r="AC920" s="6">
        <v>2198</v>
      </c>
      <c r="AD920" s="6">
        <v>446945</v>
      </c>
      <c r="AE920" s="6">
        <v>20768</v>
      </c>
      <c r="AF920" s="6">
        <v>27002</v>
      </c>
    </row>
    <row r="921" spans="1:32" x14ac:dyDescent="0.35">
      <c r="A921" s="1">
        <v>43992</v>
      </c>
      <c r="B921" s="6">
        <v>7168936</v>
      </c>
      <c r="C921" s="6">
        <v>11037</v>
      </c>
      <c r="D921" s="6">
        <v>5200</v>
      </c>
      <c r="E921" s="6">
        <v>1412</v>
      </c>
      <c r="F921" s="6">
        <v>6555242</v>
      </c>
      <c r="G921" s="6">
        <v>5988351</v>
      </c>
      <c r="H921" s="6">
        <v>4150409</v>
      </c>
      <c r="I921" s="6">
        <v>326044</v>
      </c>
      <c r="J921" s="6">
        <v>3526774</v>
      </c>
      <c r="K921" s="6">
        <v>261151</v>
      </c>
      <c r="L921" s="6">
        <v>36440</v>
      </c>
      <c r="M921" s="6">
        <v>42873</v>
      </c>
      <c r="N921" s="6">
        <v>292827</v>
      </c>
      <c r="O921" s="6">
        <v>586718</v>
      </c>
      <c r="P921" s="6">
        <v>1581035</v>
      </c>
      <c r="Q921" s="6">
        <v>725316</v>
      </c>
      <c r="R921" s="6">
        <v>921640</v>
      </c>
      <c r="S921" s="6">
        <v>2347</v>
      </c>
      <c r="T921" s="6">
        <v>1835595</v>
      </c>
      <c r="U921" s="6">
        <v>306816</v>
      </c>
      <c r="V921" s="6">
        <v>-5452</v>
      </c>
      <c r="W921" s="6">
        <v>167300</v>
      </c>
      <c r="X921" s="6">
        <v>98227</v>
      </c>
      <c r="Y921" s="6">
        <v>31875</v>
      </c>
      <c r="Z921" s="6">
        <v>16077</v>
      </c>
      <c r="AA921" s="6"/>
      <c r="AB921" s="6">
        <v>40</v>
      </c>
      <c r="AC921" s="6">
        <v>2201</v>
      </c>
      <c r="AD921" s="6">
        <v>444520</v>
      </c>
      <c r="AE921" s="6">
        <v>21015</v>
      </c>
      <c r="AF921" s="6">
        <v>30147</v>
      </c>
    </row>
    <row r="922" spans="1:32" x14ac:dyDescent="0.35">
      <c r="A922" s="1">
        <v>43999</v>
      </c>
      <c r="B922" s="6">
        <v>7094690</v>
      </c>
      <c r="C922" s="6">
        <v>11037</v>
      </c>
      <c r="D922" s="6">
        <v>5200</v>
      </c>
      <c r="E922" s="6">
        <v>1431</v>
      </c>
      <c r="F922" s="6">
        <v>6570172</v>
      </c>
      <c r="G922" s="6">
        <v>6090428</v>
      </c>
      <c r="H922" s="6">
        <v>4169340</v>
      </c>
      <c r="I922" s="6">
        <v>326044</v>
      </c>
      <c r="J922" s="6">
        <v>3542389</v>
      </c>
      <c r="K922" s="6">
        <v>264552</v>
      </c>
      <c r="L922" s="6">
        <v>36356</v>
      </c>
      <c r="M922" s="6">
        <v>70365</v>
      </c>
      <c r="N922" s="6">
        <v>276151</v>
      </c>
      <c r="O922" s="6">
        <v>587886</v>
      </c>
      <c r="P922" s="6">
        <v>1581775</v>
      </c>
      <c r="Q922" s="6">
        <v>729159</v>
      </c>
      <c r="R922" s="6">
        <v>924006</v>
      </c>
      <c r="S922" s="6">
        <v>2347</v>
      </c>
      <c r="T922" s="6">
        <v>1918741</v>
      </c>
      <c r="U922" s="6">
        <v>311026</v>
      </c>
      <c r="V922" s="6">
        <v>-5366</v>
      </c>
      <c r="W922" s="6">
        <v>79053</v>
      </c>
      <c r="X922" s="6">
        <v>95031</v>
      </c>
      <c r="Y922" s="6">
        <v>31876</v>
      </c>
      <c r="Z922" s="6">
        <v>16079</v>
      </c>
      <c r="AA922" s="6"/>
      <c r="AB922" s="6">
        <v>51</v>
      </c>
      <c r="AC922" s="6">
        <v>2202</v>
      </c>
      <c r="AD922" s="6">
        <v>352470</v>
      </c>
      <c r="AE922" s="6">
        <v>20866</v>
      </c>
      <c r="AF922" s="6">
        <v>31594</v>
      </c>
    </row>
    <row r="923" spans="1:32" x14ac:dyDescent="0.35">
      <c r="A923" s="1">
        <v>44006</v>
      </c>
      <c r="B923" s="6">
        <v>7082302</v>
      </c>
      <c r="C923" s="6">
        <v>11037</v>
      </c>
      <c r="D923" s="6">
        <v>5200</v>
      </c>
      <c r="E923" s="6">
        <v>1455</v>
      </c>
      <c r="F923" s="6">
        <v>6617290</v>
      </c>
      <c r="G923" s="6">
        <v>6143193</v>
      </c>
      <c r="H923" s="6">
        <v>4197404</v>
      </c>
      <c r="I923" s="6">
        <v>326044</v>
      </c>
      <c r="J923" s="6">
        <v>3570924</v>
      </c>
      <c r="K923" s="6">
        <v>264552</v>
      </c>
      <c r="L923" s="6">
        <v>35884</v>
      </c>
      <c r="M923" s="6">
        <v>64328</v>
      </c>
      <c r="N923" s="6">
        <v>274008</v>
      </c>
      <c r="O923" s="6">
        <v>605122</v>
      </c>
      <c r="P923" s="6">
        <v>1592447</v>
      </c>
      <c r="Q923" s="6">
        <v>735883</v>
      </c>
      <c r="R923" s="6">
        <v>925617</v>
      </c>
      <c r="S923" s="6">
        <v>2347</v>
      </c>
      <c r="T923" s="6">
        <v>1943441</v>
      </c>
      <c r="U923" s="6">
        <v>313854</v>
      </c>
      <c r="V923" s="6">
        <v>-5319</v>
      </c>
      <c r="W923" s="6">
        <v>70201</v>
      </c>
      <c r="X923" s="6">
        <v>95360</v>
      </c>
      <c r="Y923" s="6">
        <v>37502</v>
      </c>
      <c r="Z923" s="6">
        <v>16080</v>
      </c>
      <c r="AA923" s="6">
        <v>8500</v>
      </c>
      <c r="AB923" s="6">
        <v>73</v>
      </c>
      <c r="AC923" s="6">
        <v>2202</v>
      </c>
      <c r="AD923" s="6">
        <v>274963</v>
      </c>
      <c r="AE923" s="6">
        <v>20958</v>
      </c>
      <c r="AF923" s="6">
        <v>33628</v>
      </c>
    </row>
    <row r="924" spans="1:32" x14ac:dyDescent="0.35">
      <c r="A924" s="1">
        <v>44013</v>
      </c>
      <c r="B924" s="6">
        <v>7009040</v>
      </c>
      <c r="C924" s="6">
        <v>11037</v>
      </c>
      <c r="D924" s="6">
        <v>5200</v>
      </c>
      <c r="E924" s="6">
        <v>1475</v>
      </c>
      <c r="F924" s="6">
        <v>6594261</v>
      </c>
      <c r="G924" s="6">
        <v>6126948</v>
      </c>
      <c r="H924" s="6">
        <v>4213220</v>
      </c>
      <c r="I924" s="6">
        <v>326044</v>
      </c>
      <c r="J924" s="6">
        <v>3581139</v>
      </c>
      <c r="K924" s="6">
        <v>270206</v>
      </c>
      <c r="L924" s="6">
        <v>35831</v>
      </c>
      <c r="M924" s="6">
        <v>64471</v>
      </c>
      <c r="N924" s="6">
        <v>250820</v>
      </c>
      <c r="O924" s="6">
        <v>635460</v>
      </c>
      <c r="P924" s="6">
        <v>1597928</v>
      </c>
      <c r="Q924" s="6">
        <v>732150</v>
      </c>
      <c r="R924" s="6">
        <v>932391</v>
      </c>
      <c r="S924" s="6">
        <v>2347</v>
      </c>
      <c r="T924" s="6">
        <v>1911381</v>
      </c>
      <c r="U924" s="6">
        <v>314324</v>
      </c>
      <c r="V924" s="6">
        <v>-5345</v>
      </c>
      <c r="W924" s="6">
        <v>61201</v>
      </c>
      <c r="X924" s="6">
        <v>97133</v>
      </c>
      <c r="Y924" s="6">
        <v>37502</v>
      </c>
      <c r="Z924" s="6">
        <v>16081</v>
      </c>
      <c r="AA924" s="6">
        <v>8753</v>
      </c>
      <c r="AB924" s="6">
        <v>46</v>
      </c>
      <c r="AC924" s="6">
        <v>2193</v>
      </c>
      <c r="AD924" s="6">
        <v>225414</v>
      </c>
      <c r="AE924" s="6">
        <v>20984</v>
      </c>
      <c r="AF924" s="6">
        <v>31355</v>
      </c>
    </row>
    <row r="925" spans="1:32" x14ac:dyDescent="0.35">
      <c r="A925" s="1">
        <v>44020</v>
      </c>
      <c r="B925" s="6">
        <v>6920716</v>
      </c>
      <c r="C925" s="6">
        <v>11037</v>
      </c>
      <c r="D925" s="6">
        <v>5200</v>
      </c>
      <c r="E925" s="6">
        <v>1497</v>
      </c>
      <c r="F925" s="6">
        <v>6548409</v>
      </c>
      <c r="G925" s="6">
        <v>6145103</v>
      </c>
      <c r="H925" s="6">
        <v>4231355</v>
      </c>
      <c r="I925" s="6">
        <v>326044</v>
      </c>
      <c r="J925" s="6">
        <v>3599273</v>
      </c>
      <c r="K925" s="6">
        <v>270206</v>
      </c>
      <c r="L925" s="6">
        <v>35833</v>
      </c>
      <c r="M925" s="6">
        <v>66114</v>
      </c>
      <c r="N925" s="6">
        <v>270043</v>
      </c>
      <c r="O925" s="6">
        <v>618085</v>
      </c>
      <c r="P925" s="6">
        <v>1607239</v>
      </c>
      <c r="Q925" s="6">
        <v>735426</v>
      </c>
      <c r="R925" s="6">
        <v>934448</v>
      </c>
      <c r="S925" s="6">
        <v>2347</v>
      </c>
      <c r="T925" s="6">
        <v>1911401</v>
      </c>
      <c r="U925" s="6">
        <v>315251</v>
      </c>
      <c r="V925" s="6">
        <v>-5299</v>
      </c>
      <c r="W925" s="6">
        <v>0</v>
      </c>
      <c r="X925" s="6">
        <v>93355</v>
      </c>
      <c r="Y925" s="6">
        <v>37503</v>
      </c>
      <c r="Z925" s="6">
        <v>16082</v>
      </c>
      <c r="AA925" s="6">
        <v>8753</v>
      </c>
      <c r="AB925" s="6">
        <v>51</v>
      </c>
      <c r="AC925" s="6">
        <v>2196</v>
      </c>
      <c r="AD925" s="6">
        <v>179095</v>
      </c>
      <c r="AE925" s="6">
        <v>20973</v>
      </c>
      <c r="AF925" s="6">
        <v>34473</v>
      </c>
    </row>
    <row r="926" spans="1:32" x14ac:dyDescent="0.35">
      <c r="A926" s="1">
        <v>44027</v>
      </c>
      <c r="B926" s="6">
        <v>6958604</v>
      </c>
      <c r="C926" s="6">
        <v>11037</v>
      </c>
      <c r="D926" s="6">
        <v>5200</v>
      </c>
      <c r="E926" s="6">
        <v>1523</v>
      </c>
      <c r="F926" s="6">
        <v>6610048</v>
      </c>
      <c r="G926" s="6">
        <v>6203965</v>
      </c>
      <c r="H926" s="6">
        <v>4253229</v>
      </c>
      <c r="I926" s="6">
        <v>326044</v>
      </c>
      <c r="J926" s="6">
        <v>3625089</v>
      </c>
      <c r="K926" s="6">
        <v>266914</v>
      </c>
      <c r="L926" s="6">
        <v>35182</v>
      </c>
      <c r="M926" s="6">
        <v>58895</v>
      </c>
      <c r="N926" s="6">
        <v>279380</v>
      </c>
      <c r="O926" s="6">
        <v>633384</v>
      </c>
      <c r="P926" s="6">
        <v>1604839</v>
      </c>
      <c r="Q926" s="6">
        <v>738129</v>
      </c>
      <c r="R926" s="6">
        <v>938604</v>
      </c>
      <c r="S926" s="6">
        <v>2347</v>
      </c>
      <c r="T926" s="6">
        <v>1948388</v>
      </c>
      <c r="U926" s="6">
        <v>317957</v>
      </c>
      <c r="V926" s="6">
        <v>-5280</v>
      </c>
      <c r="W926" s="6">
        <v>2</v>
      </c>
      <c r="X926" s="6">
        <v>93404</v>
      </c>
      <c r="Y926" s="6">
        <v>37515</v>
      </c>
      <c r="Z926" s="6">
        <v>16084</v>
      </c>
      <c r="AA926" s="6">
        <v>9439</v>
      </c>
      <c r="AB926" s="6">
        <v>53</v>
      </c>
      <c r="AC926" s="6">
        <v>2198</v>
      </c>
      <c r="AD926" s="6">
        <v>154850</v>
      </c>
      <c r="AE926" s="6">
        <v>21094</v>
      </c>
      <c r="AF926" s="6">
        <v>35481</v>
      </c>
    </row>
    <row r="927" spans="1:32" x14ac:dyDescent="0.35">
      <c r="A927" s="1">
        <v>44034</v>
      </c>
      <c r="B927" s="6">
        <v>6964755</v>
      </c>
      <c r="C927" s="6">
        <v>11037</v>
      </c>
      <c r="D927" s="6">
        <v>5200</v>
      </c>
      <c r="E927" s="6">
        <v>1522</v>
      </c>
      <c r="F927" s="6">
        <v>6646714</v>
      </c>
      <c r="G927" s="6">
        <v>6238825</v>
      </c>
      <c r="H927" s="6">
        <v>4265878</v>
      </c>
      <c r="I927" s="6">
        <v>326044</v>
      </c>
      <c r="J927" s="6">
        <v>3636425</v>
      </c>
      <c r="K927" s="6">
        <v>268113</v>
      </c>
      <c r="L927" s="6">
        <v>35296</v>
      </c>
      <c r="M927" s="6">
        <v>74899</v>
      </c>
      <c r="N927" s="6">
        <v>259225</v>
      </c>
      <c r="O927" s="6">
        <v>637534</v>
      </c>
      <c r="P927" s="6">
        <v>1607135</v>
      </c>
      <c r="Q927" s="6">
        <v>745867</v>
      </c>
      <c r="R927" s="6">
        <v>941219</v>
      </c>
      <c r="S927" s="6">
        <v>2347</v>
      </c>
      <c r="T927" s="6">
        <v>1970600</v>
      </c>
      <c r="U927" s="6">
        <v>320498</v>
      </c>
      <c r="V927" s="6">
        <v>-5161</v>
      </c>
      <c r="W927" s="6">
        <v>0</v>
      </c>
      <c r="X927" s="6">
        <v>92552</v>
      </c>
      <c r="Y927" s="6">
        <v>37518</v>
      </c>
      <c r="Z927" s="6">
        <v>16085</v>
      </c>
      <c r="AA927" s="6">
        <v>9439</v>
      </c>
      <c r="AB927" s="6">
        <v>52</v>
      </c>
      <c r="AC927" s="6">
        <v>2199</v>
      </c>
      <c r="AD927" s="6">
        <v>121992</v>
      </c>
      <c r="AE927" s="6">
        <v>21267</v>
      </c>
      <c r="AF927" s="6">
        <v>37579</v>
      </c>
    </row>
    <row r="928" spans="1:32" x14ac:dyDescent="0.35">
      <c r="A928" s="1">
        <v>44041</v>
      </c>
      <c r="B928" s="6">
        <v>6949032</v>
      </c>
      <c r="C928" s="6">
        <v>11037</v>
      </c>
      <c r="D928" s="6">
        <v>5200</v>
      </c>
      <c r="E928" s="6">
        <v>1522</v>
      </c>
      <c r="F928" s="6">
        <v>6635516</v>
      </c>
      <c r="G928" s="6">
        <v>6229291</v>
      </c>
      <c r="H928" s="6">
        <v>4293563</v>
      </c>
      <c r="I928" s="6">
        <v>326044</v>
      </c>
      <c r="J928" s="6">
        <v>3661492</v>
      </c>
      <c r="K928" s="6">
        <v>270514</v>
      </c>
      <c r="L928" s="6">
        <v>35513</v>
      </c>
      <c r="M928" s="6">
        <v>75015</v>
      </c>
      <c r="N928" s="6">
        <v>256470</v>
      </c>
      <c r="O928" s="6">
        <v>644020</v>
      </c>
      <c r="P928" s="6">
        <v>1627218</v>
      </c>
      <c r="Q928" s="6">
        <v>746156</v>
      </c>
      <c r="R928" s="6">
        <v>944684</v>
      </c>
      <c r="S928" s="6">
        <v>2347</v>
      </c>
      <c r="T928" s="6">
        <v>1933380</v>
      </c>
      <c r="U928" s="6">
        <v>320706</v>
      </c>
      <c r="V928" s="6">
        <v>-5004</v>
      </c>
      <c r="W928" s="6">
        <v>0</v>
      </c>
      <c r="X928" s="6">
        <v>90523</v>
      </c>
      <c r="Y928" s="6">
        <v>37588</v>
      </c>
      <c r="Z928" s="6">
        <v>16086</v>
      </c>
      <c r="AA928" s="6">
        <v>9439</v>
      </c>
      <c r="AB928" s="6">
        <v>57</v>
      </c>
      <c r="AC928" s="6">
        <v>2200</v>
      </c>
      <c r="AD928" s="6">
        <v>117473</v>
      </c>
      <c r="AE928" s="6">
        <v>21641</v>
      </c>
      <c r="AF928" s="6">
        <v>38163</v>
      </c>
    </row>
    <row r="929" spans="1:32" x14ac:dyDescent="0.35">
      <c r="A929" s="1">
        <v>44048</v>
      </c>
      <c r="B929" s="6">
        <v>6945237</v>
      </c>
      <c r="C929" s="6">
        <v>11037</v>
      </c>
      <c r="D929" s="6">
        <v>5200</v>
      </c>
      <c r="E929" s="6">
        <v>1533</v>
      </c>
      <c r="F929" s="6">
        <v>6642261</v>
      </c>
      <c r="G929" s="6">
        <v>6241464</v>
      </c>
      <c r="H929" s="6">
        <v>4305651</v>
      </c>
      <c r="I929" s="6">
        <v>326044</v>
      </c>
      <c r="J929" s="6">
        <v>3670435</v>
      </c>
      <c r="K929" s="6">
        <v>273306</v>
      </c>
      <c r="L929" s="6">
        <v>35866</v>
      </c>
      <c r="M929" s="6">
        <v>119829</v>
      </c>
      <c r="N929" s="6">
        <v>208908</v>
      </c>
      <c r="O929" s="6">
        <v>642929</v>
      </c>
      <c r="P929" s="6">
        <v>1639244</v>
      </c>
      <c r="Q929" s="6">
        <v>745463</v>
      </c>
      <c r="R929" s="6">
        <v>949280</v>
      </c>
      <c r="S929" s="6">
        <v>2347</v>
      </c>
      <c r="T929" s="6">
        <v>1933466</v>
      </c>
      <c r="U929" s="6">
        <v>321669</v>
      </c>
      <c r="V929" s="6">
        <v>-4948</v>
      </c>
      <c r="W929" s="6">
        <v>0</v>
      </c>
      <c r="X929" s="6">
        <v>84076</v>
      </c>
      <c r="Y929" s="6">
        <v>37601</v>
      </c>
      <c r="Z929" s="6">
        <v>16087</v>
      </c>
      <c r="AA929" s="6">
        <v>10123</v>
      </c>
      <c r="AB929" s="6">
        <v>59</v>
      </c>
      <c r="AC929" s="6">
        <v>2192</v>
      </c>
      <c r="AD929" s="6">
        <v>105663</v>
      </c>
      <c r="AE929" s="6">
        <v>21746</v>
      </c>
      <c r="AF929" s="6">
        <v>38738</v>
      </c>
    </row>
    <row r="930" spans="1:32" x14ac:dyDescent="0.35">
      <c r="A930" s="1">
        <v>44055</v>
      </c>
      <c r="B930" s="6">
        <v>6957277</v>
      </c>
      <c r="C930" s="6">
        <v>11037</v>
      </c>
      <c r="D930" s="6">
        <v>5200</v>
      </c>
      <c r="E930" s="6">
        <v>1513</v>
      </c>
      <c r="F930" s="6">
        <v>6657154</v>
      </c>
      <c r="G930" s="6">
        <v>6255988</v>
      </c>
      <c r="H930" s="6">
        <v>4320093</v>
      </c>
      <c r="I930" s="6">
        <v>326044</v>
      </c>
      <c r="J930" s="6">
        <v>3681769</v>
      </c>
      <c r="K930" s="6">
        <v>275707</v>
      </c>
      <c r="L930" s="6">
        <v>36573</v>
      </c>
      <c r="M930" s="6">
        <v>116715</v>
      </c>
      <c r="N930" s="6">
        <v>222451</v>
      </c>
      <c r="O930" s="6">
        <v>632529</v>
      </c>
      <c r="P930" s="6">
        <v>1642529</v>
      </c>
      <c r="Q930" s="6">
        <v>754625</v>
      </c>
      <c r="R930" s="6">
        <v>951244</v>
      </c>
      <c r="S930" s="6">
        <v>2347</v>
      </c>
      <c r="T930" s="6">
        <v>1933548</v>
      </c>
      <c r="U930" s="6">
        <v>322962</v>
      </c>
      <c r="V930" s="6">
        <v>-4880</v>
      </c>
      <c r="W930" s="6">
        <v>0</v>
      </c>
      <c r="X930" s="6">
        <v>83084</v>
      </c>
      <c r="Y930" s="6">
        <v>37734</v>
      </c>
      <c r="Z930" s="6">
        <v>16088</v>
      </c>
      <c r="AA930" s="6">
        <v>10124</v>
      </c>
      <c r="AB930" s="6">
        <v>45</v>
      </c>
      <c r="AC930" s="6">
        <v>2197</v>
      </c>
      <c r="AD930" s="6">
        <v>99782</v>
      </c>
      <c r="AE930" s="6">
        <v>21518</v>
      </c>
      <c r="AF930" s="6">
        <v>41870</v>
      </c>
    </row>
    <row r="931" spans="1:32" x14ac:dyDescent="0.35">
      <c r="A931" s="1">
        <v>44062</v>
      </c>
      <c r="B931" s="6">
        <v>7010637</v>
      </c>
      <c r="C931" s="6">
        <v>11037</v>
      </c>
      <c r="D931" s="6">
        <v>5200</v>
      </c>
      <c r="E931" s="6">
        <v>1496</v>
      </c>
      <c r="F931" s="6">
        <v>6728809</v>
      </c>
      <c r="G931" s="6">
        <v>6325788</v>
      </c>
      <c r="H931" s="6">
        <v>4345544</v>
      </c>
      <c r="I931" s="6">
        <v>326044</v>
      </c>
      <c r="J931" s="6">
        <v>3706835</v>
      </c>
      <c r="K931" s="6">
        <v>275707</v>
      </c>
      <c r="L931" s="6">
        <v>36958</v>
      </c>
      <c r="M931" s="6">
        <v>62806</v>
      </c>
      <c r="N931" s="6">
        <v>237795</v>
      </c>
      <c r="O931" s="6">
        <v>664486</v>
      </c>
      <c r="P931" s="6">
        <v>1647558</v>
      </c>
      <c r="Q931" s="6">
        <v>762621</v>
      </c>
      <c r="R931" s="6">
        <v>970278</v>
      </c>
      <c r="S931" s="6">
        <v>2347</v>
      </c>
      <c r="T931" s="6">
        <v>1977897</v>
      </c>
      <c r="U931" s="6">
        <v>325894</v>
      </c>
      <c r="V931" s="6">
        <v>-5063</v>
      </c>
      <c r="W931" s="6">
        <v>0</v>
      </c>
      <c r="X931" s="6">
        <v>82190</v>
      </c>
      <c r="Y931" s="6">
        <v>37983</v>
      </c>
      <c r="Z931" s="6">
        <v>16089</v>
      </c>
      <c r="AA931" s="6">
        <v>10771</v>
      </c>
      <c r="AB931" s="6">
        <v>46</v>
      </c>
      <c r="AC931" s="6">
        <v>2197</v>
      </c>
      <c r="AD931" s="6">
        <v>95780</v>
      </c>
      <c r="AE931" s="6">
        <v>21722</v>
      </c>
      <c r="AF931" s="6">
        <v>26440</v>
      </c>
    </row>
    <row r="932" spans="1:32" x14ac:dyDescent="0.35">
      <c r="A932" s="1">
        <v>44069</v>
      </c>
      <c r="B932" s="6">
        <v>6990418</v>
      </c>
      <c r="C932" s="6">
        <v>11037</v>
      </c>
      <c r="D932" s="6">
        <v>5200</v>
      </c>
      <c r="E932" s="6">
        <v>1490</v>
      </c>
      <c r="F932" s="6">
        <v>6712320</v>
      </c>
      <c r="G932" s="6">
        <v>6310134</v>
      </c>
      <c r="H932" s="6">
        <v>4358559</v>
      </c>
      <c r="I932" s="6">
        <v>326044</v>
      </c>
      <c r="J932" s="6">
        <v>3718169</v>
      </c>
      <c r="K932" s="6">
        <v>276906</v>
      </c>
      <c r="L932" s="6">
        <v>37440</v>
      </c>
      <c r="M932" s="6">
        <v>64117</v>
      </c>
      <c r="N932" s="6">
        <v>237185</v>
      </c>
      <c r="O932" s="6">
        <v>663816</v>
      </c>
      <c r="P932" s="6">
        <v>1648650</v>
      </c>
      <c r="Q932" s="6">
        <v>771901</v>
      </c>
      <c r="R932" s="6">
        <v>972889</v>
      </c>
      <c r="S932" s="6">
        <v>2347</v>
      </c>
      <c r="T932" s="6">
        <v>1949228</v>
      </c>
      <c r="U932" s="6">
        <v>326070</v>
      </c>
      <c r="V932" s="6">
        <v>-4989</v>
      </c>
      <c r="W932" s="6">
        <v>0</v>
      </c>
      <c r="X932" s="6">
        <v>81105</v>
      </c>
      <c r="Y932" s="6">
        <v>38371</v>
      </c>
      <c r="Z932" s="6">
        <v>16541</v>
      </c>
      <c r="AA932" s="6">
        <v>10771</v>
      </c>
      <c r="AB932" s="6">
        <v>45</v>
      </c>
      <c r="AC932" s="6">
        <v>2197</v>
      </c>
      <c r="AD932" s="6">
        <v>92140</v>
      </c>
      <c r="AE932" s="6">
        <v>21594</v>
      </c>
      <c r="AF932" s="6">
        <v>25521</v>
      </c>
    </row>
    <row r="933" spans="1:32" x14ac:dyDescent="0.35">
      <c r="A933" s="1">
        <v>44076</v>
      </c>
      <c r="B933" s="6">
        <v>7017492</v>
      </c>
      <c r="C933" s="6">
        <v>11037</v>
      </c>
      <c r="D933" s="6">
        <v>5200</v>
      </c>
      <c r="E933" s="6">
        <v>1477</v>
      </c>
      <c r="F933" s="6">
        <v>6741174</v>
      </c>
      <c r="G933" s="6">
        <v>6338219</v>
      </c>
      <c r="H933" s="6">
        <v>4386637</v>
      </c>
      <c r="I933" s="6">
        <v>326044</v>
      </c>
      <c r="J933" s="6">
        <v>3742629</v>
      </c>
      <c r="K933" s="6">
        <v>279915</v>
      </c>
      <c r="L933" s="6">
        <v>38049</v>
      </c>
      <c r="M933" s="6">
        <v>51692</v>
      </c>
      <c r="N933" s="6">
        <v>263002</v>
      </c>
      <c r="O933" s="6">
        <v>663688</v>
      </c>
      <c r="P933" s="6">
        <v>1662079</v>
      </c>
      <c r="Q933" s="6">
        <v>766933</v>
      </c>
      <c r="R933" s="6">
        <v>979243</v>
      </c>
      <c r="S933" s="6">
        <v>2347</v>
      </c>
      <c r="T933" s="6">
        <v>1949236</v>
      </c>
      <c r="U933" s="6">
        <v>327480</v>
      </c>
      <c r="V933" s="6">
        <v>-4987</v>
      </c>
      <c r="W933" s="6">
        <v>0</v>
      </c>
      <c r="X933" s="6">
        <v>80462</v>
      </c>
      <c r="Y933" s="6">
        <v>38687</v>
      </c>
      <c r="Z933" s="6">
        <v>16542</v>
      </c>
      <c r="AA933" s="6">
        <v>11146</v>
      </c>
      <c r="AB933" s="6">
        <v>55</v>
      </c>
      <c r="AC933" s="6">
        <v>2190</v>
      </c>
      <c r="AD933" s="6">
        <v>88967</v>
      </c>
      <c r="AE933" s="6">
        <v>21714</v>
      </c>
      <c r="AF933" s="6">
        <v>25959</v>
      </c>
    </row>
    <row r="934" spans="1:32" x14ac:dyDescent="0.35">
      <c r="A934" s="1">
        <v>44083</v>
      </c>
      <c r="B934" s="6">
        <v>7010614</v>
      </c>
      <c r="C934" s="6">
        <v>11037</v>
      </c>
      <c r="D934" s="6">
        <v>5200</v>
      </c>
      <c r="E934" s="6">
        <v>1469</v>
      </c>
      <c r="F934" s="6">
        <v>6747633</v>
      </c>
      <c r="G934" s="6">
        <v>6345567</v>
      </c>
      <c r="H934" s="6">
        <v>4393621</v>
      </c>
      <c r="I934" s="6">
        <v>326044</v>
      </c>
      <c r="J934" s="6">
        <v>3747962</v>
      </c>
      <c r="K934" s="6">
        <v>281116</v>
      </c>
      <c r="L934" s="6">
        <v>38499</v>
      </c>
      <c r="M934" s="6">
        <v>42916</v>
      </c>
      <c r="N934" s="6">
        <v>279463</v>
      </c>
      <c r="O934" s="6">
        <v>656032</v>
      </c>
      <c r="P934" s="6">
        <v>1662166</v>
      </c>
      <c r="Q934" s="6">
        <v>770951</v>
      </c>
      <c r="R934" s="6">
        <v>982093</v>
      </c>
      <c r="S934" s="6">
        <v>2347</v>
      </c>
      <c r="T934" s="6">
        <v>1949599</v>
      </c>
      <c r="U934" s="6">
        <v>328660</v>
      </c>
      <c r="V934" s="6">
        <v>-4958</v>
      </c>
      <c r="W934" s="6">
        <v>2</v>
      </c>
      <c r="X934" s="6">
        <v>78362</v>
      </c>
      <c r="Y934" s="6">
        <v>38899</v>
      </c>
      <c r="Z934" s="6">
        <v>16543</v>
      </c>
      <c r="AA934" s="6">
        <v>11147</v>
      </c>
      <c r="AB934" s="6">
        <v>74</v>
      </c>
      <c r="AC934" s="6">
        <v>2190</v>
      </c>
      <c r="AD934" s="6">
        <v>72069</v>
      </c>
      <c r="AE934" s="6">
        <v>21582</v>
      </c>
      <c r="AF934" s="6">
        <v>29393</v>
      </c>
    </row>
    <row r="935" spans="1:32" x14ac:dyDescent="0.35">
      <c r="A935" s="1">
        <v>44090</v>
      </c>
      <c r="B935" s="6">
        <v>7064475</v>
      </c>
      <c r="C935" s="6">
        <v>11037</v>
      </c>
      <c r="D935" s="6">
        <v>5200</v>
      </c>
      <c r="E935" s="6">
        <v>1467</v>
      </c>
      <c r="F935" s="6">
        <v>6819296</v>
      </c>
      <c r="G935" s="6">
        <v>6414387</v>
      </c>
      <c r="H935" s="6">
        <v>4407005</v>
      </c>
      <c r="I935" s="6">
        <v>326044</v>
      </c>
      <c r="J935" s="6">
        <v>3755695</v>
      </c>
      <c r="K935" s="6">
        <v>285918</v>
      </c>
      <c r="L935" s="6">
        <v>39348</v>
      </c>
      <c r="M935" s="6">
        <v>59413</v>
      </c>
      <c r="N935" s="6">
        <v>257882</v>
      </c>
      <c r="O935" s="6">
        <v>668093</v>
      </c>
      <c r="P935" s="6">
        <v>1658504</v>
      </c>
      <c r="Q935" s="6">
        <v>778237</v>
      </c>
      <c r="R935" s="6">
        <v>984876</v>
      </c>
      <c r="S935" s="6">
        <v>2347</v>
      </c>
      <c r="T935" s="6">
        <v>2005035</v>
      </c>
      <c r="U935" s="6">
        <v>331867</v>
      </c>
      <c r="V935" s="6">
        <v>-4906</v>
      </c>
      <c r="W935" s="6">
        <v>0</v>
      </c>
      <c r="X935" s="6">
        <v>77948</v>
      </c>
      <c r="Y935" s="6">
        <v>38959</v>
      </c>
      <c r="Z935" s="6">
        <v>16544</v>
      </c>
      <c r="AA935" s="6">
        <v>11430</v>
      </c>
      <c r="AB935" s="6">
        <v>61</v>
      </c>
      <c r="AC935" s="6">
        <v>2191</v>
      </c>
      <c r="AD935" s="6">
        <v>52274</v>
      </c>
      <c r="AE935" s="6">
        <v>21716</v>
      </c>
      <c r="AF935" s="6">
        <v>30788</v>
      </c>
    </row>
    <row r="936" spans="1:32" x14ac:dyDescent="0.35">
      <c r="A936" s="1">
        <v>44097</v>
      </c>
      <c r="B936" s="6">
        <v>7093161</v>
      </c>
      <c r="C936" s="6">
        <v>11037</v>
      </c>
      <c r="D936" s="6">
        <v>5200</v>
      </c>
      <c r="E936" s="6">
        <v>1467</v>
      </c>
      <c r="F936" s="6">
        <v>6866084</v>
      </c>
      <c r="G936" s="6">
        <v>6458738</v>
      </c>
      <c r="H936" s="6">
        <v>4431523</v>
      </c>
      <c r="I936" s="6">
        <v>326044</v>
      </c>
      <c r="J936" s="6">
        <v>3779831</v>
      </c>
      <c r="K936" s="6">
        <v>285918</v>
      </c>
      <c r="L936" s="6">
        <v>39731</v>
      </c>
      <c r="M936" s="6">
        <v>72212</v>
      </c>
      <c r="N936" s="6">
        <v>247998</v>
      </c>
      <c r="O936" s="6">
        <v>671972</v>
      </c>
      <c r="P936" s="6">
        <v>1665299</v>
      </c>
      <c r="Q936" s="6">
        <v>787290</v>
      </c>
      <c r="R936" s="6">
        <v>986752</v>
      </c>
      <c r="S936" s="6">
        <v>2347</v>
      </c>
      <c r="T936" s="6">
        <v>2024868</v>
      </c>
      <c r="U936" s="6">
        <v>333951</v>
      </c>
      <c r="V936" s="6">
        <v>-4837</v>
      </c>
      <c r="W936" s="6">
        <v>0</v>
      </c>
      <c r="X936" s="6">
        <v>78231</v>
      </c>
      <c r="Y936" s="6">
        <v>39355</v>
      </c>
      <c r="Z936" s="6">
        <v>16546</v>
      </c>
      <c r="AA936" s="6">
        <v>11431</v>
      </c>
      <c r="AB936" s="6">
        <v>59</v>
      </c>
      <c r="AC936" s="6">
        <v>2195</v>
      </c>
      <c r="AD936" s="6">
        <v>31950</v>
      </c>
      <c r="AE936" s="6">
        <v>21510</v>
      </c>
      <c r="AF936" s="6">
        <v>32767</v>
      </c>
    </row>
    <row r="937" spans="1:32" x14ac:dyDescent="0.35">
      <c r="A937" s="1">
        <v>44104</v>
      </c>
      <c r="B937" s="6">
        <v>7056129</v>
      </c>
      <c r="C937" s="6">
        <v>11037</v>
      </c>
      <c r="D937" s="6">
        <v>5200</v>
      </c>
      <c r="E937" s="6">
        <v>1477</v>
      </c>
      <c r="F937" s="6">
        <v>6838658</v>
      </c>
      <c r="G937" s="6">
        <v>6430599</v>
      </c>
      <c r="H937" s="6">
        <v>4445477</v>
      </c>
      <c r="I937" s="6">
        <v>326044</v>
      </c>
      <c r="J937" s="6">
        <v>3790453</v>
      </c>
      <c r="K937" s="6">
        <v>288760</v>
      </c>
      <c r="L937" s="6">
        <v>40220</v>
      </c>
      <c r="M937" s="6">
        <v>56106</v>
      </c>
      <c r="N937" s="6">
        <v>238394</v>
      </c>
      <c r="O937" s="6">
        <v>694799</v>
      </c>
      <c r="P937" s="6">
        <v>1673536</v>
      </c>
      <c r="Q937" s="6">
        <v>788868</v>
      </c>
      <c r="R937" s="6">
        <v>993773</v>
      </c>
      <c r="S937" s="6">
        <v>2347</v>
      </c>
      <c r="T937" s="6">
        <v>1982775</v>
      </c>
      <c r="U937" s="6">
        <v>333422</v>
      </c>
      <c r="V937" s="6">
        <v>-4736</v>
      </c>
      <c r="W937" s="6">
        <v>1000</v>
      </c>
      <c r="X937" s="6">
        <v>78373</v>
      </c>
      <c r="Y937" s="6">
        <v>39718</v>
      </c>
      <c r="Z937" s="6">
        <v>16547</v>
      </c>
      <c r="AA937" s="6">
        <v>11715</v>
      </c>
      <c r="AB937" s="6">
        <v>72</v>
      </c>
      <c r="AC937" s="6">
        <v>2201</v>
      </c>
      <c r="AD937" s="6">
        <v>23895</v>
      </c>
      <c r="AE937" s="6">
        <v>21553</v>
      </c>
      <c r="AF937" s="6">
        <v>30425</v>
      </c>
    </row>
    <row r="938" spans="1:32" x14ac:dyDescent="0.35">
      <c r="A938" s="1">
        <v>44111</v>
      </c>
      <c r="B938" s="6">
        <v>7074649</v>
      </c>
      <c r="C938" s="6">
        <v>11037</v>
      </c>
      <c r="D938" s="6">
        <v>5200</v>
      </c>
      <c r="E938" s="6">
        <v>1481</v>
      </c>
      <c r="F938" s="6">
        <v>6861604</v>
      </c>
      <c r="G938" s="6">
        <v>6454984</v>
      </c>
      <c r="H938" s="6">
        <v>4469848</v>
      </c>
      <c r="I938" s="6">
        <v>326044</v>
      </c>
      <c r="J938" s="6">
        <v>3814590</v>
      </c>
      <c r="K938" s="6">
        <v>288760</v>
      </c>
      <c r="L938" s="6">
        <v>40454</v>
      </c>
      <c r="M938" s="6">
        <v>60673</v>
      </c>
      <c r="N938" s="6">
        <v>281358</v>
      </c>
      <c r="O938" s="6">
        <v>648353</v>
      </c>
      <c r="P938" s="6">
        <v>1686755</v>
      </c>
      <c r="Q938" s="6">
        <v>797112</v>
      </c>
      <c r="R938" s="6">
        <v>995597</v>
      </c>
      <c r="S938" s="6">
        <v>2347</v>
      </c>
      <c r="T938" s="6">
        <v>1982789</v>
      </c>
      <c r="U938" s="6">
        <v>334331</v>
      </c>
      <c r="V938" s="6">
        <v>-4694</v>
      </c>
      <c r="W938" s="6">
        <v>1059</v>
      </c>
      <c r="X938" s="6">
        <v>75924</v>
      </c>
      <c r="Y938" s="6">
        <v>40076</v>
      </c>
      <c r="Z938" s="6">
        <v>16548</v>
      </c>
      <c r="AA938" s="6">
        <v>11715</v>
      </c>
      <c r="AB938" s="6">
        <v>57</v>
      </c>
      <c r="AC938" s="6">
        <v>2189</v>
      </c>
      <c r="AD938" s="6">
        <v>15838</v>
      </c>
      <c r="AE938" s="6">
        <v>21551</v>
      </c>
      <c r="AF938" s="6">
        <v>33599</v>
      </c>
    </row>
    <row r="939" spans="1:32" x14ac:dyDescent="0.35">
      <c r="A939" s="1">
        <v>44118</v>
      </c>
      <c r="B939" s="6">
        <v>7151426</v>
      </c>
      <c r="C939" s="6">
        <v>11037</v>
      </c>
      <c r="D939" s="6">
        <v>5200</v>
      </c>
      <c r="E939" s="6">
        <v>1483</v>
      </c>
      <c r="F939" s="6">
        <v>6942805</v>
      </c>
      <c r="G939" s="6">
        <v>6534164</v>
      </c>
      <c r="H939" s="6">
        <v>4484978</v>
      </c>
      <c r="I939" s="6">
        <v>326044</v>
      </c>
      <c r="J939" s="6">
        <v>3826856</v>
      </c>
      <c r="K939" s="6">
        <v>291159</v>
      </c>
      <c r="L939" s="6">
        <v>40919</v>
      </c>
      <c r="M939" s="6">
        <v>49893</v>
      </c>
      <c r="N939" s="6">
        <v>284509</v>
      </c>
      <c r="O939" s="6">
        <v>656000</v>
      </c>
      <c r="P939" s="6">
        <v>1697513</v>
      </c>
      <c r="Q939" s="6">
        <v>797937</v>
      </c>
      <c r="R939" s="6">
        <v>999126</v>
      </c>
      <c r="S939" s="6">
        <v>2347</v>
      </c>
      <c r="T939" s="6">
        <v>2046839</v>
      </c>
      <c r="U939" s="6">
        <v>337568</v>
      </c>
      <c r="V939" s="6">
        <v>-4597</v>
      </c>
      <c r="W939" s="6">
        <v>1000</v>
      </c>
      <c r="X939" s="6">
        <v>74670</v>
      </c>
      <c r="Y939" s="6">
        <v>40547</v>
      </c>
      <c r="Z939" s="6">
        <v>16549</v>
      </c>
      <c r="AA939" s="6">
        <v>11716</v>
      </c>
      <c r="AB939" s="6">
        <v>101</v>
      </c>
      <c r="AC939" s="6">
        <v>2194</v>
      </c>
      <c r="AD939" s="6">
        <v>7478</v>
      </c>
      <c r="AE939" s="6">
        <v>21614</v>
      </c>
      <c r="AF939" s="6">
        <v>36843</v>
      </c>
    </row>
    <row r="940" spans="1:32" x14ac:dyDescent="0.35">
      <c r="A940" s="1">
        <v>44125</v>
      </c>
      <c r="B940" s="6">
        <v>7177265</v>
      </c>
      <c r="C940" s="6">
        <v>11037</v>
      </c>
      <c r="D940" s="6">
        <v>5200</v>
      </c>
      <c r="E940" s="6">
        <v>1482</v>
      </c>
      <c r="F940" s="6">
        <v>6967787</v>
      </c>
      <c r="G940" s="6">
        <v>6559360</v>
      </c>
      <c r="H940" s="6">
        <v>4509778</v>
      </c>
      <c r="I940" s="6">
        <v>326044</v>
      </c>
      <c r="J940" s="6">
        <v>3847392</v>
      </c>
      <c r="K940" s="6">
        <v>294761</v>
      </c>
      <c r="L940" s="6">
        <v>41581</v>
      </c>
      <c r="M940" s="6">
        <v>79660</v>
      </c>
      <c r="N940" s="6">
        <v>264999</v>
      </c>
      <c r="O940" s="6">
        <v>656206</v>
      </c>
      <c r="P940" s="6">
        <v>1701341</v>
      </c>
      <c r="Q940" s="6">
        <v>805291</v>
      </c>
      <c r="R940" s="6">
        <v>1002280</v>
      </c>
      <c r="S940" s="6">
        <v>2347</v>
      </c>
      <c r="T940" s="6">
        <v>2047235</v>
      </c>
      <c r="U940" s="6">
        <v>338824</v>
      </c>
      <c r="V940" s="6">
        <v>-4608</v>
      </c>
      <c r="W940" s="6">
        <v>1000</v>
      </c>
      <c r="X940" s="6">
        <v>73212</v>
      </c>
      <c r="Y940" s="6">
        <v>40893</v>
      </c>
      <c r="Z940" s="6">
        <v>16550</v>
      </c>
      <c r="AA940" s="6">
        <v>11762</v>
      </c>
      <c r="AB940" s="6">
        <v>54</v>
      </c>
      <c r="AC940" s="6">
        <v>2196</v>
      </c>
      <c r="AD940" s="6">
        <v>7642</v>
      </c>
      <c r="AE940" s="6">
        <v>21780</v>
      </c>
      <c r="AF940" s="6">
        <v>36944</v>
      </c>
    </row>
    <row r="941" spans="1:32" x14ac:dyDescent="0.35">
      <c r="A941" s="1">
        <v>44132</v>
      </c>
      <c r="B941" s="6">
        <v>7146306</v>
      </c>
      <c r="C941" s="6">
        <v>11037</v>
      </c>
      <c r="D941" s="6">
        <v>5200</v>
      </c>
      <c r="E941" s="6">
        <v>1478</v>
      </c>
      <c r="F941" s="6">
        <v>6936948</v>
      </c>
      <c r="G941" s="6">
        <v>6529839</v>
      </c>
      <c r="H941" s="6">
        <v>4527186</v>
      </c>
      <c r="I941" s="6">
        <v>326044</v>
      </c>
      <c r="J941" s="6">
        <v>3863263</v>
      </c>
      <c r="K941" s="6">
        <v>295962</v>
      </c>
      <c r="L941" s="6">
        <v>41918</v>
      </c>
      <c r="M941" s="6">
        <v>76703</v>
      </c>
      <c r="N941" s="6">
        <v>269340</v>
      </c>
      <c r="O941" s="6">
        <v>654840</v>
      </c>
      <c r="P941" s="6">
        <v>1710201</v>
      </c>
      <c r="Q941" s="6">
        <v>809323</v>
      </c>
      <c r="R941" s="6">
        <v>1006780</v>
      </c>
      <c r="S941" s="6">
        <v>2347</v>
      </c>
      <c r="T941" s="6">
        <v>2000305</v>
      </c>
      <c r="U941" s="6">
        <v>338236</v>
      </c>
      <c r="V941" s="6">
        <v>-4589</v>
      </c>
      <c r="W941" s="6">
        <v>1000</v>
      </c>
      <c r="X941" s="6">
        <v>72462</v>
      </c>
      <c r="Y941" s="6">
        <v>41273</v>
      </c>
      <c r="Z941" s="6">
        <v>16551</v>
      </c>
      <c r="AA941" s="6">
        <v>11763</v>
      </c>
      <c r="AB941" s="6">
        <v>59</v>
      </c>
      <c r="AC941" s="6">
        <v>2199</v>
      </c>
      <c r="AD941" s="6">
        <v>6799</v>
      </c>
      <c r="AE941" s="6">
        <v>21672</v>
      </c>
      <c r="AF941" s="6">
        <v>37274</v>
      </c>
    </row>
    <row r="942" spans="1:32" x14ac:dyDescent="0.35">
      <c r="A942" s="1">
        <v>44139</v>
      </c>
      <c r="B942" s="6">
        <v>7157479</v>
      </c>
      <c r="C942" s="6">
        <v>11037</v>
      </c>
      <c r="D942" s="6">
        <v>5200</v>
      </c>
      <c r="E942" s="6">
        <v>1481</v>
      </c>
      <c r="F942" s="6">
        <v>6945910</v>
      </c>
      <c r="G942" s="6">
        <v>6540758</v>
      </c>
      <c r="H942" s="6">
        <v>4538087</v>
      </c>
      <c r="I942" s="6">
        <v>326044</v>
      </c>
      <c r="J942" s="6">
        <v>3872732</v>
      </c>
      <c r="K942" s="6">
        <v>297163</v>
      </c>
      <c r="L942" s="6">
        <v>42148</v>
      </c>
      <c r="M942" s="6">
        <v>92517</v>
      </c>
      <c r="N942" s="6">
        <v>272111</v>
      </c>
      <c r="O942" s="6">
        <v>633540</v>
      </c>
      <c r="P942" s="6">
        <v>1714301</v>
      </c>
      <c r="Q942" s="6">
        <v>812404</v>
      </c>
      <c r="R942" s="6">
        <v>1013214</v>
      </c>
      <c r="S942" s="6">
        <v>2347</v>
      </c>
      <c r="T942" s="6">
        <v>2000324</v>
      </c>
      <c r="U942" s="6">
        <v>339163</v>
      </c>
      <c r="V942" s="6">
        <v>-4672</v>
      </c>
      <c r="W942" s="6">
        <v>1000</v>
      </c>
      <c r="X942" s="6">
        <v>69660</v>
      </c>
      <c r="Y942" s="6">
        <v>41683</v>
      </c>
      <c r="Z942" s="6">
        <v>16552</v>
      </c>
      <c r="AA942" s="6">
        <v>12266</v>
      </c>
      <c r="AB942" s="6">
        <v>53</v>
      </c>
      <c r="AC942" s="6">
        <v>2190</v>
      </c>
      <c r="AD942" s="6">
        <v>7248</v>
      </c>
      <c r="AE942" s="6">
        <v>21644</v>
      </c>
      <c r="AF942" s="6">
        <v>37993</v>
      </c>
    </row>
    <row r="943" spans="1:32" x14ac:dyDescent="0.35">
      <c r="A943" s="1">
        <v>44146</v>
      </c>
      <c r="B943" s="6">
        <v>7175417</v>
      </c>
      <c r="C943" s="6">
        <v>11037</v>
      </c>
      <c r="D943" s="6">
        <v>5200</v>
      </c>
      <c r="E943" s="6">
        <v>1477</v>
      </c>
      <c r="F943" s="6">
        <v>6959226</v>
      </c>
      <c r="G943" s="6">
        <v>6555446</v>
      </c>
      <c r="H943" s="6">
        <v>4552731</v>
      </c>
      <c r="I943" s="6">
        <v>326044</v>
      </c>
      <c r="J943" s="6">
        <v>3887266</v>
      </c>
      <c r="K943" s="6">
        <v>297163</v>
      </c>
      <c r="L943" s="6">
        <v>42258</v>
      </c>
      <c r="M943" s="6">
        <v>71475</v>
      </c>
      <c r="N943" s="6">
        <v>285323</v>
      </c>
      <c r="O943" s="6">
        <v>642675</v>
      </c>
      <c r="P943" s="6">
        <v>1725831</v>
      </c>
      <c r="Q943" s="6">
        <v>812450</v>
      </c>
      <c r="R943" s="6">
        <v>1014977</v>
      </c>
      <c r="S943" s="6">
        <v>2347</v>
      </c>
      <c r="T943" s="6">
        <v>2000368</v>
      </c>
      <c r="U943" s="6">
        <v>339262</v>
      </c>
      <c r="V943" s="6">
        <v>-4660</v>
      </c>
      <c r="W943" s="6">
        <v>1000</v>
      </c>
      <c r="X943" s="6">
        <v>68178</v>
      </c>
      <c r="Y943" s="6">
        <v>42337</v>
      </c>
      <c r="Z943" s="6">
        <v>16553</v>
      </c>
      <c r="AA943" s="6">
        <v>12266</v>
      </c>
      <c r="AB943" s="6">
        <v>73</v>
      </c>
      <c r="AC943" s="6">
        <v>2195</v>
      </c>
      <c r="AD943" s="6">
        <v>8036</v>
      </c>
      <c r="AE943" s="6">
        <v>21647</v>
      </c>
      <c r="AF943" s="6">
        <v>41119</v>
      </c>
    </row>
    <row r="944" spans="1:32" x14ac:dyDescent="0.35">
      <c r="A944" s="1">
        <v>44153</v>
      </c>
      <c r="B944" s="6">
        <v>7243080</v>
      </c>
      <c r="C944" s="6">
        <v>11037</v>
      </c>
      <c r="D944" s="6">
        <v>5200</v>
      </c>
      <c r="E944" s="6">
        <v>1504</v>
      </c>
      <c r="F944" s="6">
        <v>7040674</v>
      </c>
      <c r="G944" s="6">
        <v>6637946</v>
      </c>
      <c r="H944" s="6">
        <v>4584423</v>
      </c>
      <c r="I944" s="6">
        <v>326044</v>
      </c>
      <c r="J944" s="6">
        <v>3916204</v>
      </c>
      <c r="K944" s="6">
        <v>299562</v>
      </c>
      <c r="L944" s="6">
        <v>42613</v>
      </c>
      <c r="M944" s="6">
        <v>84836</v>
      </c>
      <c r="N944" s="6">
        <v>284427</v>
      </c>
      <c r="O944" s="6">
        <v>664873</v>
      </c>
      <c r="P944" s="6">
        <v>1700839</v>
      </c>
      <c r="Q944" s="6">
        <v>824797</v>
      </c>
      <c r="R944" s="6">
        <v>1024651</v>
      </c>
      <c r="S944" s="6">
        <v>2347</v>
      </c>
      <c r="T944" s="6">
        <v>2051176</v>
      </c>
      <c r="U944" s="6">
        <v>341456</v>
      </c>
      <c r="V944" s="6">
        <v>-4915</v>
      </c>
      <c r="W944" s="6">
        <v>1000</v>
      </c>
      <c r="X944" s="6">
        <v>65187</v>
      </c>
      <c r="Y944" s="6">
        <v>42894</v>
      </c>
      <c r="Z944" s="6">
        <v>16554</v>
      </c>
      <c r="AA944" s="6">
        <v>12293</v>
      </c>
      <c r="AB944" s="6">
        <v>53</v>
      </c>
      <c r="AC944" s="6">
        <v>2197</v>
      </c>
      <c r="AD944" s="6">
        <v>7141</v>
      </c>
      <c r="AE944" s="6">
        <v>21850</v>
      </c>
      <c r="AF944" s="6">
        <v>27289</v>
      </c>
    </row>
    <row r="945" spans="1:32" x14ac:dyDescent="0.35">
      <c r="A945" s="1">
        <v>44160</v>
      </c>
      <c r="B945" s="6">
        <v>7216480</v>
      </c>
      <c r="C945" s="6">
        <v>11037</v>
      </c>
      <c r="D945" s="6">
        <v>5200</v>
      </c>
      <c r="E945" s="6">
        <v>1522</v>
      </c>
      <c r="F945" s="6">
        <v>7012429</v>
      </c>
      <c r="G945" s="6">
        <v>6612518</v>
      </c>
      <c r="H945" s="6">
        <v>4606580</v>
      </c>
      <c r="I945" s="6">
        <v>326044</v>
      </c>
      <c r="J945" s="6">
        <v>3934315</v>
      </c>
      <c r="K945" s="6">
        <v>303162</v>
      </c>
      <c r="L945" s="6">
        <v>43059</v>
      </c>
      <c r="M945" s="6">
        <v>78785</v>
      </c>
      <c r="N945" s="6">
        <v>290750</v>
      </c>
      <c r="O945" s="6">
        <v>668914</v>
      </c>
      <c r="P945" s="6">
        <v>1711895</v>
      </c>
      <c r="Q945" s="6">
        <v>826697</v>
      </c>
      <c r="R945" s="6">
        <v>1029539</v>
      </c>
      <c r="S945" s="6">
        <v>2347</v>
      </c>
      <c r="T945" s="6">
        <v>2003592</v>
      </c>
      <c r="U945" s="6">
        <v>340018</v>
      </c>
      <c r="V945" s="6">
        <v>-4970</v>
      </c>
      <c r="W945" s="6">
        <v>1000</v>
      </c>
      <c r="X945" s="6">
        <v>63864</v>
      </c>
      <c r="Y945" s="6">
        <v>43371</v>
      </c>
      <c r="Z945" s="6">
        <v>16555</v>
      </c>
      <c r="AA945" s="6">
        <v>12294</v>
      </c>
      <c r="AB945" s="6">
        <v>95</v>
      </c>
      <c r="AC945" s="6">
        <v>2198</v>
      </c>
      <c r="AD945" s="6">
        <v>7845</v>
      </c>
      <c r="AE945" s="6">
        <v>21833</v>
      </c>
      <c r="AF945" s="6">
        <v>27562</v>
      </c>
    </row>
    <row r="946" spans="1:32" x14ac:dyDescent="0.35">
      <c r="A946" s="1">
        <v>44167</v>
      </c>
      <c r="B946" s="6">
        <v>7222414</v>
      </c>
      <c r="C946" s="6">
        <v>11037</v>
      </c>
      <c r="D946" s="6">
        <v>5200</v>
      </c>
      <c r="E946" s="6">
        <v>1514</v>
      </c>
      <c r="F946" s="6">
        <v>7018103</v>
      </c>
      <c r="G946" s="6">
        <v>6620378</v>
      </c>
      <c r="H946" s="6">
        <v>4614410</v>
      </c>
      <c r="I946" s="6">
        <v>326044</v>
      </c>
      <c r="J946" s="6">
        <v>3940382</v>
      </c>
      <c r="K946" s="6">
        <v>304826</v>
      </c>
      <c r="L946" s="6">
        <v>43158</v>
      </c>
      <c r="M946" s="6">
        <v>56723</v>
      </c>
      <c r="N946" s="6">
        <v>335898</v>
      </c>
      <c r="O946" s="6">
        <v>630853</v>
      </c>
      <c r="P946" s="6">
        <v>1726236</v>
      </c>
      <c r="Q946" s="6">
        <v>829664</v>
      </c>
      <c r="R946" s="6">
        <v>1035037</v>
      </c>
      <c r="S946" s="6">
        <v>2347</v>
      </c>
      <c r="T946" s="6">
        <v>2003621</v>
      </c>
      <c r="U946" s="6">
        <v>340177</v>
      </c>
      <c r="V946" s="6">
        <v>-5066</v>
      </c>
      <c r="W946" s="6">
        <v>1000</v>
      </c>
      <c r="X946" s="6">
        <v>61613</v>
      </c>
      <c r="Y946" s="6">
        <v>43783</v>
      </c>
      <c r="Z946" s="6">
        <v>16556</v>
      </c>
      <c r="AA946" s="6">
        <v>12118</v>
      </c>
      <c r="AB946" s="6">
        <v>74</v>
      </c>
      <c r="AC946" s="6">
        <v>2192</v>
      </c>
      <c r="AD946" s="6">
        <v>8449</v>
      </c>
      <c r="AE946" s="6">
        <v>22118</v>
      </c>
      <c r="AF946" s="6">
        <v>26631</v>
      </c>
    </row>
    <row r="947" spans="1:32" x14ac:dyDescent="0.35">
      <c r="A947" s="1">
        <v>44174</v>
      </c>
      <c r="B947" s="6">
        <v>7242658</v>
      </c>
      <c r="C947" s="6">
        <v>11037</v>
      </c>
      <c r="D947" s="6">
        <v>5200</v>
      </c>
      <c r="E947" s="6">
        <v>1541</v>
      </c>
      <c r="F947" s="6">
        <v>7032910</v>
      </c>
      <c r="G947" s="6">
        <v>6636541</v>
      </c>
      <c r="H947" s="6">
        <v>4630538</v>
      </c>
      <c r="I947" s="6">
        <v>326044</v>
      </c>
      <c r="J947" s="6">
        <v>3952652</v>
      </c>
      <c r="K947" s="6">
        <v>308426</v>
      </c>
      <c r="L947" s="6">
        <v>43415</v>
      </c>
      <c r="M947" s="6">
        <v>41310</v>
      </c>
      <c r="N947" s="6">
        <v>345014</v>
      </c>
      <c r="O947" s="6">
        <v>637152</v>
      </c>
      <c r="P947" s="6">
        <v>1737549</v>
      </c>
      <c r="Q947" s="6">
        <v>830650</v>
      </c>
      <c r="R947" s="6">
        <v>1038864</v>
      </c>
      <c r="S947" s="6">
        <v>2347</v>
      </c>
      <c r="T947" s="6">
        <v>2003656</v>
      </c>
      <c r="U947" s="6">
        <v>341023</v>
      </c>
      <c r="V947" s="6">
        <v>-5080</v>
      </c>
      <c r="W947" s="6">
        <v>1000</v>
      </c>
      <c r="X947" s="6">
        <v>59426</v>
      </c>
      <c r="Y947" s="6">
        <v>44821</v>
      </c>
      <c r="Z947" s="6">
        <v>16359</v>
      </c>
      <c r="AA947" s="6">
        <v>12463</v>
      </c>
      <c r="AB947" s="6">
        <v>80</v>
      </c>
      <c r="AC947" s="6">
        <v>2199</v>
      </c>
      <c r="AD947" s="6">
        <v>9565</v>
      </c>
      <c r="AE947" s="6">
        <v>22027</v>
      </c>
      <c r="AF947" s="6">
        <v>29762</v>
      </c>
    </row>
    <row r="948" spans="1:32" x14ac:dyDescent="0.35">
      <c r="A948" s="1">
        <v>44181</v>
      </c>
      <c r="B948" s="6">
        <v>7362592</v>
      </c>
      <c r="C948" s="6">
        <v>11037</v>
      </c>
      <c r="D948" s="6">
        <v>5200</v>
      </c>
      <c r="E948" s="6">
        <v>1560</v>
      </c>
      <c r="F948" s="6">
        <v>7142430</v>
      </c>
      <c r="G948" s="6">
        <v>6744281</v>
      </c>
      <c r="H948" s="6">
        <v>4662841</v>
      </c>
      <c r="I948" s="6">
        <v>326044</v>
      </c>
      <c r="J948" s="6">
        <v>3984922</v>
      </c>
      <c r="K948" s="6">
        <v>308426</v>
      </c>
      <c r="L948" s="6">
        <v>43448</v>
      </c>
      <c r="M948" s="6">
        <v>83472</v>
      </c>
      <c r="N948" s="6">
        <v>306309</v>
      </c>
      <c r="O948" s="6">
        <v>647778</v>
      </c>
      <c r="P948" s="6">
        <v>1742438</v>
      </c>
      <c r="Q948" s="6">
        <v>832286</v>
      </c>
      <c r="R948" s="6">
        <v>1050559</v>
      </c>
      <c r="S948" s="6">
        <v>2347</v>
      </c>
      <c r="T948" s="6">
        <v>2079093</v>
      </c>
      <c r="U948" s="6">
        <v>343821</v>
      </c>
      <c r="V948" s="6">
        <v>-5482</v>
      </c>
      <c r="W948" s="6">
        <v>1000</v>
      </c>
      <c r="X948" s="6">
        <v>58809</v>
      </c>
      <c r="Y948" s="6">
        <v>47515</v>
      </c>
      <c r="Z948" s="6">
        <v>21267</v>
      </c>
      <c r="AA948" s="6">
        <v>12464</v>
      </c>
      <c r="AB948" s="6">
        <v>78</v>
      </c>
      <c r="AC948" s="6">
        <v>2201</v>
      </c>
      <c r="AD948" s="6">
        <v>10048</v>
      </c>
      <c r="AE948" s="6">
        <v>22189</v>
      </c>
      <c r="AF948" s="6">
        <v>31761</v>
      </c>
    </row>
    <row r="949" spans="1:32" x14ac:dyDescent="0.35">
      <c r="A949" s="1">
        <v>44188</v>
      </c>
      <c r="B949" s="6">
        <v>7404039</v>
      </c>
      <c r="C949" s="6">
        <v>11037</v>
      </c>
      <c r="D949" s="6">
        <v>5200</v>
      </c>
      <c r="E949" s="6">
        <v>1570</v>
      </c>
      <c r="F949" s="6">
        <v>7170140</v>
      </c>
      <c r="G949" s="6">
        <v>6771803</v>
      </c>
      <c r="H949" s="6">
        <v>4682881</v>
      </c>
      <c r="I949" s="6">
        <v>326044</v>
      </c>
      <c r="J949" s="6">
        <v>4001192</v>
      </c>
      <c r="K949" s="6">
        <v>312024</v>
      </c>
      <c r="L949" s="6">
        <v>43621</v>
      </c>
      <c r="M949" s="6">
        <v>85295</v>
      </c>
      <c r="N949" s="6">
        <v>303338</v>
      </c>
      <c r="O949" s="6">
        <v>650885</v>
      </c>
      <c r="P949" s="6">
        <v>1755671</v>
      </c>
      <c r="Q949" s="6">
        <v>833243</v>
      </c>
      <c r="R949" s="6">
        <v>1054449</v>
      </c>
      <c r="S949" s="6">
        <v>2347</v>
      </c>
      <c r="T949" s="6">
        <v>2086574</v>
      </c>
      <c r="U949" s="6">
        <v>345019</v>
      </c>
      <c r="V949" s="6">
        <v>-5443</v>
      </c>
      <c r="W949" s="6">
        <v>1000</v>
      </c>
      <c r="X949" s="6">
        <v>57761</v>
      </c>
      <c r="Y949" s="6">
        <v>52154</v>
      </c>
      <c r="Z949" s="6">
        <v>21275</v>
      </c>
      <c r="AA949" s="6">
        <v>12663</v>
      </c>
      <c r="AB949" s="6">
        <v>61</v>
      </c>
      <c r="AC949" s="6">
        <v>2206</v>
      </c>
      <c r="AD949" s="6">
        <v>16833</v>
      </c>
      <c r="AE949" s="6">
        <v>22214</v>
      </c>
      <c r="AF949" s="6">
        <v>33718</v>
      </c>
    </row>
    <row r="950" spans="1:32" x14ac:dyDescent="0.35">
      <c r="A950" s="1">
        <v>44195</v>
      </c>
      <c r="B950" s="6">
        <v>7363351</v>
      </c>
      <c r="C950" s="6">
        <v>11037</v>
      </c>
      <c r="D950" s="6">
        <v>5200</v>
      </c>
      <c r="E950" s="6">
        <v>1562</v>
      </c>
      <c r="F950" s="6">
        <v>7125925</v>
      </c>
      <c r="G950" s="6">
        <v>6730731</v>
      </c>
      <c r="H950" s="6">
        <v>4688916</v>
      </c>
      <c r="I950" s="6">
        <v>326044</v>
      </c>
      <c r="J950" s="6">
        <v>4007193</v>
      </c>
      <c r="K950" s="6">
        <v>312024</v>
      </c>
      <c r="L950" s="6">
        <v>43654</v>
      </c>
      <c r="M950" s="6">
        <v>93926</v>
      </c>
      <c r="N950" s="6">
        <v>295783</v>
      </c>
      <c r="O950" s="6">
        <v>649811</v>
      </c>
      <c r="P950" s="6">
        <v>1767023</v>
      </c>
      <c r="Q950" s="6">
        <v>827914</v>
      </c>
      <c r="R950" s="6">
        <v>1054458</v>
      </c>
      <c r="S950" s="6">
        <v>2347</v>
      </c>
      <c r="T950" s="6">
        <v>2039468</v>
      </c>
      <c r="U950" s="6">
        <v>342923</v>
      </c>
      <c r="V950" s="6">
        <v>-5430</v>
      </c>
      <c r="W950" s="6">
        <v>1000</v>
      </c>
      <c r="X950" s="6">
        <v>56701</v>
      </c>
      <c r="Y950" s="6">
        <v>54073</v>
      </c>
      <c r="Z950" s="6">
        <v>21278</v>
      </c>
      <c r="AA950" s="6">
        <v>12664</v>
      </c>
      <c r="AB950" s="6">
        <v>82</v>
      </c>
      <c r="AC950" s="6">
        <v>2222</v>
      </c>
      <c r="AD950" s="6">
        <v>17883</v>
      </c>
      <c r="AE950" s="6">
        <v>22429</v>
      </c>
      <c r="AF950" s="6">
        <v>33906</v>
      </c>
    </row>
    <row r="951" spans="1:32" x14ac:dyDescent="0.35">
      <c r="A951" s="1">
        <v>44202</v>
      </c>
      <c r="B951" s="6">
        <v>7334809</v>
      </c>
      <c r="C951" s="6">
        <v>11037</v>
      </c>
      <c r="D951" s="6">
        <v>5200</v>
      </c>
      <c r="E951" s="6">
        <v>1563</v>
      </c>
      <c r="F951" s="6">
        <v>7133901</v>
      </c>
      <c r="G951" s="6">
        <v>6741237</v>
      </c>
      <c r="H951" s="6">
        <v>4699421</v>
      </c>
      <c r="I951" s="6">
        <v>326044</v>
      </c>
      <c r="J951" s="6">
        <v>4015445</v>
      </c>
      <c r="K951" s="6">
        <v>314307</v>
      </c>
      <c r="L951" s="6">
        <v>43625</v>
      </c>
      <c r="M951" s="6">
        <v>65582</v>
      </c>
      <c r="N951" s="6">
        <v>320631</v>
      </c>
      <c r="O951" s="6">
        <v>647973</v>
      </c>
      <c r="P951" s="6">
        <v>1768527</v>
      </c>
      <c r="Q951" s="6">
        <v>836876</v>
      </c>
      <c r="R951" s="6">
        <v>1059832</v>
      </c>
      <c r="S951" s="6">
        <v>2347</v>
      </c>
      <c r="T951" s="6">
        <v>2039469</v>
      </c>
      <c r="U951" s="6">
        <v>342993</v>
      </c>
      <c r="V951" s="6">
        <v>-5544</v>
      </c>
      <c r="W951" s="6">
        <v>1000</v>
      </c>
      <c r="X951" s="6">
        <v>54216</v>
      </c>
      <c r="Y951" s="6">
        <v>54155</v>
      </c>
      <c r="Z951" s="6">
        <v>11680</v>
      </c>
      <c r="AA951" s="6">
        <v>6676</v>
      </c>
      <c r="AB951" s="6">
        <v>65</v>
      </c>
      <c r="AC951" s="6">
        <v>2207</v>
      </c>
      <c r="AD951" s="6">
        <v>16911</v>
      </c>
      <c r="AE951" s="6">
        <v>22340</v>
      </c>
      <c r="AF951" s="6">
        <v>34143</v>
      </c>
    </row>
    <row r="952" spans="1:32" x14ac:dyDescent="0.35">
      <c r="A952" s="1">
        <v>44209</v>
      </c>
      <c r="B952" s="6">
        <v>7333968</v>
      </c>
      <c r="C952" s="6">
        <v>11037</v>
      </c>
      <c r="D952" s="6">
        <v>5200</v>
      </c>
      <c r="E952" s="6">
        <v>1572</v>
      </c>
      <c r="F952" s="6">
        <v>7156836</v>
      </c>
      <c r="G952" s="6">
        <v>6765622</v>
      </c>
      <c r="H952" s="6">
        <v>4723733</v>
      </c>
      <c r="I952" s="6">
        <v>326044</v>
      </c>
      <c r="J952" s="6">
        <v>4035981</v>
      </c>
      <c r="K952" s="6">
        <v>317909</v>
      </c>
      <c r="L952" s="6">
        <v>43800</v>
      </c>
      <c r="M952" s="6">
        <v>71125</v>
      </c>
      <c r="N952" s="6">
        <v>316376</v>
      </c>
      <c r="O952" s="6">
        <v>649581</v>
      </c>
      <c r="P952" s="6">
        <v>1781651</v>
      </c>
      <c r="Q952" s="6">
        <v>843174</v>
      </c>
      <c r="R952" s="6">
        <v>1061826</v>
      </c>
      <c r="S952" s="6">
        <v>2347</v>
      </c>
      <c r="T952" s="6">
        <v>2039542</v>
      </c>
      <c r="U952" s="6">
        <v>343632</v>
      </c>
      <c r="V952" s="6">
        <v>-5570</v>
      </c>
      <c r="W952" s="6">
        <v>1000</v>
      </c>
      <c r="X952" s="6">
        <v>52152</v>
      </c>
      <c r="Y952" s="6">
        <v>33282</v>
      </c>
      <c r="Z952" s="6">
        <v>11605</v>
      </c>
      <c r="AA952" s="6">
        <v>6677</v>
      </c>
      <c r="AB952" s="6">
        <v>93</v>
      </c>
      <c r="AC952" s="6">
        <v>2210</v>
      </c>
      <c r="AD952" s="6">
        <v>11150</v>
      </c>
      <c r="AE952" s="6">
        <v>22141</v>
      </c>
      <c r="AF952" s="6">
        <v>37297</v>
      </c>
    </row>
    <row r="953" spans="1:32" x14ac:dyDescent="0.35">
      <c r="A953" s="1">
        <v>44216</v>
      </c>
      <c r="B953" s="6">
        <v>7414942</v>
      </c>
      <c r="C953" s="6">
        <v>11037</v>
      </c>
      <c r="D953" s="6">
        <v>5200</v>
      </c>
      <c r="E953" s="6">
        <v>1574</v>
      </c>
      <c r="F953" s="6">
        <v>7238045</v>
      </c>
      <c r="G953" s="6">
        <v>6845748</v>
      </c>
      <c r="H953" s="6">
        <v>4743552</v>
      </c>
      <c r="I953" s="6">
        <v>326044</v>
      </c>
      <c r="J953" s="6">
        <v>4061431</v>
      </c>
      <c r="K953" s="6">
        <v>313218</v>
      </c>
      <c r="L953" s="6">
        <v>42859</v>
      </c>
      <c r="M953" s="6">
        <v>91285</v>
      </c>
      <c r="N953" s="6">
        <v>302054</v>
      </c>
      <c r="O953" s="6">
        <v>650460</v>
      </c>
      <c r="P953" s="6">
        <v>1803617</v>
      </c>
      <c r="Q953" s="6">
        <v>826150</v>
      </c>
      <c r="R953" s="6">
        <v>1069986</v>
      </c>
      <c r="S953" s="6">
        <v>2347</v>
      </c>
      <c r="T953" s="6">
        <v>2099849</v>
      </c>
      <c r="U953" s="6">
        <v>345504</v>
      </c>
      <c r="V953" s="6">
        <v>-6055</v>
      </c>
      <c r="W953" s="6">
        <v>1000</v>
      </c>
      <c r="X953" s="6">
        <v>51848</v>
      </c>
      <c r="Y953" s="6">
        <v>33290</v>
      </c>
      <c r="Z953" s="6">
        <v>11608</v>
      </c>
      <c r="AA953" s="6">
        <v>6678</v>
      </c>
      <c r="AB953" s="6">
        <v>102</v>
      </c>
      <c r="AC953" s="6">
        <v>2210</v>
      </c>
      <c r="AD953" s="6">
        <v>10909</v>
      </c>
      <c r="AE953" s="6">
        <v>22118</v>
      </c>
      <c r="AF953" s="6">
        <v>37303</v>
      </c>
    </row>
    <row r="954" spans="1:32" x14ac:dyDescent="0.35">
      <c r="A954" s="1">
        <v>44223</v>
      </c>
      <c r="B954" s="6">
        <v>7404926</v>
      </c>
      <c r="C954" s="6">
        <v>11037</v>
      </c>
      <c r="D954" s="6">
        <v>5200</v>
      </c>
      <c r="E954" s="6">
        <v>1578</v>
      </c>
      <c r="F954" s="6">
        <v>7229151</v>
      </c>
      <c r="G954" s="6">
        <v>6838223</v>
      </c>
      <c r="H954" s="6">
        <v>4766107</v>
      </c>
      <c r="I954" s="6">
        <v>326044</v>
      </c>
      <c r="J954" s="6">
        <v>4081568</v>
      </c>
      <c r="K954" s="6">
        <v>315619</v>
      </c>
      <c r="L954" s="6">
        <v>42876</v>
      </c>
      <c r="M954" s="6">
        <v>88243</v>
      </c>
      <c r="N954" s="6">
        <v>307379</v>
      </c>
      <c r="O954" s="6">
        <v>648172</v>
      </c>
      <c r="P954" s="6">
        <v>1815819</v>
      </c>
      <c r="Q954" s="6">
        <v>834222</v>
      </c>
      <c r="R954" s="6">
        <v>1072272</v>
      </c>
      <c r="S954" s="6">
        <v>2347</v>
      </c>
      <c r="T954" s="6">
        <v>2069769</v>
      </c>
      <c r="U954" s="6">
        <v>344999</v>
      </c>
      <c r="V954" s="6">
        <v>-6169</v>
      </c>
      <c r="W954" s="6">
        <v>1000</v>
      </c>
      <c r="X954" s="6">
        <v>51098</v>
      </c>
      <c r="Y954" s="6">
        <v>33301</v>
      </c>
      <c r="Z954" s="6">
        <v>11611</v>
      </c>
      <c r="AA954" s="6">
        <v>6678</v>
      </c>
      <c r="AB954" s="6">
        <v>74</v>
      </c>
      <c r="AC954" s="6">
        <v>2213</v>
      </c>
      <c r="AD954" s="6">
        <v>9567</v>
      </c>
      <c r="AE954" s="6">
        <v>22060</v>
      </c>
      <c r="AF954" s="6">
        <v>37599</v>
      </c>
    </row>
    <row r="955" spans="1:32" x14ac:dyDescent="0.35">
      <c r="A955" s="1">
        <v>44230</v>
      </c>
      <c r="B955" s="6">
        <v>7410598</v>
      </c>
      <c r="C955" s="6">
        <v>11037</v>
      </c>
      <c r="D955" s="6">
        <v>5200</v>
      </c>
      <c r="E955" s="6">
        <v>1569</v>
      </c>
      <c r="F955" s="6">
        <v>7235380</v>
      </c>
      <c r="G955" s="6">
        <v>6844210</v>
      </c>
      <c r="H955" s="6">
        <v>4772074</v>
      </c>
      <c r="I955" s="6">
        <v>326044</v>
      </c>
      <c r="J955" s="6">
        <v>4085037</v>
      </c>
      <c r="K955" s="6">
        <v>318021</v>
      </c>
      <c r="L955" s="6">
        <v>42972</v>
      </c>
      <c r="M955" s="6">
        <v>97981</v>
      </c>
      <c r="N955" s="6">
        <v>307213</v>
      </c>
      <c r="O955" s="6">
        <v>636995</v>
      </c>
      <c r="P955" s="6">
        <v>1812046</v>
      </c>
      <c r="Q955" s="6">
        <v>836802</v>
      </c>
      <c r="R955" s="6">
        <v>1081036</v>
      </c>
      <c r="S955" s="6">
        <v>2347</v>
      </c>
      <c r="T955" s="6">
        <v>2069789</v>
      </c>
      <c r="U955" s="6">
        <v>345641</v>
      </c>
      <c r="V955" s="6">
        <v>-6335</v>
      </c>
      <c r="W955" s="6">
        <v>1000</v>
      </c>
      <c r="X955" s="6">
        <v>50865</v>
      </c>
      <c r="Y955" s="6">
        <v>33311</v>
      </c>
      <c r="Z955" s="6">
        <v>11613</v>
      </c>
      <c r="AA955" s="6">
        <v>6404</v>
      </c>
      <c r="AB955" s="6">
        <v>73</v>
      </c>
      <c r="AC955" s="6">
        <v>2205</v>
      </c>
      <c r="AD955" s="6">
        <v>8679</v>
      </c>
      <c r="AE955" s="6">
        <v>21896</v>
      </c>
      <c r="AF955" s="6">
        <v>38383</v>
      </c>
    </row>
    <row r="956" spans="1:32" x14ac:dyDescent="0.35">
      <c r="A956" s="1">
        <v>44237</v>
      </c>
      <c r="B956" s="6">
        <v>7442225</v>
      </c>
      <c r="C956" s="6">
        <v>11037</v>
      </c>
      <c r="D956" s="6">
        <v>5200</v>
      </c>
      <c r="E956" s="6">
        <v>1565</v>
      </c>
      <c r="F956" s="6">
        <v>7263935</v>
      </c>
      <c r="G956" s="6">
        <v>6871038</v>
      </c>
      <c r="H956" s="6">
        <v>4798901</v>
      </c>
      <c r="I956" s="6">
        <v>326044</v>
      </c>
      <c r="J956" s="6">
        <v>4109172</v>
      </c>
      <c r="K956" s="6">
        <v>320422</v>
      </c>
      <c r="L956" s="6">
        <v>43263</v>
      </c>
      <c r="M956" s="6">
        <v>99329</v>
      </c>
      <c r="N956" s="6">
        <v>307059</v>
      </c>
      <c r="O956" s="6">
        <v>637758</v>
      </c>
      <c r="P956" s="6">
        <v>1826092</v>
      </c>
      <c r="Q956" s="6">
        <v>845658</v>
      </c>
      <c r="R956" s="6">
        <v>1083004</v>
      </c>
      <c r="S956" s="6">
        <v>2347</v>
      </c>
      <c r="T956" s="6">
        <v>2069790</v>
      </c>
      <c r="U956" s="6">
        <v>346211</v>
      </c>
      <c r="V956" s="6">
        <v>-6492</v>
      </c>
      <c r="W956" s="6">
        <v>800</v>
      </c>
      <c r="X956" s="6">
        <v>52378</v>
      </c>
      <c r="Y956" s="6">
        <v>33321</v>
      </c>
      <c r="Z956" s="6">
        <v>11536</v>
      </c>
      <c r="AA956" s="6">
        <v>6405</v>
      </c>
      <c r="AB956" s="6">
        <v>103</v>
      </c>
      <c r="AC956" s="6">
        <v>2210</v>
      </c>
      <c r="AD956" s="6">
        <v>8463</v>
      </c>
      <c r="AE956" s="6">
        <v>22043</v>
      </c>
      <c r="AF956" s="6">
        <v>41576</v>
      </c>
    </row>
    <row r="957" spans="1:32" x14ac:dyDescent="0.35">
      <c r="A957" s="1">
        <v>44244</v>
      </c>
      <c r="B957" s="6">
        <v>7557402</v>
      </c>
      <c r="C957" s="6">
        <v>11037</v>
      </c>
      <c r="D957" s="6">
        <v>5200</v>
      </c>
      <c r="E957" s="6">
        <v>1562</v>
      </c>
      <c r="F957" s="6">
        <v>7394483</v>
      </c>
      <c r="G957" s="6">
        <v>6996966</v>
      </c>
      <c r="H957" s="6">
        <v>4824057</v>
      </c>
      <c r="I957" s="6">
        <v>326044</v>
      </c>
      <c r="J957" s="6">
        <v>4134243</v>
      </c>
      <c r="K957" s="6">
        <v>320422</v>
      </c>
      <c r="L957" s="6">
        <v>43348</v>
      </c>
      <c r="M957" s="6">
        <v>100436</v>
      </c>
      <c r="N957" s="6">
        <v>326865</v>
      </c>
      <c r="O957" s="6">
        <v>634962</v>
      </c>
      <c r="P957" s="6">
        <v>1821988</v>
      </c>
      <c r="Q957" s="6">
        <v>851747</v>
      </c>
      <c r="R957" s="6">
        <v>1088059</v>
      </c>
      <c r="S957" s="6">
        <v>2347</v>
      </c>
      <c r="T957" s="6">
        <v>2170562</v>
      </c>
      <c r="U957" s="6">
        <v>349725</v>
      </c>
      <c r="V957" s="6">
        <v>-6728</v>
      </c>
      <c r="W957" s="6">
        <v>500</v>
      </c>
      <c r="X957" s="6">
        <v>54019</v>
      </c>
      <c r="Y957" s="6">
        <v>33265</v>
      </c>
      <c r="Z957" s="6">
        <v>11538</v>
      </c>
      <c r="AA957" s="6">
        <v>6405</v>
      </c>
      <c r="AB957" s="6">
        <v>69</v>
      </c>
      <c r="AC957" s="6">
        <v>2044</v>
      </c>
      <c r="AD957" s="6">
        <v>8165</v>
      </c>
      <c r="AE957" s="6">
        <v>21847</v>
      </c>
      <c r="AF957" s="6">
        <v>26992</v>
      </c>
    </row>
    <row r="958" spans="1:32" x14ac:dyDescent="0.35">
      <c r="A958" s="1">
        <v>44251</v>
      </c>
      <c r="B958" s="6">
        <v>7590111</v>
      </c>
      <c r="C958" s="6">
        <v>11037</v>
      </c>
      <c r="D958" s="6">
        <v>5200</v>
      </c>
      <c r="E958" s="6">
        <v>1551</v>
      </c>
      <c r="F958" s="6">
        <v>7428315</v>
      </c>
      <c r="G958" s="6">
        <v>7027599</v>
      </c>
      <c r="H958" s="6">
        <v>4844574</v>
      </c>
      <c r="I958" s="6">
        <v>326044</v>
      </c>
      <c r="J958" s="6">
        <v>4150779</v>
      </c>
      <c r="K958" s="6">
        <v>324023</v>
      </c>
      <c r="L958" s="6">
        <v>43728</v>
      </c>
      <c r="M958" s="6">
        <v>96560</v>
      </c>
      <c r="N958" s="6">
        <v>335070</v>
      </c>
      <c r="O958" s="6">
        <v>630641</v>
      </c>
      <c r="P958" s="6">
        <v>1833210</v>
      </c>
      <c r="Q958" s="6">
        <v>858715</v>
      </c>
      <c r="R958" s="6">
        <v>1090379</v>
      </c>
      <c r="S958" s="6">
        <v>2347</v>
      </c>
      <c r="T958" s="6">
        <v>2180678</v>
      </c>
      <c r="U958" s="6">
        <v>350667</v>
      </c>
      <c r="V958" s="6">
        <v>-6772</v>
      </c>
      <c r="W958" s="6">
        <v>500</v>
      </c>
      <c r="X958" s="6">
        <v>56321</v>
      </c>
      <c r="Y958" s="6">
        <v>30958</v>
      </c>
      <c r="Z958" s="6">
        <v>11541</v>
      </c>
      <c r="AA958" s="6">
        <v>6406</v>
      </c>
      <c r="AB958" s="6">
        <v>636</v>
      </c>
      <c r="AC958" s="6">
        <v>1968</v>
      </c>
      <c r="AD958" s="6">
        <v>6765</v>
      </c>
      <c r="AE958" s="6">
        <v>21947</v>
      </c>
      <c r="AF958" s="6">
        <v>29039</v>
      </c>
    </row>
    <row r="959" spans="1:32" x14ac:dyDescent="0.35">
      <c r="A959" s="1">
        <v>44258</v>
      </c>
      <c r="B959" s="6">
        <v>7557524</v>
      </c>
      <c r="C959" s="6">
        <v>11037</v>
      </c>
      <c r="D959" s="6">
        <v>5200</v>
      </c>
      <c r="E959" s="6">
        <v>1545</v>
      </c>
      <c r="F959" s="6">
        <v>7401493</v>
      </c>
      <c r="G959" s="6">
        <v>7003026</v>
      </c>
      <c r="H959" s="6">
        <v>4867279</v>
      </c>
      <c r="I959" s="6">
        <v>326044</v>
      </c>
      <c r="J959" s="6">
        <v>4170650</v>
      </c>
      <c r="K959" s="6">
        <v>326422</v>
      </c>
      <c r="L959" s="6">
        <v>44163</v>
      </c>
      <c r="M959" s="6">
        <v>53597</v>
      </c>
      <c r="N959" s="6">
        <v>367586</v>
      </c>
      <c r="O959" s="6">
        <v>624721</v>
      </c>
      <c r="P959" s="6">
        <v>1851855</v>
      </c>
      <c r="Q959" s="6">
        <v>866624</v>
      </c>
      <c r="R959" s="6">
        <v>1102896</v>
      </c>
      <c r="S959" s="6">
        <v>2347</v>
      </c>
      <c r="T959" s="6">
        <v>2133400</v>
      </c>
      <c r="U959" s="6">
        <v>349347</v>
      </c>
      <c r="V959" s="6">
        <v>-7455</v>
      </c>
      <c r="W959" s="6">
        <v>500</v>
      </c>
      <c r="X959" s="6">
        <v>56075</v>
      </c>
      <c r="Y959" s="6">
        <v>30968</v>
      </c>
      <c r="Z959" s="6">
        <v>11545</v>
      </c>
      <c r="AA959" s="6">
        <v>5647</v>
      </c>
      <c r="AB959" s="6">
        <v>62</v>
      </c>
      <c r="AC959" s="6">
        <v>1914</v>
      </c>
      <c r="AD959" s="6">
        <v>4863</v>
      </c>
      <c r="AE959" s="6">
        <v>21789</v>
      </c>
      <c r="AF959" s="6">
        <v>26771</v>
      </c>
    </row>
    <row r="960" spans="1:32" x14ac:dyDescent="0.35">
      <c r="A960" s="1">
        <v>44265</v>
      </c>
      <c r="B960" s="6">
        <v>7579901</v>
      </c>
      <c r="C960" s="6">
        <v>11037</v>
      </c>
      <c r="D960" s="6">
        <v>5200</v>
      </c>
      <c r="E960" s="6">
        <v>1540</v>
      </c>
      <c r="F960" s="6">
        <v>7423234</v>
      </c>
      <c r="G960" s="6">
        <v>7024790</v>
      </c>
      <c r="H960" s="6">
        <v>4889007</v>
      </c>
      <c r="I960" s="6">
        <v>326044</v>
      </c>
      <c r="J960" s="6">
        <v>4190787</v>
      </c>
      <c r="K960" s="6">
        <v>327623</v>
      </c>
      <c r="L960" s="6">
        <v>44553</v>
      </c>
      <c r="M960" s="6">
        <v>44743</v>
      </c>
      <c r="N960" s="6">
        <v>377085</v>
      </c>
      <c r="O960" s="6">
        <v>624104</v>
      </c>
      <c r="P960" s="6">
        <v>1862620</v>
      </c>
      <c r="Q960" s="6">
        <v>870902</v>
      </c>
      <c r="R960" s="6">
        <v>1109553</v>
      </c>
      <c r="S960" s="6">
        <v>2347</v>
      </c>
      <c r="T960" s="6">
        <v>2133436</v>
      </c>
      <c r="U960" s="6">
        <v>349720</v>
      </c>
      <c r="V960" s="6">
        <v>-8077</v>
      </c>
      <c r="W960" s="6">
        <v>500</v>
      </c>
      <c r="X960" s="6">
        <v>56301</v>
      </c>
      <c r="Y960" s="6">
        <v>30978</v>
      </c>
      <c r="Z960" s="6">
        <v>11548</v>
      </c>
      <c r="AA960" s="6">
        <v>5648</v>
      </c>
      <c r="AB960" s="6">
        <v>63</v>
      </c>
      <c r="AC960" s="6">
        <v>1916</v>
      </c>
      <c r="AD960" s="6">
        <v>2774</v>
      </c>
      <c r="AE960" s="6">
        <v>21467</v>
      </c>
      <c r="AF960" s="6">
        <v>29915</v>
      </c>
    </row>
    <row r="961" spans="1:32" x14ac:dyDescent="0.35">
      <c r="A961" s="1">
        <v>44272</v>
      </c>
      <c r="B961" s="6">
        <v>7693506</v>
      </c>
      <c r="C961" s="6">
        <v>11037</v>
      </c>
      <c r="D961" s="6">
        <v>5200</v>
      </c>
      <c r="E961" s="6">
        <v>1534</v>
      </c>
      <c r="F961" s="6">
        <v>7536413</v>
      </c>
      <c r="G961" s="6">
        <v>7135409</v>
      </c>
      <c r="H961" s="6">
        <v>4911633</v>
      </c>
      <c r="I961" s="6">
        <v>326044</v>
      </c>
      <c r="J961" s="6">
        <v>4213056</v>
      </c>
      <c r="K961" s="6">
        <v>327623</v>
      </c>
      <c r="L961" s="6">
        <v>44910</v>
      </c>
      <c r="M961" s="6">
        <v>79217</v>
      </c>
      <c r="N961" s="6">
        <v>345726</v>
      </c>
      <c r="O961" s="6">
        <v>630172</v>
      </c>
      <c r="P961" s="6">
        <v>1864799</v>
      </c>
      <c r="Q961" s="6">
        <v>877115</v>
      </c>
      <c r="R961" s="6">
        <v>1114604</v>
      </c>
      <c r="S961" s="6">
        <v>2347</v>
      </c>
      <c r="T961" s="6">
        <v>2221429</v>
      </c>
      <c r="U961" s="6">
        <v>352195</v>
      </c>
      <c r="V961" s="6">
        <v>-8355</v>
      </c>
      <c r="W961" s="6">
        <v>0</v>
      </c>
      <c r="X961" s="6">
        <v>57164</v>
      </c>
      <c r="Y961" s="6">
        <v>30940</v>
      </c>
      <c r="Z961" s="6">
        <v>11550</v>
      </c>
      <c r="AA961" s="6">
        <v>5648</v>
      </c>
      <c r="AB961" s="6">
        <v>58</v>
      </c>
      <c r="AC961" s="6">
        <v>1918</v>
      </c>
      <c r="AD961" s="6">
        <v>790</v>
      </c>
      <c r="AE961" s="6">
        <v>21420</v>
      </c>
      <c r="AF961" s="6">
        <v>32423</v>
      </c>
    </row>
    <row r="962" spans="1:32" x14ac:dyDescent="0.35">
      <c r="A962" s="1">
        <v>44279</v>
      </c>
      <c r="B962" s="6">
        <v>7719622</v>
      </c>
      <c r="C962" s="6">
        <v>11037</v>
      </c>
      <c r="D962" s="6">
        <v>5200</v>
      </c>
      <c r="E962" s="6">
        <v>1516</v>
      </c>
      <c r="F962" s="6">
        <v>7560886</v>
      </c>
      <c r="G962" s="6">
        <v>7158456</v>
      </c>
      <c r="H962" s="6">
        <v>4921302</v>
      </c>
      <c r="I962" s="6">
        <v>326044</v>
      </c>
      <c r="J962" s="6">
        <v>4218391</v>
      </c>
      <c r="K962" s="6">
        <v>331223</v>
      </c>
      <c r="L962" s="6">
        <v>45644</v>
      </c>
      <c r="M962" s="6">
        <v>84218</v>
      </c>
      <c r="N962" s="6">
        <v>345338</v>
      </c>
      <c r="O962" s="6">
        <v>625588</v>
      </c>
      <c r="P962" s="6">
        <v>1866998</v>
      </c>
      <c r="Q962" s="6">
        <v>878599</v>
      </c>
      <c r="R962" s="6">
        <v>1120562</v>
      </c>
      <c r="S962" s="6">
        <v>2347</v>
      </c>
      <c r="T962" s="6">
        <v>2234807</v>
      </c>
      <c r="U962" s="6">
        <v>352461</v>
      </c>
      <c r="V962" s="6">
        <v>-9013</v>
      </c>
      <c r="W962" s="6">
        <v>0</v>
      </c>
      <c r="X962" s="6">
        <v>58981</v>
      </c>
      <c r="Y962" s="6">
        <v>30945</v>
      </c>
      <c r="Z962" s="6">
        <v>11553</v>
      </c>
      <c r="AA962" s="6">
        <v>5649</v>
      </c>
      <c r="AB962" s="6">
        <v>45</v>
      </c>
      <c r="AC962" s="6">
        <v>1919</v>
      </c>
      <c r="AD962" s="6">
        <v>832</v>
      </c>
      <c r="AE962" s="6">
        <v>21372</v>
      </c>
      <c r="AF962" s="6">
        <v>34089</v>
      </c>
    </row>
    <row r="963" spans="1:32" x14ac:dyDescent="0.35">
      <c r="A963" s="1">
        <v>44286</v>
      </c>
      <c r="B963" s="6">
        <v>7688988</v>
      </c>
      <c r="C963" s="6">
        <v>11037</v>
      </c>
      <c r="D963" s="6">
        <v>5200</v>
      </c>
      <c r="E963" s="6">
        <v>1484</v>
      </c>
      <c r="F963" s="6">
        <v>7532001</v>
      </c>
      <c r="G963" s="6">
        <v>7129308</v>
      </c>
      <c r="H963" s="6">
        <v>4942277</v>
      </c>
      <c r="I963" s="6">
        <v>326044</v>
      </c>
      <c r="J963" s="6">
        <v>4235393</v>
      </c>
      <c r="K963" s="6">
        <v>334757</v>
      </c>
      <c r="L963" s="6">
        <v>46083</v>
      </c>
      <c r="M963" s="6">
        <v>71018</v>
      </c>
      <c r="N963" s="6">
        <v>317893</v>
      </c>
      <c r="O963" s="6">
        <v>655501</v>
      </c>
      <c r="P963" s="6">
        <v>1881534</v>
      </c>
      <c r="Q963" s="6">
        <v>889019</v>
      </c>
      <c r="R963" s="6">
        <v>1127312</v>
      </c>
      <c r="S963" s="6">
        <v>2347</v>
      </c>
      <c r="T963" s="6">
        <v>2184683</v>
      </c>
      <c r="U963" s="6">
        <v>350974</v>
      </c>
      <c r="V963" s="6">
        <v>-9469</v>
      </c>
      <c r="W963" s="6">
        <v>0</v>
      </c>
      <c r="X963" s="6">
        <v>61188</v>
      </c>
      <c r="Y963" s="6">
        <v>30953</v>
      </c>
      <c r="Z963" s="6">
        <v>11556</v>
      </c>
      <c r="AA963" s="6">
        <v>5282</v>
      </c>
      <c r="AB963" s="6">
        <v>57</v>
      </c>
      <c r="AC963" s="6">
        <v>1923</v>
      </c>
      <c r="AD963" s="6">
        <v>2510</v>
      </c>
      <c r="AE963" s="6">
        <v>21151</v>
      </c>
      <c r="AF963" s="6">
        <v>31246</v>
      </c>
    </row>
    <row r="964" spans="1:32" x14ac:dyDescent="0.35">
      <c r="A964" s="1">
        <v>44293</v>
      </c>
      <c r="B964" s="6">
        <v>7708882</v>
      </c>
      <c r="C964" s="6">
        <v>11037</v>
      </c>
      <c r="D964" s="6">
        <v>5200</v>
      </c>
      <c r="E964" s="6">
        <v>1458</v>
      </c>
      <c r="F964" s="6">
        <v>7550428</v>
      </c>
      <c r="G964" s="6">
        <v>7146064</v>
      </c>
      <c r="H964" s="6">
        <v>4959033</v>
      </c>
      <c r="I964" s="6">
        <v>326044</v>
      </c>
      <c r="J964" s="6">
        <v>4251662</v>
      </c>
      <c r="K964" s="6">
        <v>334757</v>
      </c>
      <c r="L964" s="6">
        <v>46570</v>
      </c>
      <c r="M964" s="6">
        <v>75102</v>
      </c>
      <c r="N964" s="6">
        <v>350381</v>
      </c>
      <c r="O964" s="6">
        <v>624772</v>
      </c>
      <c r="P964" s="6">
        <v>1888684</v>
      </c>
      <c r="Q964" s="6">
        <v>889186</v>
      </c>
      <c r="R964" s="6">
        <v>1130908</v>
      </c>
      <c r="S964" s="6">
        <v>2347</v>
      </c>
      <c r="T964" s="6">
        <v>2184684</v>
      </c>
      <c r="U964" s="6">
        <v>351110</v>
      </c>
      <c r="V964" s="6">
        <v>-9560</v>
      </c>
      <c r="W964" s="6">
        <v>0</v>
      </c>
      <c r="X964" s="6">
        <v>62814</v>
      </c>
      <c r="Y964" s="6">
        <v>30962</v>
      </c>
      <c r="Z964" s="6">
        <v>11413</v>
      </c>
      <c r="AA964" s="6">
        <v>5283</v>
      </c>
      <c r="AB964" s="6">
        <v>44</v>
      </c>
      <c r="AC964" s="6">
        <v>1913</v>
      </c>
      <c r="AD964" s="6">
        <v>868</v>
      </c>
      <c r="AE964" s="6">
        <v>21367</v>
      </c>
      <c r="AF964" s="6">
        <v>34417</v>
      </c>
    </row>
    <row r="965" spans="1:32" x14ac:dyDescent="0.35">
      <c r="A965" s="1">
        <v>44300</v>
      </c>
      <c r="B965" s="6">
        <v>7793104</v>
      </c>
      <c r="C965" s="6">
        <v>11037</v>
      </c>
      <c r="D965" s="6">
        <v>5200</v>
      </c>
      <c r="E965" s="6">
        <v>1428</v>
      </c>
      <c r="F965" s="6">
        <v>7631285</v>
      </c>
      <c r="G965" s="6">
        <v>7224865</v>
      </c>
      <c r="H965" s="6">
        <v>4973499</v>
      </c>
      <c r="I965" s="6">
        <v>326044</v>
      </c>
      <c r="J965" s="6">
        <v>4262999</v>
      </c>
      <c r="K965" s="6">
        <v>337158</v>
      </c>
      <c r="L965" s="6">
        <v>47298</v>
      </c>
      <c r="M965" s="6">
        <v>71695</v>
      </c>
      <c r="N965" s="6">
        <v>353207</v>
      </c>
      <c r="O965" s="6">
        <v>625391</v>
      </c>
      <c r="P965" s="6">
        <v>1892626</v>
      </c>
      <c r="Q965" s="6">
        <v>894208</v>
      </c>
      <c r="R965" s="6">
        <v>1136372</v>
      </c>
      <c r="S965" s="6">
        <v>2347</v>
      </c>
      <c r="T965" s="6">
        <v>2249019</v>
      </c>
      <c r="U965" s="6">
        <v>351737</v>
      </c>
      <c r="V965" s="6">
        <v>-10419</v>
      </c>
      <c r="W965" s="6">
        <v>0</v>
      </c>
      <c r="X965" s="6">
        <v>65102</v>
      </c>
      <c r="Y965" s="6">
        <v>30970</v>
      </c>
      <c r="Z965" s="6">
        <v>11416</v>
      </c>
      <c r="AA965" s="6">
        <v>5283</v>
      </c>
      <c r="AB965" s="6">
        <v>55</v>
      </c>
      <c r="AC965" s="6">
        <v>1916</v>
      </c>
      <c r="AD965" s="6">
        <v>795</v>
      </c>
      <c r="AE965" s="6">
        <v>21515</v>
      </c>
      <c r="AF965" s="6">
        <v>37688</v>
      </c>
    </row>
    <row r="966" spans="1:32" x14ac:dyDescent="0.35">
      <c r="A966" s="1">
        <v>44307</v>
      </c>
      <c r="B966" s="6">
        <v>7820948</v>
      </c>
      <c r="C966" s="6">
        <v>11037</v>
      </c>
      <c r="D966" s="6">
        <v>5200</v>
      </c>
      <c r="E966" s="6">
        <v>1399</v>
      </c>
      <c r="F966" s="6">
        <v>7658945</v>
      </c>
      <c r="G966" s="6">
        <v>7249642</v>
      </c>
      <c r="H966" s="6">
        <v>5000306</v>
      </c>
      <c r="I966" s="6">
        <v>326044</v>
      </c>
      <c r="J966" s="6">
        <v>4297074</v>
      </c>
      <c r="K966" s="6">
        <v>330215</v>
      </c>
      <c r="L966" s="6">
        <v>46973</v>
      </c>
      <c r="M966" s="6">
        <v>104693</v>
      </c>
      <c r="N966" s="6">
        <v>326195</v>
      </c>
      <c r="O966" s="6">
        <v>625269</v>
      </c>
      <c r="P966" s="6">
        <v>1899030</v>
      </c>
      <c r="Q966" s="6">
        <v>900697</v>
      </c>
      <c r="R966" s="6">
        <v>1144423</v>
      </c>
      <c r="S966" s="6">
        <v>2347</v>
      </c>
      <c r="T966" s="6">
        <v>2246989</v>
      </c>
      <c r="U966" s="6">
        <v>351274</v>
      </c>
      <c r="V966" s="6">
        <v>-11267</v>
      </c>
      <c r="W966" s="6">
        <v>0</v>
      </c>
      <c r="X966" s="6">
        <v>69296</v>
      </c>
      <c r="Y966" s="6">
        <v>30892</v>
      </c>
      <c r="Z966" s="6">
        <v>11418</v>
      </c>
      <c r="AA966" s="6">
        <v>5283</v>
      </c>
      <c r="AB966" s="6">
        <v>63</v>
      </c>
      <c r="AC966" s="6">
        <v>1918</v>
      </c>
      <c r="AD966" s="6">
        <v>673</v>
      </c>
      <c r="AE966" s="6">
        <v>21644</v>
      </c>
      <c r="AF966" s="6">
        <v>37945</v>
      </c>
    </row>
    <row r="967" spans="1:32" x14ac:dyDescent="0.35">
      <c r="A967" s="1">
        <v>44314</v>
      </c>
      <c r="B967" s="6">
        <v>7780962</v>
      </c>
      <c r="C967" s="6">
        <v>11037</v>
      </c>
      <c r="D967" s="6">
        <v>5200</v>
      </c>
      <c r="E967" s="6">
        <v>1384</v>
      </c>
      <c r="F967" s="6">
        <v>7619042</v>
      </c>
      <c r="G967" s="6">
        <v>7208414</v>
      </c>
      <c r="H967" s="6">
        <v>5014762</v>
      </c>
      <c r="I967" s="6">
        <v>326044</v>
      </c>
      <c r="J967" s="6">
        <v>4308411</v>
      </c>
      <c r="K967" s="6">
        <v>332616</v>
      </c>
      <c r="L967" s="6">
        <v>47691</v>
      </c>
      <c r="M967" s="6">
        <v>100168</v>
      </c>
      <c r="N967" s="6">
        <v>327552</v>
      </c>
      <c r="O967" s="6">
        <v>628477</v>
      </c>
      <c r="P967" s="6">
        <v>1902633</v>
      </c>
      <c r="Q967" s="6">
        <v>906047</v>
      </c>
      <c r="R967" s="6">
        <v>1149886</v>
      </c>
      <c r="S967" s="6">
        <v>2347</v>
      </c>
      <c r="T967" s="6">
        <v>2191305</v>
      </c>
      <c r="U967" s="6">
        <v>349308</v>
      </c>
      <c r="V967" s="6">
        <v>-11804</v>
      </c>
      <c r="W967" s="6">
        <v>0</v>
      </c>
      <c r="X967" s="6">
        <v>73124</v>
      </c>
      <c r="Y967" s="6">
        <v>30895</v>
      </c>
      <c r="Z967" s="6">
        <v>11121</v>
      </c>
      <c r="AA967" s="6">
        <v>5284</v>
      </c>
      <c r="AB967" s="6">
        <v>75</v>
      </c>
      <c r="AC967" s="6">
        <v>1925</v>
      </c>
      <c r="AD967" s="6">
        <v>703</v>
      </c>
      <c r="AE967" s="6">
        <v>21656</v>
      </c>
      <c r="AF967" s="6">
        <v>38115</v>
      </c>
    </row>
    <row r="968" spans="1:32" x14ac:dyDescent="0.35">
      <c r="A968" s="1">
        <v>44321</v>
      </c>
      <c r="B968" s="6">
        <v>7810486</v>
      </c>
      <c r="C968" s="6">
        <v>11037</v>
      </c>
      <c r="D968" s="6">
        <v>5200</v>
      </c>
      <c r="E968" s="6">
        <v>1311</v>
      </c>
      <c r="F968" s="6">
        <v>7648456</v>
      </c>
      <c r="G968" s="6">
        <v>7234090</v>
      </c>
      <c r="H968" s="6">
        <v>5040418</v>
      </c>
      <c r="I968" s="6">
        <v>326044</v>
      </c>
      <c r="J968" s="6">
        <v>4330043</v>
      </c>
      <c r="K968" s="6">
        <v>336054</v>
      </c>
      <c r="L968" s="6">
        <v>48277</v>
      </c>
      <c r="M968" s="6">
        <v>124849</v>
      </c>
      <c r="N968" s="6">
        <v>278205</v>
      </c>
      <c r="O968" s="6">
        <v>630363</v>
      </c>
      <c r="P968" s="6">
        <v>1942674</v>
      </c>
      <c r="Q968" s="6">
        <v>906238</v>
      </c>
      <c r="R968" s="6">
        <v>1158090</v>
      </c>
      <c r="S968" s="6">
        <v>2347</v>
      </c>
      <c r="T968" s="6">
        <v>2191325</v>
      </c>
      <c r="U968" s="6">
        <v>349657</v>
      </c>
      <c r="V968" s="6">
        <v>-12289</v>
      </c>
      <c r="W968" s="6">
        <v>0</v>
      </c>
      <c r="X968" s="6">
        <v>76998</v>
      </c>
      <c r="Y968" s="6">
        <v>30659</v>
      </c>
      <c r="Z968" s="6">
        <v>11123</v>
      </c>
      <c r="AA968" s="6">
        <v>4922</v>
      </c>
      <c r="AB968" s="6">
        <v>64</v>
      </c>
      <c r="AC968" s="6">
        <v>1914</v>
      </c>
      <c r="AD968" s="6">
        <v>653</v>
      </c>
      <c r="AE968" s="6">
        <v>21517</v>
      </c>
      <c r="AF968" s="6">
        <v>39079</v>
      </c>
    </row>
    <row r="969" spans="1:32" x14ac:dyDescent="0.35">
      <c r="A969" s="1">
        <v>44328</v>
      </c>
      <c r="B969" s="6">
        <v>7830663</v>
      </c>
      <c r="C969" s="6">
        <v>11037</v>
      </c>
      <c r="D969" s="6">
        <v>5200</v>
      </c>
      <c r="E969" s="6">
        <v>1288</v>
      </c>
      <c r="F969" s="6">
        <v>7665597</v>
      </c>
      <c r="G969" s="6">
        <v>7248067</v>
      </c>
      <c r="H969" s="6">
        <v>5054395</v>
      </c>
      <c r="I969" s="6">
        <v>326044</v>
      </c>
      <c r="J969" s="6">
        <v>4339645</v>
      </c>
      <c r="K969" s="6">
        <v>339656</v>
      </c>
      <c r="L969" s="6">
        <v>49050</v>
      </c>
      <c r="M969" s="6">
        <v>118774</v>
      </c>
      <c r="N969" s="6">
        <v>283706</v>
      </c>
      <c r="O969" s="6">
        <v>630986</v>
      </c>
      <c r="P969" s="6">
        <v>1948027</v>
      </c>
      <c r="Q969" s="6">
        <v>910943</v>
      </c>
      <c r="R969" s="6">
        <v>1161958</v>
      </c>
      <c r="S969" s="6">
        <v>2347</v>
      </c>
      <c r="T969" s="6">
        <v>2191325</v>
      </c>
      <c r="U969" s="6">
        <v>349783</v>
      </c>
      <c r="V969" s="6">
        <v>-12757</v>
      </c>
      <c r="W969" s="6">
        <v>1</v>
      </c>
      <c r="X969" s="6">
        <v>80503</v>
      </c>
      <c r="Y969" s="6">
        <v>30668</v>
      </c>
      <c r="Z969" s="6">
        <v>11125</v>
      </c>
      <c r="AA969" s="6">
        <v>4922</v>
      </c>
      <c r="AB969" s="6">
        <v>54</v>
      </c>
      <c r="AC969" s="6">
        <v>1918</v>
      </c>
      <c r="AD969" s="6">
        <v>587</v>
      </c>
      <c r="AE969" s="6">
        <v>21572</v>
      </c>
      <c r="AF969" s="6">
        <v>42239</v>
      </c>
    </row>
    <row r="970" spans="1:32" x14ac:dyDescent="0.35">
      <c r="A970" s="1">
        <v>44335</v>
      </c>
      <c r="B970" s="6">
        <v>7922883</v>
      </c>
      <c r="C970" s="6">
        <v>11037</v>
      </c>
      <c r="D970" s="6">
        <v>5200</v>
      </c>
      <c r="E970" s="6">
        <v>1270</v>
      </c>
      <c r="F970" s="6">
        <v>7771996</v>
      </c>
      <c r="G970" s="6">
        <v>7351729</v>
      </c>
      <c r="H970" s="6">
        <v>5071821</v>
      </c>
      <c r="I970" s="6">
        <v>326044</v>
      </c>
      <c r="J970" s="6">
        <v>4355182</v>
      </c>
      <c r="K970" s="6">
        <v>340855</v>
      </c>
      <c r="L970" s="6">
        <v>49740</v>
      </c>
      <c r="M970" s="6">
        <v>95705</v>
      </c>
      <c r="N970" s="6">
        <v>300258</v>
      </c>
      <c r="O970" s="6">
        <v>643626</v>
      </c>
      <c r="P970" s="6">
        <v>1933283</v>
      </c>
      <c r="Q970" s="6">
        <v>918938</v>
      </c>
      <c r="R970" s="6">
        <v>1180011</v>
      </c>
      <c r="S970" s="6">
        <v>2347</v>
      </c>
      <c r="T970" s="6">
        <v>2277561</v>
      </c>
      <c r="U970" s="6">
        <v>350289</v>
      </c>
      <c r="V970" s="6">
        <v>-13320</v>
      </c>
      <c r="W970" s="6">
        <v>0</v>
      </c>
      <c r="X970" s="6">
        <v>83297</v>
      </c>
      <c r="Y970" s="6">
        <v>30550</v>
      </c>
      <c r="Z970" s="6">
        <v>11127</v>
      </c>
      <c r="AA970" s="6">
        <v>4922</v>
      </c>
      <c r="AB970" s="6">
        <v>55</v>
      </c>
      <c r="AC970" s="6">
        <v>1919</v>
      </c>
      <c r="AD970" s="6">
        <v>652</v>
      </c>
      <c r="AE970" s="6">
        <v>21785</v>
      </c>
      <c r="AF970" s="6">
        <v>27850</v>
      </c>
    </row>
    <row r="971" spans="1:32" x14ac:dyDescent="0.35">
      <c r="A971" s="1">
        <v>44342</v>
      </c>
      <c r="B971" s="6">
        <v>7903541</v>
      </c>
      <c r="C971" s="6">
        <v>11037</v>
      </c>
      <c r="D971" s="6">
        <v>5200</v>
      </c>
      <c r="E971" s="6">
        <v>1259</v>
      </c>
      <c r="F971" s="6">
        <v>7753848</v>
      </c>
      <c r="G971" s="6">
        <v>7333769</v>
      </c>
      <c r="H971" s="6">
        <v>5087157</v>
      </c>
      <c r="I971" s="6">
        <v>326044</v>
      </c>
      <c r="J971" s="6">
        <v>4367786</v>
      </c>
      <c r="K971" s="6">
        <v>342856</v>
      </c>
      <c r="L971" s="6">
        <v>50471</v>
      </c>
      <c r="M971" s="6">
        <v>88013</v>
      </c>
      <c r="N971" s="6">
        <v>303665</v>
      </c>
      <c r="O971" s="6">
        <v>647962</v>
      </c>
      <c r="P971" s="6">
        <v>1937380</v>
      </c>
      <c r="Q971" s="6">
        <v>926562</v>
      </c>
      <c r="R971" s="6">
        <v>1183576</v>
      </c>
      <c r="S971" s="6">
        <v>2347</v>
      </c>
      <c r="T971" s="6">
        <v>2244265</v>
      </c>
      <c r="U971" s="6">
        <v>348761</v>
      </c>
      <c r="V971" s="6">
        <v>-13622</v>
      </c>
      <c r="W971" s="6">
        <v>46</v>
      </c>
      <c r="X971" s="6">
        <v>84894</v>
      </c>
      <c r="Y971" s="6">
        <v>30559</v>
      </c>
      <c r="Z971" s="6">
        <v>10879</v>
      </c>
      <c r="AA971" s="6">
        <v>4923</v>
      </c>
      <c r="AB971" s="6">
        <v>72</v>
      </c>
      <c r="AC971" s="6">
        <v>1920</v>
      </c>
      <c r="AD971" s="6">
        <v>678</v>
      </c>
      <c r="AE971" s="6">
        <v>21745</v>
      </c>
      <c r="AF971" s="6">
        <v>26830</v>
      </c>
    </row>
    <row r="972" spans="1:32" x14ac:dyDescent="0.35">
      <c r="A972" s="1">
        <v>44349</v>
      </c>
      <c r="B972" s="6">
        <v>7935703</v>
      </c>
      <c r="C972" s="6">
        <v>11037</v>
      </c>
      <c r="D972" s="6">
        <v>5200</v>
      </c>
      <c r="E972" s="6">
        <v>1240</v>
      </c>
      <c r="F972" s="6">
        <v>7786055</v>
      </c>
      <c r="G972" s="6">
        <v>7365641</v>
      </c>
      <c r="H972" s="6">
        <v>5119023</v>
      </c>
      <c r="I972" s="6">
        <v>326044</v>
      </c>
      <c r="J972" s="6">
        <v>4398990</v>
      </c>
      <c r="K972" s="6">
        <v>342856</v>
      </c>
      <c r="L972" s="6">
        <v>51133</v>
      </c>
      <c r="M972" s="6">
        <v>62321</v>
      </c>
      <c r="N972" s="6">
        <v>316521</v>
      </c>
      <c r="O972" s="6">
        <v>643631</v>
      </c>
      <c r="P972" s="6">
        <v>1976806</v>
      </c>
      <c r="Q972" s="6">
        <v>928755</v>
      </c>
      <c r="R972" s="6">
        <v>1190991</v>
      </c>
      <c r="S972" s="6">
        <v>2347</v>
      </c>
      <c r="T972" s="6">
        <v>2244270</v>
      </c>
      <c r="U972" s="6">
        <v>349132</v>
      </c>
      <c r="V972" s="6">
        <v>-13695</v>
      </c>
      <c r="W972" s="6">
        <v>0</v>
      </c>
      <c r="X972" s="6">
        <v>84977</v>
      </c>
      <c r="Y972" s="6">
        <v>30567</v>
      </c>
      <c r="Z972" s="6">
        <v>10882</v>
      </c>
      <c r="AA972" s="6">
        <v>4761</v>
      </c>
      <c r="AB972" s="6">
        <v>74</v>
      </c>
      <c r="AC972" s="6">
        <v>1911</v>
      </c>
      <c r="AD972" s="6">
        <v>513</v>
      </c>
      <c r="AE972" s="6">
        <v>21815</v>
      </c>
      <c r="AF972" s="6">
        <v>27131</v>
      </c>
    </row>
    <row r="973" spans="1:32" x14ac:dyDescent="0.35">
      <c r="A973" s="1">
        <v>44356</v>
      </c>
      <c r="B973" s="6">
        <v>7952327</v>
      </c>
      <c r="C973" s="6">
        <v>11037</v>
      </c>
      <c r="D973" s="6">
        <v>5200</v>
      </c>
      <c r="E973" s="6">
        <v>1243</v>
      </c>
      <c r="F973" s="6">
        <v>7799905</v>
      </c>
      <c r="G973" s="6">
        <v>7376508</v>
      </c>
      <c r="H973" s="6">
        <v>5129891</v>
      </c>
      <c r="I973" s="6">
        <v>326044</v>
      </c>
      <c r="J973" s="6">
        <v>4405568</v>
      </c>
      <c r="K973" s="6">
        <v>346058</v>
      </c>
      <c r="L973" s="6">
        <v>52221</v>
      </c>
      <c r="M973" s="6">
        <v>50731</v>
      </c>
      <c r="N973" s="6">
        <v>327810</v>
      </c>
      <c r="O973" s="6">
        <v>643991</v>
      </c>
      <c r="P973" s="6">
        <v>1978648</v>
      </c>
      <c r="Q973" s="6">
        <v>933934</v>
      </c>
      <c r="R973" s="6">
        <v>1194777</v>
      </c>
      <c r="S973" s="6">
        <v>2347</v>
      </c>
      <c r="T973" s="6">
        <v>2244270</v>
      </c>
      <c r="U973" s="6">
        <v>349680</v>
      </c>
      <c r="V973" s="6">
        <v>-13863</v>
      </c>
      <c r="W973" s="6">
        <v>0</v>
      </c>
      <c r="X973" s="6">
        <v>87580</v>
      </c>
      <c r="Y973" s="6">
        <v>30576</v>
      </c>
      <c r="Z973" s="6">
        <v>10734</v>
      </c>
      <c r="AA973" s="6">
        <v>4762</v>
      </c>
      <c r="AB973" s="6">
        <v>50</v>
      </c>
      <c r="AC973" s="6">
        <v>1918</v>
      </c>
      <c r="AD973" s="6">
        <v>516</v>
      </c>
      <c r="AE973" s="6">
        <v>21682</v>
      </c>
      <c r="AF973" s="6">
        <v>30295</v>
      </c>
    </row>
    <row r="974" spans="1:32" x14ac:dyDescent="0.35">
      <c r="A974" s="1">
        <v>44363</v>
      </c>
      <c r="B974" s="6">
        <v>8064257</v>
      </c>
      <c r="C974" s="6">
        <v>11037</v>
      </c>
      <c r="D974" s="6">
        <v>5200</v>
      </c>
      <c r="E974" s="6">
        <v>1238</v>
      </c>
      <c r="F974" s="6">
        <v>7909034</v>
      </c>
      <c r="G974" s="6">
        <v>7484242</v>
      </c>
      <c r="H974" s="6">
        <v>5153771</v>
      </c>
      <c r="I974" s="6">
        <v>326044</v>
      </c>
      <c r="J974" s="6">
        <v>4427372</v>
      </c>
      <c r="K974" s="6">
        <v>347259</v>
      </c>
      <c r="L974" s="6">
        <v>53096</v>
      </c>
      <c r="M974" s="6">
        <v>79372</v>
      </c>
      <c r="N974" s="6">
        <v>292109</v>
      </c>
      <c r="O974" s="6">
        <v>656183</v>
      </c>
      <c r="P974" s="6">
        <v>1982040</v>
      </c>
      <c r="Q974" s="6">
        <v>943249</v>
      </c>
      <c r="R974" s="6">
        <v>1200819</v>
      </c>
      <c r="S974" s="6">
        <v>2347</v>
      </c>
      <c r="T974" s="6">
        <v>2328124</v>
      </c>
      <c r="U974" s="6">
        <v>351548</v>
      </c>
      <c r="V974" s="6">
        <v>-13941</v>
      </c>
      <c r="W974" s="6">
        <v>0</v>
      </c>
      <c r="X974" s="6">
        <v>87185</v>
      </c>
      <c r="Y974" s="6">
        <v>30529</v>
      </c>
      <c r="Z974" s="6">
        <v>10736</v>
      </c>
      <c r="AA974" s="6">
        <v>4762</v>
      </c>
      <c r="AB974" s="6">
        <v>63</v>
      </c>
      <c r="AC974" s="6">
        <v>1917</v>
      </c>
      <c r="AD974" s="6">
        <v>500</v>
      </c>
      <c r="AE974" s="6">
        <v>21589</v>
      </c>
      <c r="AF974" s="6">
        <v>33252</v>
      </c>
    </row>
    <row r="975" spans="1:32" x14ac:dyDescent="0.35">
      <c r="A975" s="1">
        <v>44370</v>
      </c>
      <c r="B975" s="6">
        <v>8101945</v>
      </c>
      <c r="C975" s="6">
        <v>11037</v>
      </c>
      <c r="D975" s="6">
        <v>5200</v>
      </c>
      <c r="E975" s="6">
        <v>1236</v>
      </c>
      <c r="F975" s="6">
        <v>7945677</v>
      </c>
      <c r="G975" s="6">
        <v>7519947</v>
      </c>
      <c r="H975" s="6">
        <v>5163445</v>
      </c>
      <c r="I975" s="6">
        <v>326044</v>
      </c>
      <c r="J975" s="6">
        <v>4433973</v>
      </c>
      <c r="K975" s="6">
        <v>349258</v>
      </c>
      <c r="L975" s="6">
        <v>54170</v>
      </c>
      <c r="M975" s="6">
        <v>80188</v>
      </c>
      <c r="N975" s="6">
        <v>299927</v>
      </c>
      <c r="O975" s="6">
        <v>647609</v>
      </c>
      <c r="P975" s="6">
        <v>1983709</v>
      </c>
      <c r="Q975" s="6">
        <v>947593</v>
      </c>
      <c r="R975" s="6">
        <v>1204418</v>
      </c>
      <c r="S975" s="6">
        <v>2347</v>
      </c>
      <c r="T975" s="6">
        <v>2354155</v>
      </c>
      <c r="U975" s="6">
        <v>352226</v>
      </c>
      <c r="V975" s="6">
        <v>-14101</v>
      </c>
      <c r="W975" s="6">
        <v>0</v>
      </c>
      <c r="X975" s="6">
        <v>87605</v>
      </c>
      <c r="Y975" s="6">
        <v>30538</v>
      </c>
      <c r="Z975" s="6">
        <v>10738</v>
      </c>
      <c r="AA975" s="6">
        <v>4762</v>
      </c>
      <c r="AB975" s="6">
        <v>52</v>
      </c>
      <c r="AC975" s="6">
        <v>1917</v>
      </c>
      <c r="AD975" s="6">
        <v>483</v>
      </c>
      <c r="AE975" s="6">
        <v>21331</v>
      </c>
      <c r="AF975" s="6">
        <v>34558</v>
      </c>
    </row>
    <row r="976" spans="1:32" x14ac:dyDescent="0.35">
      <c r="A976" s="1">
        <v>44377</v>
      </c>
      <c r="B976" s="6">
        <v>8078544</v>
      </c>
      <c r="C976" s="6">
        <v>11037</v>
      </c>
      <c r="D976" s="6">
        <v>5200</v>
      </c>
      <c r="E976" s="6">
        <v>1233</v>
      </c>
      <c r="F976" s="6">
        <v>7933585</v>
      </c>
      <c r="G976" s="6">
        <v>7505369</v>
      </c>
      <c r="H976" s="6">
        <v>5183385</v>
      </c>
      <c r="I976" s="6">
        <v>326044</v>
      </c>
      <c r="J976" s="6">
        <v>4449349</v>
      </c>
      <c r="K976" s="6">
        <v>352886</v>
      </c>
      <c r="L976" s="6">
        <v>55107</v>
      </c>
      <c r="M976" s="6">
        <v>79125</v>
      </c>
      <c r="N976" s="6">
        <v>267131</v>
      </c>
      <c r="O976" s="6">
        <v>678379</v>
      </c>
      <c r="P976" s="6">
        <v>1995709</v>
      </c>
      <c r="Q976" s="6">
        <v>950972</v>
      </c>
      <c r="R976" s="6">
        <v>1212068</v>
      </c>
      <c r="S976" s="6">
        <v>2347</v>
      </c>
      <c r="T976" s="6">
        <v>2319637</v>
      </c>
      <c r="U976" s="6">
        <v>351402</v>
      </c>
      <c r="V976" s="6">
        <v>-14312</v>
      </c>
      <c r="W976" s="6">
        <v>0</v>
      </c>
      <c r="X976" s="6">
        <v>91126</v>
      </c>
      <c r="Y976" s="6">
        <v>30547</v>
      </c>
      <c r="Z976" s="6">
        <v>10740</v>
      </c>
      <c r="AA976" s="6">
        <v>4689</v>
      </c>
      <c r="AB976" s="6">
        <v>66</v>
      </c>
      <c r="AC976" s="6">
        <v>1929</v>
      </c>
      <c r="AD976" s="6">
        <v>568</v>
      </c>
      <c r="AE976" s="6">
        <v>21221</v>
      </c>
      <c r="AF976" s="6">
        <v>31827</v>
      </c>
    </row>
    <row r="977" spans="1:32" x14ac:dyDescent="0.35">
      <c r="A977" s="1">
        <v>44384</v>
      </c>
      <c r="B977" s="6">
        <v>8097773</v>
      </c>
      <c r="C977" s="6">
        <v>11037</v>
      </c>
      <c r="D977" s="6">
        <v>5200</v>
      </c>
      <c r="E977" s="6">
        <v>1235</v>
      </c>
      <c r="F977" s="6">
        <v>7949594</v>
      </c>
      <c r="G977" s="6">
        <v>7523709</v>
      </c>
      <c r="H977" s="6">
        <v>5201725</v>
      </c>
      <c r="I977" s="6">
        <v>326044</v>
      </c>
      <c r="J977" s="6">
        <v>4466950</v>
      </c>
      <c r="K977" s="6">
        <v>352886</v>
      </c>
      <c r="L977" s="6">
        <v>55845</v>
      </c>
      <c r="M977" s="6">
        <v>76653</v>
      </c>
      <c r="N977" s="6">
        <v>295430</v>
      </c>
      <c r="O977" s="6">
        <v>658430</v>
      </c>
      <c r="P977" s="6">
        <v>2002523</v>
      </c>
      <c r="Q977" s="6">
        <v>954433</v>
      </c>
      <c r="R977" s="6">
        <v>1214256</v>
      </c>
      <c r="S977" s="6">
        <v>2347</v>
      </c>
      <c r="T977" s="6">
        <v>2319637</v>
      </c>
      <c r="U977" s="6">
        <v>351432</v>
      </c>
      <c r="V977" s="6">
        <v>-14349</v>
      </c>
      <c r="W977" s="6">
        <v>0</v>
      </c>
      <c r="X977" s="6">
        <v>88802</v>
      </c>
      <c r="Y977" s="6">
        <v>30555</v>
      </c>
      <c r="Z977" s="6">
        <v>10742</v>
      </c>
      <c r="AA977" s="6">
        <v>4689</v>
      </c>
      <c r="AB977" s="6">
        <v>113</v>
      </c>
      <c r="AC977" s="6">
        <v>1880</v>
      </c>
      <c r="AD977" s="6">
        <v>521</v>
      </c>
      <c r="AE977" s="6">
        <v>21189</v>
      </c>
      <c r="AF977" s="6">
        <v>35088</v>
      </c>
    </row>
    <row r="978" spans="1:32" x14ac:dyDescent="0.35">
      <c r="A978" s="1">
        <v>44391</v>
      </c>
      <c r="B978" s="6">
        <v>8201651</v>
      </c>
      <c r="C978" s="6">
        <v>11037</v>
      </c>
      <c r="D978" s="6">
        <v>5200</v>
      </c>
      <c r="E978" s="6">
        <v>1243</v>
      </c>
      <c r="F978" s="6">
        <v>8054445</v>
      </c>
      <c r="G978" s="6">
        <v>7627278</v>
      </c>
      <c r="H978" s="6">
        <v>5222570</v>
      </c>
      <c r="I978" s="6">
        <v>326044</v>
      </c>
      <c r="J978" s="6">
        <v>4484752</v>
      </c>
      <c r="K978" s="6">
        <v>354887</v>
      </c>
      <c r="L978" s="6">
        <v>56887</v>
      </c>
      <c r="M978" s="6">
        <v>75604</v>
      </c>
      <c r="N978" s="6">
        <v>301951</v>
      </c>
      <c r="O978" s="6">
        <v>653014</v>
      </c>
      <c r="P978" s="6">
        <v>2025519</v>
      </c>
      <c r="Q978" s="6">
        <v>948634</v>
      </c>
      <c r="R978" s="6">
        <v>1217847</v>
      </c>
      <c r="S978" s="6">
        <v>2347</v>
      </c>
      <c r="T978" s="6">
        <v>2402362</v>
      </c>
      <c r="U978" s="6">
        <v>353359</v>
      </c>
      <c r="V978" s="6">
        <v>-14452</v>
      </c>
      <c r="W978" s="6">
        <v>0</v>
      </c>
      <c r="X978" s="6">
        <v>88260</v>
      </c>
      <c r="Y978" s="6">
        <v>30564</v>
      </c>
      <c r="Z978" s="6">
        <v>9758</v>
      </c>
      <c r="AA978" s="6">
        <v>4689</v>
      </c>
      <c r="AB978" s="6">
        <v>66</v>
      </c>
      <c r="AC978" s="6">
        <v>1874</v>
      </c>
      <c r="AD978" s="6">
        <v>476</v>
      </c>
      <c r="AE978" s="6">
        <v>21258</v>
      </c>
      <c r="AF978" s="6">
        <v>38398</v>
      </c>
    </row>
    <row r="979" spans="1:32" x14ac:dyDescent="0.35">
      <c r="A979" s="1">
        <v>44398</v>
      </c>
      <c r="B979" s="6">
        <v>8240530</v>
      </c>
      <c r="C979" s="6">
        <v>11037</v>
      </c>
      <c r="D979" s="6">
        <v>5200</v>
      </c>
      <c r="E979" s="6">
        <v>1248</v>
      </c>
      <c r="F979" s="6">
        <v>8093376</v>
      </c>
      <c r="G979" s="6">
        <v>7667510</v>
      </c>
      <c r="H979" s="6">
        <v>5242987</v>
      </c>
      <c r="I979" s="6">
        <v>326044</v>
      </c>
      <c r="J979" s="6">
        <v>4514027</v>
      </c>
      <c r="K979" s="6">
        <v>346944</v>
      </c>
      <c r="L979" s="6">
        <v>55972</v>
      </c>
      <c r="M979" s="6">
        <v>77002</v>
      </c>
      <c r="N979" s="6">
        <v>285248</v>
      </c>
      <c r="O979" s="6">
        <v>675957</v>
      </c>
      <c r="P979" s="6">
        <v>2020368</v>
      </c>
      <c r="Q979" s="6">
        <v>959414</v>
      </c>
      <c r="R979" s="6">
        <v>1224998</v>
      </c>
      <c r="S979" s="6">
        <v>2347</v>
      </c>
      <c r="T979" s="6">
        <v>2422177</v>
      </c>
      <c r="U979" s="6">
        <v>353639</v>
      </c>
      <c r="V979" s="6">
        <v>-14621</v>
      </c>
      <c r="W979" s="6">
        <v>0</v>
      </c>
      <c r="X979" s="6">
        <v>86848</v>
      </c>
      <c r="Y979" s="6">
        <v>30439</v>
      </c>
      <c r="Z979" s="6">
        <v>9760</v>
      </c>
      <c r="AA979" s="6">
        <v>4690</v>
      </c>
      <c r="AB979" s="6">
        <v>53</v>
      </c>
      <c r="AC979" s="6">
        <v>1867</v>
      </c>
      <c r="AD979" s="6">
        <v>475</v>
      </c>
      <c r="AE979" s="6">
        <v>21213</v>
      </c>
      <c r="AF979" s="6">
        <v>38523</v>
      </c>
    </row>
    <row r="980" spans="1:32" x14ac:dyDescent="0.35">
      <c r="A980" s="1">
        <v>44405</v>
      </c>
      <c r="B980" s="6">
        <v>8221473</v>
      </c>
      <c r="C980" s="6">
        <v>11037</v>
      </c>
      <c r="D980" s="6">
        <v>5200</v>
      </c>
      <c r="E980" s="6">
        <v>1251</v>
      </c>
      <c r="F980" s="6">
        <v>8074253</v>
      </c>
      <c r="G980" s="6">
        <v>7650866</v>
      </c>
      <c r="H980" s="6">
        <v>5263740</v>
      </c>
      <c r="I980" s="6">
        <v>326044</v>
      </c>
      <c r="J980" s="6">
        <v>4531831</v>
      </c>
      <c r="K980" s="6">
        <v>348943</v>
      </c>
      <c r="L980" s="6">
        <v>56922</v>
      </c>
      <c r="M980" s="6">
        <v>78906</v>
      </c>
      <c r="N980" s="6">
        <v>282952</v>
      </c>
      <c r="O980" s="6">
        <v>676407</v>
      </c>
      <c r="P980" s="6">
        <v>2034725</v>
      </c>
      <c r="Q980" s="6">
        <v>962161</v>
      </c>
      <c r="R980" s="6">
        <v>1228589</v>
      </c>
      <c r="S980" s="6">
        <v>2347</v>
      </c>
      <c r="T980" s="6">
        <v>2384779</v>
      </c>
      <c r="U980" s="6">
        <v>352549</v>
      </c>
      <c r="V980" s="6">
        <v>-14649</v>
      </c>
      <c r="W980" s="6">
        <v>0</v>
      </c>
      <c r="X980" s="6">
        <v>85487</v>
      </c>
      <c r="Y980" s="6">
        <v>30445</v>
      </c>
      <c r="Z980" s="6">
        <v>9761</v>
      </c>
      <c r="AA980" s="6">
        <v>4690</v>
      </c>
      <c r="AB980" s="6">
        <v>78</v>
      </c>
      <c r="AC980" s="6">
        <v>1766</v>
      </c>
      <c r="AD980" s="6">
        <v>476</v>
      </c>
      <c r="AE980" s="6">
        <v>21236</v>
      </c>
      <c r="AF980" s="6">
        <v>38626</v>
      </c>
    </row>
    <row r="981" spans="1:32" x14ac:dyDescent="0.35">
      <c r="A981" s="1">
        <v>44412</v>
      </c>
      <c r="B981" s="6">
        <v>8235073</v>
      </c>
      <c r="C981" s="6">
        <v>11037</v>
      </c>
      <c r="D981" s="6">
        <v>5200</v>
      </c>
      <c r="E981" s="6">
        <v>1253</v>
      </c>
      <c r="F981" s="6">
        <v>8086741</v>
      </c>
      <c r="G981" s="6">
        <v>7664767</v>
      </c>
      <c r="H981" s="6">
        <v>5277635</v>
      </c>
      <c r="I981" s="6">
        <v>326044</v>
      </c>
      <c r="J981" s="6">
        <v>4543634</v>
      </c>
      <c r="K981" s="6">
        <v>350142</v>
      </c>
      <c r="L981" s="6">
        <v>57815</v>
      </c>
      <c r="M981" s="6">
        <v>112640</v>
      </c>
      <c r="N981" s="6">
        <v>249075</v>
      </c>
      <c r="O981" s="6">
        <v>682163</v>
      </c>
      <c r="P981" s="6">
        <v>2038269</v>
      </c>
      <c r="Q981" s="6">
        <v>960016</v>
      </c>
      <c r="R981" s="6">
        <v>1235472</v>
      </c>
      <c r="S981" s="6">
        <v>2347</v>
      </c>
      <c r="T981" s="6">
        <v>2384785</v>
      </c>
      <c r="U981" s="6">
        <v>352788</v>
      </c>
      <c r="V981" s="6">
        <v>-14738</v>
      </c>
      <c r="W981" s="6">
        <v>0</v>
      </c>
      <c r="X981" s="6">
        <v>83925</v>
      </c>
      <c r="Y981" s="6">
        <v>30567</v>
      </c>
      <c r="Z981" s="6">
        <v>9763</v>
      </c>
      <c r="AA981" s="6">
        <v>4513</v>
      </c>
      <c r="AB981" s="6">
        <v>108</v>
      </c>
      <c r="AC981" s="6">
        <v>1677</v>
      </c>
      <c r="AD981" s="6">
        <v>478</v>
      </c>
      <c r="AE981" s="6">
        <v>21317</v>
      </c>
      <c r="AF981" s="6">
        <v>39760</v>
      </c>
    </row>
    <row r="982" spans="1:32" x14ac:dyDescent="0.35">
      <c r="A982" s="1">
        <v>44419</v>
      </c>
      <c r="B982" s="6">
        <v>8257159</v>
      </c>
      <c r="C982" s="6">
        <v>11037</v>
      </c>
      <c r="D982" s="6">
        <v>5200</v>
      </c>
      <c r="E982" s="6">
        <v>1250</v>
      </c>
      <c r="F982" s="6">
        <v>8111359</v>
      </c>
      <c r="G982" s="6">
        <v>7690627</v>
      </c>
      <c r="H982" s="6">
        <v>5303495</v>
      </c>
      <c r="I982" s="6">
        <v>326044</v>
      </c>
      <c r="J982" s="6">
        <v>4568639</v>
      </c>
      <c r="K982" s="6">
        <v>350142</v>
      </c>
      <c r="L982" s="6">
        <v>58670</v>
      </c>
      <c r="M982" s="6">
        <v>108976</v>
      </c>
      <c r="N982" s="6">
        <v>258414</v>
      </c>
      <c r="O982" s="6">
        <v>676691</v>
      </c>
      <c r="P982" s="6">
        <v>2052328</v>
      </c>
      <c r="Q982" s="6">
        <v>967987</v>
      </c>
      <c r="R982" s="6">
        <v>1239097</v>
      </c>
      <c r="S982" s="6">
        <v>2347</v>
      </c>
      <c r="T982" s="6">
        <v>2384785</v>
      </c>
      <c r="U982" s="6">
        <v>353035</v>
      </c>
      <c r="V982" s="6">
        <v>-14803</v>
      </c>
      <c r="W982" s="6">
        <v>0</v>
      </c>
      <c r="X982" s="6">
        <v>82500</v>
      </c>
      <c r="Y982" s="6">
        <v>30575</v>
      </c>
      <c r="Z982" s="6">
        <v>9764</v>
      </c>
      <c r="AA982" s="6">
        <v>4513</v>
      </c>
      <c r="AB982" s="6">
        <v>76</v>
      </c>
      <c r="AC982" s="6">
        <v>1665</v>
      </c>
      <c r="AD982" s="6">
        <v>492</v>
      </c>
      <c r="AE982" s="6">
        <v>21124</v>
      </c>
      <c r="AF982" s="6">
        <v>42988</v>
      </c>
    </row>
    <row r="983" spans="1:32" x14ac:dyDescent="0.35">
      <c r="A983" s="1">
        <v>44426</v>
      </c>
      <c r="B983" s="6">
        <v>8342598</v>
      </c>
      <c r="C983" s="6">
        <v>11037</v>
      </c>
      <c r="D983" s="6">
        <v>5200</v>
      </c>
      <c r="E983" s="6">
        <v>1239</v>
      </c>
      <c r="F983" s="6">
        <v>8212192</v>
      </c>
      <c r="G983" s="6">
        <v>7791636</v>
      </c>
      <c r="H983" s="6">
        <v>5323651</v>
      </c>
      <c r="I983" s="6">
        <v>326044</v>
      </c>
      <c r="J983" s="6">
        <v>4584442</v>
      </c>
      <c r="K983" s="6">
        <v>353344</v>
      </c>
      <c r="L983" s="6">
        <v>59821</v>
      </c>
      <c r="M983" s="6">
        <v>79791</v>
      </c>
      <c r="N983" s="6">
        <v>297515</v>
      </c>
      <c r="O983" s="6">
        <v>696797</v>
      </c>
      <c r="P983" s="6">
        <v>2021245</v>
      </c>
      <c r="Q983" s="6">
        <v>973108</v>
      </c>
      <c r="R983" s="6">
        <v>1255194</v>
      </c>
      <c r="S983" s="6">
        <v>2347</v>
      </c>
      <c r="T983" s="6">
        <v>2465638</v>
      </c>
      <c r="U983" s="6">
        <v>354940</v>
      </c>
      <c r="V983" s="6">
        <v>-15191</v>
      </c>
      <c r="W983" s="6">
        <v>0</v>
      </c>
      <c r="X983" s="6">
        <v>80808</v>
      </c>
      <c r="Y983" s="6">
        <v>30534</v>
      </c>
      <c r="Z983" s="6">
        <v>9766</v>
      </c>
      <c r="AA983" s="6">
        <v>4513</v>
      </c>
      <c r="AB983" s="6">
        <v>70</v>
      </c>
      <c r="AC983" s="6">
        <v>1663</v>
      </c>
      <c r="AD983" s="6">
        <v>488</v>
      </c>
      <c r="AE983" s="6">
        <v>21128</v>
      </c>
      <c r="AF983" s="6">
        <v>27652</v>
      </c>
    </row>
    <row r="984" spans="1:32" x14ac:dyDescent="0.35">
      <c r="A984" s="1">
        <v>44433</v>
      </c>
      <c r="B984" s="6">
        <v>8332743</v>
      </c>
      <c r="C984" s="6">
        <v>11037</v>
      </c>
      <c r="D984" s="6">
        <v>5200</v>
      </c>
      <c r="E984" s="6">
        <v>1239</v>
      </c>
      <c r="F984" s="6">
        <v>8203699</v>
      </c>
      <c r="G984" s="6">
        <v>7786785</v>
      </c>
      <c r="H984" s="6">
        <v>5346372</v>
      </c>
      <c r="I984" s="6">
        <v>326044</v>
      </c>
      <c r="J984" s="6">
        <v>4604044</v>
      </c>
      <c r="K984" s="6">
        <v>355345</v>
      </c>
      <c r="L984" s="6">
        <v>60939</v>
      </c>
      <c r="M984" s="6">
        <v>79378</v>
      </c>
      <c r="N984" s="6">
        <v>297972</v>
      </c>
      <c r="O984" s="6">
        <v>696821</v>
      </c>
      <c r="P984" s="6">
        <v>2033296</v>
      </c>
      <c r="Q984" s="6">
        <v>981487</v>
      </c>
      <c r="R984" s="6">
        <v>1257417</v>
      </c>
      <c r="S984" s="6">
        <v>2347</v>
      </c>
      <c r="T984" s="6">
        <v>2438067</v>
      </c>
      <c r="U984" s="6">
        <v>354033</v>
      </c>
      <c r="V984" s="6">
        <v>-15213</v>
      </c>
      <c r="W984" s="6">
        <v>0</v>
      </c>
      <c r="X984" s="6">
        <v>78094</v>
      </c>
      <c r="Y984" s="6">
        <v>30543</v>
      </c>
      <c r="Z984" s="6">
        <v>9768</v>
      </c>
      <c r="AA984" s="6">
        <v>4514</v>
      </c>
      <c r="AB984" s="6">
        <v>82</v>
      </c>
      <c r="AC984" s="6">
        <v>1592</v>
      </c>
      <c r="AD984" s="6">
        <v>326</v>
      </c>
      <c r="AE984" s="6">
        <v>21179</v>
      </c>
      <c r="AF984" s="6">
        <v>26449</v>
      </c>
    </row>
    <row r="985" spans="1:32" x14ac:dyDescent="0.35">
      <c r="A985" s="1">
        <v>44440</v>
      </c>
      <c r="B985" s="6">
        <v>8349173</v>
      </c>
      <c r="C985" s="6">
        <v>11037</v>
      </c>
      <c r="D985" s="6">
        <v>5200</v>
      </c>
      <c r="E985" s="6">
        <v>1226</v>
      </c>
      <c r="F985" s="6">
        <v>8219445</v>
      </c>
      <c r="G985" s="6">
        <v>7806085</v>
      </c>
      <c r="H985" s="6">
        <v>5365670</v>
      </c>
      <c r="I985" s="6">
        <v>326044</v>
      </c>
      <c r="J985" s="6">
        <v>4620243</v>
      </c>
      <c r="K985" s="6">
        <v>357551</v>
      </c>
      <c r="L985" s="6">
        <v>61832</v>
      </c>
      <c r="M985" s="6">
        <v>63019</v>
      </c>
      <c r="N985" s="6">
        <v>304096</v>
      </c>
      <c r="O985" s="6">
        <v>704235</v>
      </c>
      <c r="P985" s="6">
        <v>2049268</v>
      </c>
      <c r="Q985" s="6">
        <v>978139</v>
      </c>
      <c r="R985" s="6">
        <v>1266913</v>
      </c>
      <c r="S985" s="6">
        <v>2347</v>
      </c>
      <c r="T985" s="6">
        <v>2438068</v>
      </c>
      <c r="U985" s="6">
        <v>354068</v>
      </c>
      <c r="V985" s="6">
        <v>-15516</v>
      </c>
      <c r="W985" s="6">
        <v>0</v>
      </c>
      <c r="X985" s="6">
        <v>74808</v>
      </c>
      <c r="Y985" s="6">
        <v>30550</v>
      </c>
      <c r="Z985" s="6">
        <v>9769</v>
      </c>
      <c r="AA985" s="6">
        <v>4511</v>
      </c>
      <c r="AB985" s="6">
        <v>92</v>
      </c>
      <c r="AC985" s="6">
        <v>1596</v>
      </c>
      <c r="AD985" s="6">
        <v>336</v>
      </c>
      <c r="AE985" s="6">
        <v>21278</v>
      </c>
      <c r="AF985" s="6">
        <v>27016</v>
      </c>
    </row>
    <row r="986" spans="1:32" x14ac:dyDescent="0.35">
      <c r="A986" s="1">
        <v>44447</v>
      </c>
      <c r="B986" s="6">
        <v>8357314</v>
      </c>
      <c r="C986" s="6">
        <v>11037</v>
      </c>
      <c r="D986" s="6">
        <v>5200</v>
      </c>
      <c r="E986" s="6">
        <v>1214</v>
      </c>
      <c r="F986" s="6">
        <v>8224519</v>
      </c>
      <c r="G986" s="6">
        <v>7813156</v>
      </c>
      <c r="H986" s="6">
        <v>5372741</v>
      </c>
      <c r="I986" s="6">
        <v>326044</v>
      </c>
      <c r="J986" s="6">
        <v>4626844</v>
      </c>
      <c r="K986" s="6">
        <v>357551</v>
      </c>
      <c r="L986" s="6">
        <v>62303</v>
      </c>
      <c r="M986" s="6">
        <v>52447</v>
      </c>
      <c r="N986" s="6">
        <v>319834</v>
      </c>
      <c r="O986" s="6">
        <v>699105</v>
      </c>
      <c r="P986" s="6">
        <v>2049420</v>
      </c>
      <c r="Q986" s="6">
        <v>981498</v>
      </c>
      <c r="R986" s="6">
        <v>1270437</v>
      </c>
      <c r="S986" s="6">
        <v>2347</v>
      </c>
      <c r="T986" s="6">
        <v>2438068</v>
      </c>
      <c r="U986" s="6">
        <v>353978</v>
      </c>
      <c r="V986" s="6">
        <v>-15583</v>
      </c>
      <c r="W986" s="6">
        <v>0</v>
      </c>
      <c r="X986" s="6">
        <v>72968</v>
      </c>
      <c r="Y986" s="6">
        <v>30558</v>
      </c>
      <c r="Z986" s="6">
        <v>9771</v>
      </c>
      <c r="AA986" s="6">
        <v>4512</v>
      </c>
      <c r="AB986" s="6">
        <v>80</v>
      </c>
      <c r="AC986" s="6">
        <v>1582</v>
      </c>
      <c r="AD986" s="6">
        <v>329</v>
      </c>
      <c r="AE986" s="6">
        <v>21220</v>
      </c>
      <c r="AF986" s="6">
        <v>30177</v>
      </c>
    </row>
    <row r="987" spans="1:32" x14ac:dyDescent="0.35">
      <c r="A987" s="1">
        <v>44454</v>
      </c>
      <c r="B987" s="6">
        <v>8448770</v>
      </c>
      <c r="C987" s="6">
        <v>11037</v>
      </c>
      <c r="D987" s="6">
        <v>5200</v>
      </c>
      <c r="E987" s="6">
        <v>1209</v>
      </c>
      <c r="F987" s="6">
        <v>8318716</v>
      </c>
      <c r="G987" s="6">
        <v>7908375</v>
      </c>
      <c r="H987" s="6">
        <v>5391872</v>
      </c>
      <c r="I987" s="6">
        <v>326044</v>
      </c>
      <c r="J987" s="6">
        <v>4643247</v>
      </c>
      <c r="K987" s="6">
        <v>359552</v>
      </c>
      <c r="L987" s="6">
        <v>63030</v>
      </c>
      <c r="M987" s="6">
        <v>68069</v>
      </c>
      <c r="N987" s="6">
        <v>287834</v>
      </c>
      <c r="O987" s="6">
        <v>712400</v>
      </c>
      <c r="P987" s="6">
        <v>2057960</v>
      </c>
      <c r="Q987" s="6">
        <v>990494</v>
      </c>
      <c r="R987" s="6">
        <v>1275116</v>
      </c>
      <c r="S987" s="6">
        <v>2347</v>
      </c>
      <c r="T987" s="6">
        <v>2514156</v>
      </c>
      <c r="U987" s="6">
        <v>355731</v>
      </c>
      <c r="V987" s="6">
        <v>-15565</v>
      </c>
      <c r="W987" s="6">
        <v>0</v>
      </c>
      <c r="X987" s="6">
        <v>70174</v>
      </c>
      <c r="Y987" s="6">
        <v>30437</v>
      </c>
      <c r="Z987" s="6">
        <v>9772</v>
      </c>
      <c r="AA987" s="6">
        <v>4512</v>
      </c>
      <c r="AB987" s="6">
        <v>57</v>
      </c>
      <c r="AC987" s="6">
        <v>1590</v>
      </c>
      <c r="AD987" s="6">
        <v>329</v>
      </c>
      <c r="AE987" s="6">
        <v>21282</v>
      </c>
      <c r="AF987" s="6">
        <v>32321</v>
      </c>
    </row>
    <row r="988" spans="1:32" x14ac:dyDescent="0.35">
      <c r="A988" s="1">
        <v>44461</v>
      </c>
      <c r="B988" s="6">
        <v>8489824</v>
      </c>
      <c r="C988" s="6">
        <v>11037</v>
      </c>
      <c r="D988" s="6">
        <v>5200</v>
      </c>
      <c r="E988" s="6">
        <v>1202</v>
      </c>
      <c r="F988" s="6">
        <v>8357712</v>
      </c>
      <c r="G988" s="6">
        <v>7952278</v>
      </c>
      <c r="H988" s="6">
        <v>5413374</v>
      </c>
      <c r="I988" s="6">
        <v>326044</v>
      </c>
      <c r="J988" s="6">
        <v>4660848</v>
      </c>
      <c r="K988" s="6">
        <v>362754</v>
      </c>
      <c r="L988" s="6">
        <v>63729</v>
      </c>
      <c r="M988" s="6">
        <v>76874</v>
      </c>
      <c r="N988" s="6">
        <v>296375</v>
      </c>
      <c r="O988" s="6">
        <v>702303</v>
      </c>
      <c r="P988" s="6">
        <v>2065332</v>
      </c>
      <c r="Q988" s="6">
        <v>994988</v>
      </c>
      <c r="R988" s="6">
        <v>1277502</v>
      </c>
      <c r="S988" s="6">
        <v>2347</v>
      </c>
      <c r="T988" s="6">
        <v>2536557</v>
      </c>
      <c r="U988" s="6">
        <v>356156</v>
      </c>
      <c r="V988" s="6">
        <v>-15597</v>
      </c>
      <c r="W988" s="6">
        <v>0</v>
      </c>
      <c r="X988" s="6">
        <v>64875</v>
      </c>
      <c r="Y988" s="6">
        <v>30441</v>
      </c>
      <c r="Z988" s="6">
        <v>9774</v>
      </c>
      <c r="AA988" s="6">
        <v>4512</v>
      </c>
      <c r="AB988" s="6">
        <v>70</v>
      </c>
      <c r="AC988" s="6">
        <v>1587</v>
      </c>
      <c r="AD988" s="6">
        <v>336</v>
      </c>
      <c r="AE988" s="6">
        <v>21189</v>
      </c>
      <c r="AF988" s="6">
        <v>34456</v>
      </c>
    </row>
    <row r="989" spans="1:32" x14ac:dyDescent="0.35">
      <c r="A989" s="1">
        <v>44468</v>
      </c>
      <c r="B989" s="6">
        <v>8447981</v>
      </c>
      <c r="C989" s="6">
        <v>11037</v>
      </c>
      <c r="D989" s="6">
        <v>5200</v>
      </c>
      <c r="E989" s="6">
        <v>1203</v>
      </c>
      <c r="F989" s="6">
        <v>8328310</v>
      </c>
      <c r="G989" s="6">
        <v>7928087</v>
      </c>
      <c r="H989" s="6">
        <v>5431056</v>
      </c>
      <c r="I989" s="6">
        <v>326044</v>
      </c>
      <c r="J989" s="6">
        <v>4678052</v>
      </c>
      <c r="K989" s="6">
        <v>362754</v>
      </c>
      <c r="L989" s="6">
        <v>64206</v>
      </c>
      <c r="M989" s="6">
        <v>84008</v>
      </c>
      <c r="N989" s="6">
        <v>289201</v>
      </c>
      <c r="O989" s="6">
        <v>702379</v>
      </c>
      <c r="P989" s="6">
        <v>2093284</v>
      </c>
      <c r="Q989" s="6">
        <v>981756</v>
      </c>
      <c r="R989" s="6">
        <v>1280427</v>
      </c>
      <c r="S989" s="6">
        <v>2347</v>
      </c>
      <c r="T989" s="6">
        <v>2494684</v>
      </c>
      <c r="U989" s="6">
        <v>354462</v>
      </c>
      <c r="V989" s="6">
        <v>-15665</v>
      </c>
      <c r="W989" s="6">
        <v>0</v>
      </c>
      <c r="X989" s="6">
        <v>61426</v>
      </c>
      <c r="Y989" s="6">
        <v>30449</v>
      </c>
      <c r="Z989" s="6">
        <v>9776</v>
      </c>
      <c r="AA989" s="6">
        <v>4513</v>
      </c>
      <c r="AB989" s="6">
        <v>55</v>
      </c>
      <c r="AC989" s="6">
        <v>1550</v>
      </c>
      <c r="AD989" s="6">
        <v>340</v>
      </c>
      <c r="AE989" s="6">
        <v>20881</v>
      </c>
      <c r="AF989" s="6">
        <v>34154</v>
      </c>
    </row>
    <row r="990" spans="1:32" x14ac:dyDescent="0.35">
      <c r="A990" s="1">
        <v>44475</v>
      </c>
      <c r="B990" s="6">
        <v>8464032</v>
      </c>
      <c r="C990" s="6">
        <v>11037</v>
      </c>
      <c r="D990" s="6">
        <v>5200</v>
      </c>
      <c r="E990" s="6">
        <v>1208</v>
      </c>
      <c r="F990" s="6">
        <v>8343417</v>
      </c>
      <c r="G990" s="6">
        <v>7946373</v>
      </c>
      <c r="H990" s="6">
        <v>5449277</v>
      </c>
      <c r="I990" s="6">
        <v>326044</v>
      </c>
      <c r="J990" s="6">
        <v>4691968</v>
      </c>
      <c r="K990" s="6">
        <v>366441</v>
      </c>
      <c r="L990" s="6">
        <v>64824</v>
      </c>
      <c r="M990" s="6">
        <v>64682</v>
      </c>
      <c r="N990" s="6">
        <v>318226</v>
      </c>
      <c r="O990" s="6">
        <v>699428</v>
      </c>
      <c r="P990" s="6">
        <v>2085301</v>
      </c>
      <c r="Q990" s="6">
        <v>994263</v>
      </c>
      <c r="R990" s="6">
        <v>1287378</v>
      </c>
      <c r="S990" s="6">
        <v>2347</v>
      </c>
      <c r="T990" s="6">
        <v>2494749</v>
      </c>
      <c r="U990" s="6">
        <v>354807</v>
      </c>
      <c r="V990" s="6">
        <v>-15891</v>
      </c>
      <c r="W990" s="6">
        <v>0</v>
      </c>
      <c r="X990" s="6">
        <v>58128</v>
      </c>
      <c r="Y990" s="6">
        <v>30457</v>
      </c>
      <c r="Z990" s="6">
        <v>9777</v>
      </c>
      <c r="AA990" s="6">
        <v>4495</v>
      </c>
      <c r="AB990" s="6">
        <v>56</v>
      </c>
      <c r="AC990" s="6">
        <v>1539</v>
      </c>
      <c r="AD990" s="6">
        <v>328</v>
      </c>
      <c r="AE990" s="6">
        <v>20846</v>
      </c>
      <c r="AF990" s="6">
        <v>35157</v>
      </c>
    </row>
    <row r="991" spans="1:32" x14ac:dyDescent="0.35">
      <c r="A991" s="1">
        <v>44482</v>
      </c>
      <c r="B991" s="6">
        <v>8480942</v>
      </c>
      <c r="C991" s="6">
        <v>11037</v>
      </c>
      <c r="D991" s="6">
        <v>5200</v>
      </c>
      <c r="E991" s="6">
        <v>1200</v>
      </c>
      <c r="F991" s="6">
        <v>8357206</v>
      </c>
      <c r="G991" s="6">
        <v>7963030</v>
      </c>
      <c r="H991" s="6">
        <v>5465924</v>
      </c>
      <c r="I991" s="6">
        <v>326044</v>
      </c>
      <c r="J991" s="6">
        <v>4707171</v>
      </c>
      <c r="K991" s="6">
        <v>367642</v>
      </c>
      <c r="L991" s="6">
        <v>65067</v>
      </c>
      <c r="M991" s="6">
        <v>57950</v>
      </c>
      <c r="N991" s="6">
        <v>319321</v>
      </c>
      <c r="O991" s="6">
        <v>706046</v>
      </c>
      <c r="P991" s="6">
        <v>2096802</v>
      </c>
      <c r="Q991" s="6">
        <v>995154</v>
      </c>
      <c r="R991" s="6">
        <v>1290652</v>
      </c>
      <c r="S991" s="6">
        <v>2347</v>
      </c>
      <c r="T991" s="6">
        <v>2494759</v>
      </c>
      <c r="U991" s="6">
        <v>354617</v>
      </c>
      <c r="V991" s="6">
        <v>-15877</v>
      </c>
      <c r="W991" s="6">
        <v>0</v>
      </c>
      <c r="X991" s="6">
        <v>55436</v>
      </c>
      <c r="Y991" s="6">
        <v>30465</v>
      </c>
      <c r="Z991" s="6">
        <v>9779</v>
      </c>
      <c r="AA991" s="6">
        <v>4495</v>
      </c>
      <c r="AB991" s="6">
        <v>125</v>
      </c>
      <c r="AC991" s="6">
        <v>1547</v>
      </c>
      <c r="AD991" s="6">
        <v>333</v>
      </c>
      <c r="AE991" s="6">
        <v>20709</v>
      </c>
      <c r="AF991" s="6">
        <v>38332</v>
      </c>
    </row>
    <row r="992" spans="1:32" x14ac:dyDescent="0.35">
      <c r="A992" s="1">
        <v>44489</v>
      </c>
      <c r="B992" s="6">
        <v>8564943</v>
      </c>
      <c r="C992" s="6">
        <v>11037</v>
      </c>
      <c r="D992" s="6">
        <v>5200</v>
      </c>
      <c r="E992" s="6">
        <v>1205</v>
      </c>
      <c r="F992" s="6">
        <v>8440911</v>
      </c>
      <c r="G992" s="6">
        <v>8048546</v>
      </c>
      <c r="H992" s="6">
        <v>5499267</v>
      </c>
      <c r="I992" s="6">
        <v>326044</v>
      </c>
      <c r="J992" s="6">
        <v>4737972</v>
      </c>
      <c r="K992" s="6">
        <v>369643</v>
      </c>
      <c r="L992" s="6">
        <v>65609</v>
      </c>
      <c r="M992" s="6">
        <v>80856</v>
      </c>
      <c r="N992" s="6">
        <v>304867</v>
      </c>
      <c r="O992" s="6">
        <v>706735</v>
      </c>
      <c r="P992" s="6">
        <v>2108800</v>
      </c>
      <c r="Q992" s="6">
        <v>1001502</v>
      </c>
      <c r="R992" s="6">
        <v>1296509</v>
      </c>
      <c r="S992" s="6">
        <v>2347</v>
      </c>
      <c r="T992" s="6">
        <v>2546932</v>
      </c>
      <c r="U992" s="6">
        <v>355662</v>
      </c>
      <c r="V992" s="6">
        <v>-16058</v>
      </c>
      <c r="W992" s="6">
        <v>0</v>
      </c>
      <c r="X992" s="6">
        <v>52761</v>
      </c>
      <c r="Y992" s="6">
        <v>30285</v>
      </c>
      <c r="Z992" s="6">
        <v>9780</v>
      </c>
      <c r="AA992" s="6">
        <v>4495</v>
      </c>
      <c r="AB992" s="6">
        <v>55</v>
      </c>
      <c r="AC992" s="6">
        <v>1462</v>
      </c>
      <c r="AD992" s="6">
        <v>336</v>
      </c>
      <c r="AE992" s="6">
        <v>20735</v>
      </c>
      <c r="AF992" s="6">
        <v>38926</v>
      </c>
    </row>
    <row r="993" spans="1:32" x14ac:dyDescent="0.35">
      <c r="A993" s="1">
        <v>44496</v>
      </c>
      <c r="B993" s="6">
        <v>8556181</v>
      </c>
      <c r="C993" s="6">
        <v>11037</v>
      </c>
      <c r="D993" s="6">
        <v>5200</v>
      </c>
      <c r="E993" s="6">
        <v>1210</v>
      </c>
      <c r="F993" s="6">
        <v>8432354</v>
      </c>
      <c r="G993" s="6">
        <v>8043453</v>
      </c>
      <c r="H993" s="6">
        <v>5513329</v>
      </c>
      <c r="I993" s="6">
        <v>326044</v>
      </c>
      <c r="J993" s="6">
        <v>4750574</v>
      </c>
      <c r="K993" s="6">
        <v>370842</v>
      </c>
      <c r="L993" s="6">
        <v>65870</v>
      </c>
      <c r="M993" s="6">
        <v>66945</v>
      </c>
      <c r="N993" s="6">
        <v>318997</v>
      </c>
      <c r="O993" s="6">
        <v>706530</v>
      </c>
      <c r="P993" s="6">
        <v>2113812</v>
      </c>
      <c r="Q993" s="6">
        <v>1006665</v>
      </c>
      <c r="R993" s="6">
        <v>1300380</v>
      </c>
      <c r="S993" s="6">
        <v>2347</v>
      </c>
      <c r="T993" s="6">
        <v>2527777</v>
      </c>
      <c r="U993" s="6">
        <v>354669</v>
      </c>
      <c r="V993" s="6">
        <v>-16315</v>
      </c>
      <c r="W993" s="6">
        <v>0</v>
      </c>
      <c r="X993" s="6">
        <v>50546</v>
      </c>
      <c r="Y993" s="6">
        <v>30289</v>
      </c>
      <c r="Z993" s="6">
        <v>9782</v>
      </c>
      <c r="AA993" s="6">
        <v>4496</v>
      </c>
      <c r="AB993" s="6">
        <v>55</v>
      </c>
      <c r="AC993" s="6">
        <v>1465</v>
      </c>
      <c r="AD993" s="6">
        <v>323</v>
      </c>
      <c r="AE993" s="6">
        <v>20722</v>
      </c>
      <c r="AF993" s="6">
        <v>38733</v>
      </c>
    </row>
    <row r="994" spans="1:32" x14ac:dyDescent="0.35">
      <c r="A994" s="1">
        <v>44503</v>
      </c>
      <c r="B994" s="6">
        <v>8574871</v>
      </c>
      <c r="C994" s="6">
        <v>11037</v>
      </c>
      <c r="D994" s="6">
        <v>5200</v>
      </c>
      <c r="E994" s="6">
        <v>1202</v>
      </c>
      <c r="F994" s="6">
        <v>8449758</v>
      </c>
      <c r="G994" s="6">
        <v>8063390</v>
      </c>
      <c r="H994" s="6">
        <v>5533219</v>
      </c>
      <c r="I994" s="6">
        <v>326044</v>
      </c>
      <c r="J994" s="6">
        <v>4767776</v>
      </c>
      <c r="K994" s="6">
        <v>372843</v>
      </c>
      <c r="L994" s="6">
        <v>66557</v>
      </c>
      <c r="M994" s="6">
        <v>127192</v>
      </c>
      <c r="N994" s="6">
        <v>273726</v>
      </c>
      <c r="O994" s="6">
        <v>702180</v>
      </c>
      <c r="P994" s="6">
        <v>2121068</v>
      </c>
      <c r="Q994" s="6">
        <v>1001373</v>
      </c>
      <c r="R994" s="6">
        <v>1307680</v>
      </c>
      <c r="S994" s="6">
        <v>2347</v>
      </c>
      <c r="T994" s="6">
        <v>2527824</v>
      </c>
      <c r="U994" s="6">
        <v>354701</v>
      </c>
      <c r="V994" s="6">
        <v>-16650</v>
      </c>
      <c r="W994" s="6">
        <v>0</v>
      </c>
      <c r="X994" s="6">
        <v>48317</v>
      </c>
      <c r="Y994" s="6">
        <v>30507</v>
      </c>
      <c r="Z994" s="6">
        <v>9783</v>
      </c>
      <c r="AA994" s="6">
        <v>4490</v>
      </c>
      <c r="AB994" s="6">
        <v>71</v>
      </c>
      <c r="AC994" s="6">
        <v>1449</v>
      </c>
      <c r="AD994" s="6">
        <v>332</v>
      </c>
      <c r="AE994" s="6">
        <v>20684</v>
      </c>
      <c r="AF994" s="6">
        <v>39843</v>
      </c>
    </row>
    <row r="995" spans="1:32" x14ac:dyDescent="0.35">
      <c r="A995" s="1">
        <v>44510</v>
      </c>
      <c r="B995" s="6">
        <v>8663117</v>
      </c>
      <c r="C995" s="6">
        <v>11037</v>
      </c>
      <c r="D995" s="6">
        <v>5200</v>
      </c>
      <c r="E995" s="6">
        <v>1204</v>
      </c>
      <c r="F995" s="6">
        <v>8534292</v>
      </c>
      <c r="G995" s="6">
        <v>8148320</v>
      </c>
      <c r="H995" s="6">
        <v>5552607</v>
      </c>
      <c r="I995" s="6">
        <v>326044</v>
      </c>
      <c r="J995" s="6">
        <v>4785576</v>
      </c>
      <c r="K995" s="6">
        <v>374042</v>
      </c>
      <c r="L995" s="6">
        <v>66945</v>
      </c>
      <c r="M995" s="6">
        <v>110097</v>
      </c>
      <c r="N995" s="6">
        <v>285678</v>
      </c>
      <c r="O995" s="6">
        <v>707348</v>
      </c>
      <c r="P995" s="6">
        <v>2131956</v>
      </c>
      <c r="Q995" s="6">
        <v>1005551</v>
      </c>
      <c r="R995" s="6">
        <v>1311978</v>
      </c>
      <c r="S995" s="6">
        <v>2347</v>
      </c>
      <c r="T995" s="6">
        <v>2593366</v>
      </c>
      <c r="U995" s="6">
        <v>355808</v>
      </c>
      <c r="V995" s="6">
        <v>-16767</v>
      </c>
      <c r="W995" s="6">
        <v>0</v>
      </c>
      <c r="X995" s="6">
        <v>46930</v>
      </c>
      <c r="Y995" s="6">
        <v>30516</v>
      </c>
      <c r="Z995" s="6">
        <v>9785</v>
      </c>
      <c r="AA995" s="6">
        <v>4491</v>
      </c>
      <c r="AB995" s="6">
        <v>72</v>
      </c>
      <c r="AC995" s="6">
        <v>1455</v>
      </c>
      <c r="AD995" s="6">
        <v>328</v>
      </c>
      <c r="AE995" s="6">
        <v>20622</v>
      </c>
      <c r="AF995" s="6">
        <v>43599</v>
      </c>
    </row>
    <row r="996" spans="1:32" x14ac:dyDescent="0.35">
      <c r="A996" s="1">
        <v>44517</v>
      </c>
      <c r="B996" s="6">
        <v>8674970</v>
      </c>
      <c r="C996" s="6">
        <v>11037</v>
      </c>
      <c r="D996" s="6">
        <v>5200</v>
      </c>
      <c r="E996" s="6">
        <v>1199</v>
      </c>
      <c r="F996" s="6">
        <v>8561671</v>
      </c>
      <c r="G996" s="6">
        <v>8179303</v>
      </c>
      <c r="H996" s="6">
        <v>5573525</v>
      </c>
      <c r="I996" s="6">
        <v>326044</v>
      </c>
      <c r="J996" s="6">
        <v>4806255</v>
      </c>
      <c r="K996" s="6">
        <v>374042</v>
      </c>
      <c r="L996" s="6">
        <v>67184</v>
      </c>
      <c r="M996" s="6">
        <v>77857</v>
      </c>
      <c r="N996" s="6">
        <v>315439</v>
      </c>
      <c r="O996" s="6">
        <v>715588</v>
      </c>
      <c r="P996" s="6">
        <v>2127892</v>
      </c>
      <c r="Q996" s="6">
        <v>1008848</v>
      </c>
      <c r="R996" s="6">
        <v>1327901</v>
      </c>
      <c r="S996" s="6">
        <v>2347</v>
      </c>
      <c r="T996" s="6">
        <v>2603431</v>
      </c>
      <c r="U996" s="6">
        <v>355649</v>
      </c>
      <c r="V996" s="6">
        <v>-17321</v>
      </c>
      <c r="W996" s="6">
        <v>0</v>
      </c>
      <c r="X996" s="6">
        <v>44040</v>
      </c>
      <c r="Y996" s="6">
        <v>30466</v>
      </c>
      <c r="Z996" s="6">
        <v>9786</v>
      </c>
      <c r="AA996" s="6">
        <v>4491</v>
      </c>
      <c r="AB996" s="6">
        <v>69</v>
      </c>
      <c r="AC996" s="6">
        <v>1462</v>
      </c>
      <c r="AD996" s="6">
        <v>265</v>
      </c>
      <c r="AE996" s="6">
        <v>20379</v>
      </c>
      <c r="AF996" s="6">
        <v>28430</v>
      </c>
    </row>
    <row r="997" spans="1:32" x14ac:dyDescent="0.35">
      <c r="A997" s="1">
        <v>44524</v>
      </c>
      <c r="B997" s="6">
        <v>8681771</v>
      </c>
      <c r="C997" s="6">
        <v>11037</v>
      </c>
      <c r="D997" s="6">
        <v>5200</v>
      </c>
      <c r="E997" s="6">
        <v>1195</v>
      </c>
      <c r="F997" s="6">
        <v>8571012</v>
      </c>
      <c r="G997" s="6">
        <v>8190973</v>
      </c>
      <c r="H997" s="6">
        <v>5578900</v>
      </c>
      <c r="I997" s="6">
        <v>326044</v>
      </c>
      <c r="J997" s="6">
        <v>4809232</v>
      </c>
      <c r="K997" s="6">
        <v>375793</v>
      </c>
      <c r="L997" s="6">
        <v>67832</v>
      </c>
      <c r="M997" s="6">
        <v>70490</v>
      </c>
      <c r="N997" s="6">
        <v>322968</v>
      </c>
      <c r="O997" s="6">
        <v>715450</v>
      </c>
      <c r="P997" s="6">
        <v>2129829</v>
      </c>
      <c r="Q997" s="6">
        <v>1009204</v>
      </c>
      <c r="R997" s="6">
        <v>1330959</v>
      </c>
      <c r="S997" s="6">
        <v>2347</v>
      </c>
      <c r="T997" s="6">
        <v>2609726</v>
      </c>
      <c r="U997" s="6">
        <v>355086</v>
      </c>
      <c r="V997" s="6">
        <v>-17302</v>
      </c>
      <c r="W997" s="6">
        <v>0</v>
      </c>
      <c r="X997" s="6">
        <v>42255</v>
      </c>
      <c r="Y997" s="6">
        <v>29576</v>
      </c>
      <c r="Z997" s="6">
        <v>7953</v>
      </c>
      <c r="AA997" s="6">
        <v>2650</v>
      </c>
      <c r="AB997" s="6">
        <v>109</v>
      </c>
      <c r="AC997" s="6">
        <v>1444</v>
      </c>
      <c r="AD997" s="6">
        <v>268</v>
      </c>
      <c r="AE997" s="6">
        <v>20171</v>
      </c>
      <c r="AF997" s="6">
        <v>31155</v>
      </c>
    </row>
    <row r="998" spans="1:32" x14ac:dyDescent="0.35">
      <c r="A998" s="1">
        <v>44531</v>
      </c>
      <c r="B998" s="6">
        <v>8650402</v>
      </c>
      <c r="C998" s="6">
        <v>11037</v>
      </c>
      <c r="D998" s="6">
        <v>5200</v>
      </c>
      <c r="E998" s="6">
        <v>1187</v>
      </c>
      <c r="F998" s="6">
        <v>8542811</v>
      </c>
      <c r="G998" s="6">
        <v>8165351</v>
      </c>
      <c r="H998" s="6">
        <v>5592119</v>
      </c>
      <c r="I998" s="6">
        <v>326044</v>
      </c>
      <c r="J998" s="6">
        <v>4819804</v>
      </c>
      <c r="K998" s="6">
        <v>377998</v>
      </c>
      <c r="L998" s="6">
        <v>68274</v>
      </c>
      <c r="M998" s="6">
        <v>65830</v>
      </c>
      <c r="N998" s="6">
        <v>343938</v>
      </c>
      <c r="O998" s="6">
        <v>711536</v>
      </c>
      <c r="P998" s="6">
        <v>2129818</v>
      </c>
      <c r="Q998" s="6">
        <v>1006138</v>
      </c>
      <c r="R998" s="6">
        <v>1334859</v>
      </c>
      <c r="S998" s="6">
        <v>2347</v>
      </c>
      <c r="T998" s="6">
        <v>2570884</v>
      </c>
      <c r="U998" s="6">
        <v>353919</v>
      </c>
      <c r="V998" s="6">
        <v>-17450</v>
      </c>
      <c r="W998" s="6">
        <v>1</v>
      </c>
      <c r="X998" s="6">
        <v>40990</v>
      </c>
      <c r="Y998" s="6">
        <v>29584</v>
      </c>
      <c r="Z998" s="6">
        <v>7954</v>
      </c>
      <c r="AA998" s="6">
        <v>2626</v>
      </c>
      <c r="AB998" s="6">
        <v>59</v>
      </c>
      <c r="AC998" s="6">
        <v>1379</v>
      </c>
      <c r="AD998" s="6">
        <v>268</v>
      </c>
      <c r="AE998" s="6">
        <v>20488</v>
      </c>
      <c r="AF998" s="6">
        <v>27807</v>
      </c>
    </row>
    <row r="999" spans="1:32" x14ac:dyDescent="0.35">
      <c r="A999" s="1">
        <v>44538</v>
      </c>
      <c r="B999" s="6">
        <v>8664524</v>
      </c>
      <c r="C999" s="6">
        <v>11037</v>
      </c>
      <c r="D999" s="6">
        <v>5200</v>
      </c>
      <c r="E999" s="6">
        <v>1187</v>
      </c>
      <c r="F999" s="6">
        <v>8553748</v>
      </c>
      <c r="G999" s="6">
        <v>8177435</v>
      </c>
      <c r="H999" s="6">
        <v>5604169</v>
      </c>
      <c r="I999" s="6">
        <v>326044</v>
      </c>
      <c r="J999" s="6">
        <v>4828030</v>
      </c>
      <c r="K999" s="6">
        <v>380800</v>
      </c>
      <c r="L999" s="6">
        <v>69296</v>
      </c>
      <c r="M999" s="6">
        <v>49217</v>
      </c>
      <c r="N999" s="6">
        <v>355839</v>
      </c>
      <c r="O999" s="6">
        <v>716309</v>
      </c>
      <c r="P999" s="6">
        <v>2134549</v>
      </c>
      <c r="Q999" s="6">
        <v>1009697</v>
      </c>
      <c r="R999" s="6">
        <v>1338558</v>
      </c>
      <c r="S999" s="6">
        <v>2347</v>
      </c>
      <c r="T999" s="6">
        <v>2570918</v>
      </c>
      <c r="U999" s="6">
        <v>354122</v>
      </c>
      <c r="V999" s="6">
        <v>-17494</v>
      </c>
      <c r="W999" s="6">
        <v>1</v>
      </c>
      <c r="X999" s="6">
        <v>39685</v>
      </c>
      <c r="Y999" s="6">
        <v>29592</v>
      </c>
      <c r="Z999" s="6">
        <v>7956</v>
      </c>
      <c r="AA999" s="6">
        <v>2626</v>
      </c>
      <c r="AB999" s="6">
        <v>82</v>
      </c>
      <c r="AC999" s="6">
        <v>1383</v>
      </c>
      <c r="AD999" s="6">
        <v>272</v>
      </c>
      <c r="AE999" s="6">
        <v>20425</v>
      </c>
      <c r="AF999" s="6">
        <v>31015</v>
      </c>
    </row>
    <row r="1000" spans="1:32" x14ac:dyDescent="0.35">
      <c r="A1000" s="1">
        <v>44545</v>
      </c>
      <c r="B1000" s="6">
        <v>8756666</v>
      </c>
      <c r="C1000" s="6">
        <v>11037</v>
      </c>
      <c r="D1000" s="6">
        <v>5200</v>
      </c>
      <c r="E1000" s="6">
        <v>1195</v>
      </c>
      <c r="F1000" s="6">
        <v>8643690</v>
      </c>
      <c r="G1000" s="6">
        <v>8268766</v>
      </c>
      <c r="H1000" s="6">
        <v>5638289</v>
      </c>
      <c r="I1000" s="6">
        <v>326044</v>
      </c>
      <c r="J1000" s="6">
        <v>4861307</v>
      </c>
      <c r="K1000" s="6">
        <v>380800</v>
      </c>
      <c r="L1000" s="6">
        <v>70138</v>
      </c>
      <c r="M1000" s="6">
        <v>42681</v>
      </c>
      <c r="N1000" s="6">
        <v>365204</v>
      </c>
      <c r="O1000" s="6">
        <v>716085</v>
      </c>
      <c r="P1000" s="6">
        <v>2151240</v>
      </c>
      <c r="Q1000" s="6">
        <v>1018090</v>
      </c>
      <c r="R1000" s="6">
        <v>1344988</v>
      </c>
      <c r="S1000" s="6">
        <v>2347</v>
      </c>
      <c r="T1000" s="6">
        <v>2628130</v>
      </c>
      <c r="U1000" s="6">
        <v>354613</v>
      </c>
      <c r="V1000" s="6">
        <v>-17979</v>
      </c>
      <c r="W1000" s="6">
        <v>0</v>
      </c>
      <c r="X1000" s="6">
        <v>38290</v>
      </c>
      <c r="Y1000" s="6">
        <v>29393</v>
      </c>
      <c r="Z1000" s="6">
        <v>7958</v>
      </c>
      <c r="AA1000" s="6">
        <v>2626</v>
      </c>
      <c r="AB1000" s="6">
        <v>75</v>
      </c>
      <c r="AC1000" s="6">
        <v>1387</v>
      </c>
      <c r="AD1000" s="6">
        <v>278</v>
      </c>
      <c r="AE1000" s="6">
        <v>20346</v>
      </c>
      <c r="AF1000" s="6">
        <v>33479</v>
      </c>
    </row>
    <row r="1001" spans="1:32" x14ac:dyDescent="0.35">
      <c r="A1001" s="1">
        <v>44552</v>
      </c>
      <c r="B1001" s="6">
        <v>8790495</v>
      </c>
      <c r="C1001" s="6">
        <v>11037</v>
      </c>
      <c r="D1001" s="6">
        <v>5200</v>
      </c>
      <c r="E1001" s="6">
        <v>1204</v>
      </c>
      <c r="F1001" s="6">
        <v>8675543</v>
      </c>
      <c r="G1001" s="6">
        <v>8301831</v>
      </c>
      <c r="H1001" s="6">
        <v>5649823</v>
      </c>
      <c r="I1001" s="6">
        <v>326044</v>
      </c>
      <c r="J1001" s="6">
        <v>4869208</v>
      </c>
      <c r="K1001" s="6">
        <v>383200</v>
      </c>
      <c r="L1001" s="6">
        <v>71371</v>
      </c>
      <c r="M1001" s="6">
        <v>78069</v>
      </c>
      <c r="N1001" s="6">
        <v>329799</v>
      </c>
      <c r="O1001" s="6">
        <v>716163</v>
      </c>
      <c r="P1001" s="6">
        <v>2153742</v>
      </c>
      <c r="Q1001" s="6">
        <v>1023231</v>
      </c>
      <c r="R1001" s="6">
        <v>1348818</v>
      </c>
      <c r="S1001" s="6">
        <v>2347</v>
      </c>
      <c r="T1001" s="6">
        <v>2649661</v>
      </c>
      <c r="U1001" s="6">
        <v>354624</v>
      </c>
      <c r="V1001" s="6">
        <v>-17995</v>
      </c>
      <c r="W1001" s="6">
        <v>0</v>
      </c>
      <c r="X1001" s="6">
        <v>37082</v>
      </c>
      <c r="Y1001" s="6">
        <v>29398</v>
      </c>
      <c r="Z1001" s="6">
        <v>7959</v>
      </c>
      <c r="AA1001" s="6">
        <v>2627</v>
      </c>
      <c r="AB1001" s="6">
        <v>62</v>
      </c>
      <c r="AC1001" s="6">
        <v>1396</v>
      </c>
      <c r="AD1001" s="6">
        <v>265</v>
      </c>
      <c r="AE1001" s="6">
        <v>20385</v>
      </c>
      <c r="AF1001" s="6">
        <v>35420</v>
      </c>
    </row>
    <row r="1002" spans="1:32" x14ac:dyDescent="0.35">
      <c r="A1002" s="1">
        <v>44559</v>
      </c>
      <c r="B1002" s="6">
        <v>8757460</v>
      </c>
      <c r="C1002" s="6">
        <v>11037</v>
      </c>
      <c r="D1002" s="6">
        <v>5200</v>
      </c>
      <c r="E1002" s="6">
        <v>1212</v>
      </c>
      <c r="F1002" s="6">
        <v>8639983</v>
      </c>
      <c r="G1002" s="6">
        <v>8270111</v>
      </c>
      <c r="H1002" s="6">
        <v>5652272</v>
      </c>
      <c r="I1002" s="6">
        <v>326044</v>
      </c>
      <c r="J1002" s="6">
        <v>4870809</v>
      </c>
      <c r="K1002" s="6">
        <v>383200</v>
      </c>
      <c r="L1002" s="6">
        <v>72219</v>
      </c>
      <c r="M1002" s="6">
        <v>89057</v>
      </c>
      <c r="N1002" s="6">
        <v>320220</v>
      </c>
      <c r="O1002" s="6">
        <v>714817</v>
      </c>
      <c r="P1002" s="6">
        <v>2154028</v>
      </c>
      <c r="Q1002" s="6">
        <v>1023519</v>
      </c>
      <c r="R1002" s="6">
        <v>1350631</v>
      </c>
      <c r="S1002" s="6">
        <v>2347</v>
      </c>
      <c r="T1002" s="6">
        <v>2615492</v>
      </c>
      <c r="U1002" s="6">
        <v>352893</v>
      </c>
      <c r="V1002" s="6">
        <v>-17973</v>
      </c>
      <c r="W1002" s="6">
        <v>0</v>
      </c>
      <c r="X1002" s="6">
        <v>34952</v>
      </c>
      <c r="Y1002" s="6">
        <v>29406</v>
      </c>
      <c r="Z1002" s="6">
        <v>7864</v>
      </c>
      <c r="AA1002" s="6">
        <v>2627</v>
      </c>
      <c r="AB1002" s="6">
        <v>59</v>
      </c>
      <c r="AC1002" s="6">
        <v>1402</v>
      </c>
      <c r="AD1002" s="6">
        <v>3341</v>
      </c>
      <c r="AE1002" s="6">
        <v>20353</v>
      </c>
      <c r="AF1002" s="6">
        <v>34976</v>
      </c>
    </row>
    <row r="1003" spans="1:32" x14ac:dyDescent="0.35">
      <c r="A1003" s="1">
        <v>44566</v>
      </c>
      <c r="B1003" s="6">
        <v>8765721</v>
      </c>
      <c r="C1003" s="6">
        <v>11037</v>
      </c>
      <c r="D1003" s="6">
        <v>5200</v>
      </c>
      <c r="E1003" s="6">
        <v>1212</v>
      </c>
      <c r="F1003" s="6">
        <v>8647759</v>
      </c>
      <c r="G1003" s="6">
        <v>8279184</v>
      </c>
      <c r="H1003" s="6">
        <v>5661277</v>
      </c>
      <c r="I1003" s="6">
        <v>326044</v>
      </c>
      <c r="J1003" s="6">
        <v>4874800</v>
      </c>
      <c r="K1003" s="6">
        <v>387010</v>
      </c>
      <c r="L1003" s="6">
        <v>73423</v>
      </c>
      <c r="M1003" s="6">
        <v>71797</v>
      </c>
      <c r="N1003" s="6">
        <v>334601</v>
      </c>
      <c r="O1003" s="6">
        <v>727418</v>
      </c>
      <c r="P1003" s="6">
        <v>2154584</v>
      </c>
      <c r="Q1003" s="6">
        <v>1019378</v>
      </c>
      <c r="R1003" s="6">
        <v>1353499</v>
      </c>
      <c r="S1003" s="6">
        <v>2347</v>
      </c>
      <c r="T1003" s="6">
        <v>2615560</v>
      </c>
      <c r="U1003" s="6">
        <v>352781</v>
      </c>
      <c r="V1003" s="6">
        <v>-18063</v>
      </c>
      <c r="W1003" s="6">
        <v>0</v>
      </c>
      <c r="X1003" s="6">
        <v>33857</v>
      </c>
      <c r="Y1003" s="6">
        <v>29414</v>
      </c>
      <c r="Z1003" s="6">
        <v>7865</v>
      </c>
      <c r="AA1003" s="6">
        <v>2601</v>
      </c>
      <c r="AB1003" s="6">
        <v>56</v>
      </c>
      <c r="AC1003" s="6">
        <v>1400</v>
      </c>
      <c r="AD1003" s="6">
        <v>3340</v>
      </c>
      <c r="AE1003" s="6">
        <v>20277</v>
      </c>
      <c r="AF1003" s="6">
        <v>35560</v>
      </c>
    </row>
    <row r="1004" spans="1:32" x14ac:dyDescent="0.35">
      <c r="A1004" s="1">
        <v>44573</v>
      </c>
      <c r="B1004" s="6">
        <v>8788278</v>
      </c>
      <c r="C1004" s="6">
        <v>11037</v>
      </c>
      <c r="D1004" s="6">
        <v>5200</v>
      </c>
      <c r="E1004" s="6">
        <v>1228</v>
      </c>
      <c r="F1004" s="6">
        <v>8669751</v>
      </c>
      <c r="G1004" s="6">
        <v>8302651</v>
      </c>
      <c r="H1004" s="6">
        <v>5684737</v>
      </c>
      <c r="I1004" s="6">
        <v>326044</v>
      </c>
      <c r="J1004" s="6">
        <v>4896806</v>
      </c>
      <c r="K1004" s="6">
        <v>387911</v>
      </c>
      <c r="L1004" s="6">
        <v>73976</v>
      </c>
      <c r="M1004" s="6">
        <v>77335</v>
      </c>
      <c r="N1004" s="6">
        <v>329686</v>
      </c>
      <c r="O1004" s="6">
        <v>727986</v>
      </c>
      <c r="P1004" s="6">
        <v>2165265</v>
      </c>
      <c r="Q1004" s="6">
        <v>1027296</v>
      </c>
      <c r="R1004" s="6">
        <v>1357170</v>
      </c>
      <c r="S1004" s="6">
        <v>2347</v>
      </c>
      <c r="T1004" s="6">
        <v>2615567</v>
      </c>
      <c r="U1004" s="6">
        <v>352670</v>
      </c>
      <c r="V1004" s="6">
        <v>-18260</v>
      </c>
      <c r="W1004" s="6">
        <v>1</v>
      </c>
      <c r="X1004" s="6">
        <v>32688</v>
      </c>
      <c r="Y1004" s="6">
        <v>29423</v>
      </c>
      <c r="Z1004" s="6">
        <v>7866</v>
      </c>
      <c r="AA1004" s="6">
        <v>2601</v>
      </c>
      <c r="AB1004" s="6">
        <v>71</v>
      </c>
      <c r="AC1004" s="6">
        <v>1408</v>
      </c>
      <c r="AD1004" s="6">
        <v>364</v>
      </c>
      <c r="AE1004" s="6">
        <v>20462</v>
      </c>
      <c r="AF1004" s="6">
        <v>38869</v>
      </c>
    </row>
    <row r="1005" spans="1:32" x14ac:dyDescent="0.35">
      <c r="A1005" s="1">
        <v>44580</v>
      </c>
      <c r="B1005" s="6">
        <v>8867834</v>
      </c>
      <c r="C1005" s="6">
        <v>11037</v>
      </c>
      <c r="D1005" s="6">
        <v>5200</v>
      </c>
      <c r="E1005" s="6">
        <v>1233</v>
      </c>
      <c r="F1005" s="6">
        <v>8747923</v>
      </c>
      <c r="G1005" s="6">
        <v>8381950</v>
      </c>
      <c r="H1005" s="6">
        <v>5693341</v>
      </c>
      <c r="I1005" s="6">
        <v>326044</v>
      </c>
      <c r="J1005" s="6">
        <v>4915211</v>
      </c>
      <c r="K1005" s="6">
        <v>379498</v>
      </c>
      <c r="L1005" s="6">
        <v>72589</v>
      </c>
      <c r="M1005" s="6">
        <v>94164</v>
      </c>
      <c r="N1005" s="6">
        <v>319379</v>
      </c>
      <c r="O1005" s="6">
        <v>722254</v>
      </c>
      <c r="P1005" s="6">
        <v>2182881</v>
      </c>
      <c r="Q1005" s="6">
        <v>1012038</v>
      </c>
      <c r="R1005" s="6">
        <v>1362625</v>
      </c>
      <c r="S1005" s="6">
        <v>2347</v>
      </c>
      <c r="T1005" s="6">
        <v>2686262</v>
      </c>
      <c r="U1005" s="6">
        <v>353102</v>
      </c>
      <c r="V1005" s="6">
        <v>-18737</v>
      </c>
      <c r="W1005" s="6">
        <v>1</v>
      </c>
      <c r="X1005" s="6">
        <v>31607</v>
      </c>
      <c r="Y1005" s="6">
        <v>28936</v>
      </c>
      <c r="Z1005" s="6">
        <v>7868</v>
      </c>
      <c r="AA1005" s="6">
        <v>2601</v>
      </c>
      <c r="AB1005" s="6">
        <v>81</v>
      </c>
      <c r="AC1005" s="6">
        <v>1417</v>
      </c>
      <c r="AD1005" s="6">
        <v>266</v>
      </c>
      <c r="AE1005" s="6">
        <v>20402</v>
      </c>
      <c r="AF1005" s="6">
        <v>40869</v>
      </c>
    </row>
    <row r="1006" spans="1:32" x14ac:dyDescent="0.35">
      <c r="A1006" s="1">
        <v>44587</v>
      </c>
      <c r="B1006" s="6">
        <v>8860485</v>
      </c>
      <c r="C1006" s="6">
        <v>11037</v>
      </c>
      <c r="D1006" s="6">
        <v>5200</v>
      </c>
      <c r="E1006" s="6">
        <v>1244</v>
      </c>
      <c r="F1006" s="6">
        <v>8742593</v>
      </c>
      <c r="G1006" s="6">
        <v>8379384</v>
      </c>
      <c r="H1006" s="6">
        <v>5716217</v>
      </c>
      <c r="I1006" s="6">
        <v>326044</v>
      </c>
      <c r="J1006" s="6">
        <v>4935214</v>
      </c>
      <c r="K1006" s="6">
        <v>381497</v>
      </c>
      <c r="L1006" s="6">
        <v>73463</v>
      </c>
      <c r="M1006" s="6">
        <v>91232</v>
      </c>
      <c r="N1006" s="6">
        <v>326564</v>
      </c>
      <c r="O1006" s="6">
        <v>721944</v>
      </c>
      <c r="P1006" s="6">
        <v>2197647</v>
      </c>
      <c r="Q1006" s="6">
        <v>1014477</v>
      </c>
      <c r="R1006" s="6">
        <v>1364352</v>
      </c>
      <c r="S1006" s="6">
        <v>2347</v>
      </c>
      <c r="T1006" s="6">
        <v>2660820</v>
      </c>
      <c r="U1006" s="6">
        <v>351610</v>
      </c>
      <c r="V1006" s="6">
        <v>-18971</v>
      </c>
      <c r="W1006" s="6">
        <v>0</v>
      </c>
      <c r="X1006" s="6">
        <v>30571</v>
      </c>
      <c r="Y1006" s="6">
        <v>28945</v>
      </c>
      <c r="Z1006" s="6">
        <v>7869</v>
      </c>
      <c r="AA1006" s="6">
        <v>2602</v>
      </c>
      <c r="AB1006" s="6">
        <v>49</v>
      </c>
      <c r="AC1006" s="6">
        <v>1383</v>
      </c>
      <c r="AD1006" s="6">
        <v>265</v>
      </c>
      <c r="AE1006" s="6">
        <v>20325</v>
      </c>
      <c r="AF1006" s="6">
        <v>38974</v>
      </c>
    </row>
    <row r="1007" spans="1:32" x14ac:dyDescent="0.35">
      <c r="A1007" s="1">
        <v>44594</v>
      </c>
      <c r="B1007" s="6">
        <v>8873211</v>
      </c>
      <c r="C1007" s="6">
        <v>11037</v>
      </c>
      <c r="D1007" s="6">
        <v>5200</v>
      </c>
      <c r="E1007" s="6">
        <v>1253</v>
      </c>
      <c r="F1007" s="6">
        <v>8753244</v>
      </c>
      <c r="G1007" s="6">
        <v>8391301</v>
      </c>
      <c r="H1007" s="6">
        <v>5728109</v>
      </c>
      <c r="I1007" s="6">
        <v>326044</v>
      </c>
      <c r="J1007" s="6">
        <v>4943022</v>
      </c>
      <c r="K1007" s="6">
        <v>385089</v>
      </c>
      <c r="L1007" s="6">
        <v>73954</v>
      </c>
      <c r="M1007" s="6">
        <v>120740</v>
      </c>
      <c r="N1007" s="6">
        <v>284249</v>
      </c>
      <c r="O1007" s="6">
        <v>738168</v>
      </c>
      <c r="P1007" s="6">
        <v>2203397</v>
      </c>
      <c r="Q1007" s="6">
        <v>1011998</v>
      </c>
      <c r="R1007" s="6">
        <v>1369557</v>
      </c>
      <c r="S1007" s="6">
        <v>2347</v>
      </c>
      <c r="T1007" s="6">
        <v>2660845</v>
      </c>
      <c r="U1007" s="6">
        <v>351482</v>
      </c>
      <c r="V1007" s="6">
        <v>-19168</v>
      </c>
      <c r="W1007" s="6">
        <v>0</v>
      </c>
      <c r="X1007" s="6">
        <v>29628</v>
      </c>
      <c r="Y1007" s="6">
        <v>29249</v>
      </c>
      <c r="Z1007" s="6">
        <v>7870</v>
      </c>
      <c r="AA1007" s="6">
        <v>2542</v>
      </c>
      <c r="AB1007" s="6">
        <v>50</v>
      </c>
      <c r="AC1007" s="6">
        <v>1372</v>
      </c>
      <c r="AD1007" s="6">
        <v>264</v>
      </c>
      <c r="AE1007" s="6">
        <v>20446</v>
      </c>
      <c r="AF1007" s="6">
        <v>40686</v>
      </c>
    </row>
    <row r="1008" spans="1:32" x14ac:dyDescent="0.35">
      <c r="A1008" s="1">
        <v>44601</v>
      </c>
      <c r="B1008" s="6">
        <v>8878009</v>
      </c>
      <c r="C1008" s="6">
        <v>11037</v>
      </c>
      <c r="D1008" s="6">
        <v>5200</v>
      </c>
      <c r="E1008" s="6">
        <v>1252</v>
      </c>
      <c r="F1008" s="6">
        <v>8755563</v>
      </c>
      <c r="G1008" s="6">
        <v>8395061</v>
      </c>
      <c r="H1008" s="6">
        <v>5731864</v>
      </c>
      <c r="I1008" s="6">
        <v>326044</v>
      </c>
      <c r="J1008" s="6">
        <v>4946424</v>
      </c>
      <c r="K1008" s="6">
        <v>385089</v>
      </c>
      <c r="L1008" s="6">
        <v>74306</v>
      </c>
      <c r="M1008" s="6">
        <v>119541</v>
      </c>
      <c r="N1008" s="6">
        <v>285648</v>
      </c>
      <c r="O1008" s="6">
        <v>737988</v>
      </c>
      <c r="P1008" s="6">
        <v>2203535</v>
      </c>
      <c r="Q1008" s="6">
        <v>1012104</v>
      </c>
      <c r="R1008" s="6">
        <v>1373047</v>
      </c>
      <c r="S1008" s="6">
        <v>2347</v>
      </c>
      <c r="T1008" s="6">
        <v>2660851</v>
      </c>
      <c r="U1008" s="6">
        <v>351162</v>
      </c>
      <c r="V1008" s="6">
        <v>-19192</v>
      </c>
      <c r="W1008" s="6">
        <v>0</v>
      </c>
      <c r="X1008" s="6">
        <v>28532</v>
      </c>
      <c r="Y1008" s="6">
        <v>29258</v>
      </c>
      <c r="Z1008" s="6">
        <v>7097</v>
      </c>
      <c r="AA1008" s="6">
        <v>2542</v>
      </c>
      <c r="AB1008" s="6">
        <v>91</v>
      </c>
      <c r="AC1008" s="6">
        <v>1382</v>
      </c>
      <c r="AD1008" s="6">
        <v>200</v>
      </c>
      <c r="AE1008" s="6">
        <v>20412</v>
      </c>
      <c r="AF1008" s="6">
        <v>43975</v>
      </c>
    </row>
    <row r="1009" spans="1:32" x14ac:dyDescent="0.35">
      <c r="A1009" s="1">
        <v>44608</v>
      </c>
      <c r="B1009" s="6">
        <v>8911033</v>
      </c>
      <c r="C1009" s="6">
        <v>11037</v>
      </c>
      <c r="D1009" s="6">
        <v>5200</v>
      </c>
      <c r="E1009" s="6">
        <v>1271</v>
      </c>
      <c r="F1009" s="6">
        <v>8804425</v>
      </c>
      <c r="G1009" s="6">
        <v>8445579</v>
      </c>
      <c r="H1009" s="6">
        <v>5738619</v>
      </c>
      <c r="I1009" s="6">
        <v>326044</v>
      </c>
      <c r="J1009" s="6">
        <v>4952826</v>
      </c>
      <c r="K1009" s="6">
        <v>385089</v>
      </c>
      <c r="L1009" s="6">
        <v>74659</v>
      </c>
      <c r="M1009" s="6">
        <v>86572</v>
      </c>
      <c r="N1009" s="6">
        <v>324187</v>
      </c>
      <c r="O1009" s="6">
        <v>735457</v>
      </c>
      <c r="P1009" s="6">
        <v>2191349</v>
      </c>
      <c r="Q1009" s="6">
        <v>991620</v>
      </c>
      <c r="R1009" s="6">
        <v>1409433</v>
      </c>
      <c r="S1009" s="6">
        <v>2347</v>
      </c>
      <c r="T1009" s="6">
        <v>2704613</v>
      </c>
      <c r="U1009" s="6">
        <v>350324</v>
      </c>
      <c r="V1009" s="6">
        <v>-20185</v>
      </c>
      <c r="W1009" s="6">
        <v>0</v>
      </c>
      <c r="X1009" s="6">
        <v>28706</v>
      </c>
      <c r="Y1009" s="6">
        <v>28980</v>
      </c>
      <c r="Z1009" s="6">
        <v>7098</v>
      </c>
      <c r="AA1009" s="6">
        <v>2542</v>
      </c>
      <c r="AB1009" s="6">
        <v>53</v>
      </c>
      <c r="AC1009" s="6">
        <v>1387</v>
      </c>
      <c r="AD1009" s="6">
        <v>214</v>
      </c>
      <c r="AE1009" s="6">
        <v>20356</v>
      </c>
      <c r="AF1009" s="6">
        <v>28472</v>
      </c>
    </row>
    <row r="1010" spans="1:32" x14ac:dyDescent="0.35">
      <c r="A1010" s="1">
        <v>44615</v>
      </c>
      <c r="B1010" s="6">
        <v>8928129</v>
      </c>
      <c r="C1010" s="6">
        <v>11037</v>
      </c>
      <c r="D1010" s="6">
        <v>5200</v>
      </c>
      <c r="E1010" s="6">
        <v>1282</v>
      </c>
      <c r="F1010" s="6">
        <v>8819383</v>
      </c>
      <c r="G1010" s="6">
        <v>8461992</v>
      </c>
      <c r="H1010" s="6">
        <v>5741778</v>
      </c>
      <c r="I1010" s="6">
        <v>326044</v>
      </c>
      <c r="J1010" s="6">
        <v>4954427</v>
      </c>
      <c r="K1010" s="6">
        <v>386090</v>
      </c>
      <c r="L1010" s="6">
        <v>75216</v>
      </c>
      <c r="M1010" s="6">
        <v>82908</v>
      </c>
      <c r="N1010" s="6">
        <v>332226</v>
      </c>
      <c r="O1010" s="6">
        <v>731102</v>
      </c>
      <c r="P1010" s="6">
        <v>2192414</v>
      </c>
      <c r="Q1010" s="6">
        <v>1014389</v>
      </c>
      <c r="R1010" s="6">
        <v>1388739</v>
      </c>
      <c r="S1010" s="6">
        <v>2347</v>
      </c>
      <c r="T1010" s="6">
        <v>2717867</v>
      </c>
      <c r="U1010" s="6">
        <v>349510</v>
      </c>
      <c r="V1010" s="6">
        <v>-20326</v>
      </c>
      <c r="W1010" s="6">
        <v>0</v>
      </c>
      <c r="X1010" s="6">
        <v>28207</v>
      </c>
      <c r="Y1010" s="6">
        <v>28988</v>
      </c>
      <c r="Z1010" s="6">
        <v>7099</v>
      </c>
      <c r="AA1010" s="6">
        <v>2543</v>
      </c>
      <c r="AB1010" s="6">
        <v>65</v>
      </c>
      <c r="AC1010" s="6">
        <v>1386</v>
      </c>
      <c r="AD1010" s="6">
        <v>211</v>
      </c>
      <c r="AE1010" s="6">
        <v>20306</v>
      </c>
      <c r="AF1010" s="6">
        <v>30629</v>
      </c>
    </row>
    <row r="1011" spans="1:32" x14ac:dyDescent="0.35">
      <c r="A1011" s="1">
        <v>44622</v>
      </c>
      <c r="B1011" s="6">
        <v>8904455</v>
      </c>
      <c r="C1011" s="6">
        <v>11037</v>
      </c>
      <c r="D1011" s="6">
        <v>5200</v>
      </c>
      <c r="E1011" s="6">
        <v>1283</v>
      </c>
      <c r="F1011" s="6">
        <v>8798381</v>
      </c>
      <c r="G1011" s="6">
        <v>8442811</v>
      </c>
      <c r="H1011" s="6">
        <v>5749106</v>
      </c>
      <c r="I1011" s="6">
        <v>326044</v>
      </c>
      <c r="J1011" s="6">
        <v>4959086</v>
      </c>
      <c r="K1011" s="6">
        <v>388233</v>
      </c>
      <c r="L1011" s="6">
        <v>75742</v>
      </c>
      <c r="M1011" s="6">
        <v>65920</v>
      </c>
      <c r="N1011" s="6">
        <v>339544</v>
      </c>
      <c r="O1011" s="6">
        <v>771738</v>
      </c>
      <c r="P1011" s="6">
        <v>2177670</v>
      </c>
      <c r="Q1011" s="6">
        <v>999949</v>
      </c>
      <c r="R1011" s="6">
        <v>1394286</v>
      </c>
      <c r="S1011" s="6">
        <v>2347</v>
      </c>
      <c r="T1011" s="6">
        <v>2691358</v>
      </c>
      <c r="U1011" s="6">
        <v>348053</v>
      </c>
      <c r="V1011" s="6">
        <v>-20404</v>
      </c>
      <c r="W1011" s="6">
        <v>1</v>
      </c>
      <c r="X1011" s="6">
        <v>27920</v>
      </c>
      <c r="Y1011" s="6">
        <v>28996</v>
      </c>
      <c r="Z1011" s="6">
        <v>7101</v>
      </c>
      <c r="AA1011" s="6">
        <v>2526</v>
      </c>
      <c r="AB1011" s="6">
        <v>60</v>
      </c>
      <c r="AC1011" s="6">
        <v>1368</v>
      </c>
      <c r="AD1011" s="6">
        <v>225</v>
      </c>
      <c r="AE1011" s="6">
        <v>20142</v>
      </c>
      <c r="AF1011" s="6">
        <v>28137</v>
      </c>
    </row>
    <row r="1012" spans="1:32" x14ac:dyDescent="0.35">
      <c r="A1012" s="1">
        <v>44629</v>
      </c>
      <c r="B1012" s="6">
        <v>8910748</v>
      </c>
      <c r="C1012" s="6">
        <v>11037</v>
      </c>
      <c r="D1012" s="6">
        <v>5200</v>
      </c>
      <c r="E1012" s="6">
        <v>1283</v>
      </c>
      <c r="F1012" s="6">
        <v>8801915</v>
      </c>
      <c r="G1012" s="6">
        <v>8447093</v>
      </c>
      <c r="H1012" s="6">
        <v>5753385</v>
      </c>
      <c r="I1012" s="6">
        <v>326044</v>
      </c>
      <c r="J1012" s="6">
        <v>4962484</v>
      </c>
      <c r="K1012" s="6">
        <v>388233</v>
      </c>
      <c r="L1012" s="6">
        <v>76624</v>
      </c>
      <c r="M1012" s="6">
        <v>56809</v>
      </c>
      <c r="N1012" s="6">
        <v>348887</v>
      </c>
      <c r="O1012" s="6">
        <v>771555</v>
      </c>
      <c r="P1012" s="6">
        <v>2178014</v>
      </c>
      <c r="Q1012" s="6">
        <v>1001812</v>
      </c>
      <c r="R1012" s="6">
        <v>1396308</v>
      </c>
      <c r="S1012" s="6">
        <v>2347</v>
      </c>
      <c r="T1012" s="6">
        <v>2691361</v>
      </c>
      <c r="U1012" s="6">
        <v>347626</v>
      </c>
      <c r="V1012" s="6">
        <v>-20452</v>
      </c>
      <c r="W1012" s="6">
        <v>1</v>
      </c>
      <c r="X1012" s="6">
        <v>27648</v>
      </c>
      <c r="Y1012" s="6">
        <v>29005</v>
      </c>
      <c r="Z1012" s="6">
        <v>6650</v>
      </c>
      <c r="AA1012" s="6">
        <v>2526</v>
      </c>
      <c r="AB1012" s="6">
        <v>59</v>
      </c>
      <c r="AC1012" s="6">
        <v>1371</v>
      </c>
      <c r="AD1012" s="6">
        <v>293</v>
      </c>
      <c r="AE1012" s="6">
        <v>19985</v>
      </c>
      <c r="AF1012" s="6">
        <v>31425</v>
      </c>
    </row>
    <row r="1013" spans="1:32" x14ac:dyDescent="0.35">
      <c r="A1013" s="1">
        <v>44636</v>
      </c>
      <c r="B1013" s="6">
        <v>8954306</v>
      </c>
      <c r="C1013" s="6">
        <v>11037</v>
      </c>
      <c r="D1013" s="6">
        <v>5200</v>
      </c>
      <c r="E1013" s="6">
        <v>1284</v>
      </c>
      <c r="F1013" s="6">
        <v>8843195</v>
      </c>
      <c r="G1013" s="6">
        <v>8490545</v>
      </c>
      <c r="H1013" s="6">
        <v>5758267</v>
      </c>
      <c r="I1013" s="6">
        <v>326044</v>
      </c>
      <c r="J1013" s="6">
        <v>4966485</v>
      </c>
      <c r="K1013" s="6">
        <v>388233</v>
      </c>
      <c r="L1013" s="6">
        <v>77505</v>
      </c>
      <c r="M1013" s="6">
        <v>77418</v>
      </c>
      <c r="N1013" s="6">
        <v>311189</v>
      </c>
      <c r="O1013" s="6">
        <v>778665</v>
      </c>
      <c r="P1013" s="6">
        <v>2183315</v>
      </c>
      <c r="Q1013" s="6">
        <v>1007789</v>
      </c>
      <c r="R1013" s="6">
        <v>1399891</v>
      </c>
      <c r="S1013" s="6">
        <v>2347</v>
      </c>
      <c r="T1013" s="6">
        <v>2729931</v>
      </c>
      <c r="U1013" s="6">
        <v>346944</v>
      </c>
      <c r="V1013" s="6">
        <v>-21273</v>
      </c>
      <c r="W1013" s="6">
        <v>1</v>
      </c>
      <c r="X1013" s="6">
        <v>26978</v>
      </c>
      <c r="Y1013" s="6">
        <v>28847</v>
      </c>
      <c r="Z1013" s="6">
        <v>6651</v>
      </c>
      <c r="AA1013" s="6">
        <v>2526</v>
      </c>
      <c r="AB1013" s="6">
        <v>64</v>
      </c>
      <c r="AC1013" s="6">
        <v>1361</v>
      </c>
      <c r="AD1013" s="6">
        <v>284</v>
      </c>
      <c r="AE1013" s="6">
        <v>19727</v>
      </c>
      <c r="AF1013" s="6">
        <v>34130</v>
      </c>
    </row>
    <row r="1014" spans="1:32" x14ac:dyDescent="0.35">
      <c r="A1014" s="1">
        <v>44643</v>
      </c>
      <c r="B1014" s="6">
        <v>8962474</v>
      </c>
      <c r="C1014" s="6">
        <v>11037</v>
      </c>
      <c r="D1014" s="6">
        <v>5200</v>
      </c>
      <c r="E1014" s="6">
        <v>1293</v>
      </c>
      <c r="F1014" s="6">
        <v>8849480</v>
      </c>
      <c r="G1014" s="6">
        <v>8500255</v>
      </c>
      <c r="H1014" s="6">
        <v>5759149</v>
      </c>
      <c r="I1014" s="6">
        <v>326044</v>
      </c>
      <c r="J1014" s="6">
        <v>4966485</v>
      </c>
      <c r="K1014" s="6">
        <v>388233</v>
      </c>
      <c r="L1014" s="6">
        <v>78386</v>
      </c>
      <c r="M1014" s="6">
        <v>81034</v>
      </c>
      <c r="N1014" s="6">
        <v>325999</v>
      </c>
      <c r="O1014" s="6">
        <v>760289</v>
      </c>
      <c r="P1014" s="6">
        <v>2183659</v>
      </c>
      <c r="Q1014" s="6">
        <v>1008054</v>
      </c>
      <c r="R1014" s="6">
        <v>1400114</v>
      </c>
      <c r="S1014" s="6">
        <v>2347</v>
      </c>
      <c r="T1014" s="6">
        <v>2738760</v>
      </c>
      <c r="U1014" s="6">
        <v>345896</v>
      </c>
      <c r="V1014" s="6">
        <v>-21410</v>
      </c>
      <c r="W1014" s="6">
        <v>0</v>
      </c>
      <c r="X1014" s="6">
        <v>24738</v>
      </c>
      <c r="Y1014" s="6">
        <v>28857</v>
      </c>
      <c r="Z1014" s="6">
        <v>6652</v>
      </c>
      <c r="AA1014" s="6">
        <v>2527</v>
      </c>
      <c r="AB1014" s="6">
        <v>54</v>
      </c>
      <c r="AC1014" s="6">
        <v>1293</v>
      </c>
      <c r="AD1014" s="6">
        <v>309</v>
      </c>
      <c r="AE1014" s="6">
        <v>19568</v>
      </c>
      <c r="AF1014" s="6">
        <v>36205</v>
      </c>
    </row>
    <row r="1015" spans="1:32" x14ac:dyDescent="0.35">
      <c r="A1015" s="1">
        <v>44650</v>
      </c>
      <c r="B1015" s="6">
        <v>8937142</v>
      </c>
      <c r="C1015" s="6">
        <v>11037</v>
      </c>
      <c r="D1015" s="6">
        <v>5200</v>
      </c>
      <c r="E1015" s="6">
        <v>1295</v>
      </c>
      <c r="F1015" s="6">
        <v>8824815</v>
      </c>
      <c r="G1015" s="6">
        <v>8477627</v>
      </c>
      <c r="H1015" s="6">
        <v>5760030</v>
      </c>
      <c r="I1015" s="6">
        <v>326044</v>
      </c>
      <c r="J1015" s="6">
        <v>4966485</v>
      </c>
      <c r="K1015" s="6">
        <v>388233</v>
      </c>
      <c r="L1015" s="6">
        <v>79267</v>
      </c>
      <c r="M1015" s="6">
        <v>89526</v>
      </c>
      <c r="N1015" s="6">
        <v>316195</v>
      </c>
      <c r="O1015" s="6">
        <v>761650</v>
      </c>
      <c r="P1015" s="6">
        <v>2197763</v>
      </c>
      <c r="Q1015" s="6">
        <v>994559</v>
      </c>
      <c r="R1015" s="6">
        <v>1400337</v>
      </c>
      <c r="S1015" s="6">
        <v>2347</v>
      </c>
      <c r="T1015" s="6">
        <v>2715250</v>
      </c>
      <c r="U1015" s="6">
        <v>344536</v>
      </c>
      <c r="V1015" s="6">
        <v>-21381</v>
      </c>
      <c r="W1015" s="6">
        <v>1</v>
      </c>
      <c r="X1015" s="6">
        <v>24032</v>
      </c>
      <c r="Y1015" s="6">
        <v>28866</v>
      </c>
      <c r="Z1015" s="6">
        <v>6653</v>
      </c>
      <c r="AA1015" s="6">
        <v>2527</v>
      </c>
      <c r="AB1015" s="6">
        <v>61</v>
      </c>
      <c r="AC1015" s="6">
        <v>1131</v>
      </c>
      <c r="AD1015" s="6">
        <v>231</v>
      </c>
      <c r="AE1015" s="6">
        <v>19680</v>
      </c>
      <c r="AF1015" s="6">
        <v>35648</v>
      </c>
    </row>
    <row r="1016" spans="1:32" x14ac:dyDescent="0.35">
      <c r="A1016" s="1">
        <v>44657</v>
      </c>
      <c r="B1016" s="6">
        <v>8937592</v>
      </c>
      <c r="C1016" s="6">
        <v>11037</v>
      </c>
      <c r="D1016" s="6">
        <v>5200</v>
      </c>
      <c r="E1016" s="6">
        <v>1294</v>
      </c>
      <c r="F1016" s="6">
        <v>8824730</v>
      </c>
      <c r="G1016" s="6">
        <v>8478754</v>
      </c>
      <c r="H1016" s="6">
        <v>5761052</v>
      </c>
      <c r="I1016" s="6">
        <v>326044</v>
      </c>
      <c r="J1016" s="6">
        <v>4963879</v>
      </c>
      <c r="K1016" s="6">
        <v>390840</v>
      </c>
      <c r="L1016" s="6">
        <v>80289</v>
      </c>
      <c r="M1016" s="6">
        <v>82461</v>
      </c>
      <c r="N1016" s="6">
        <v>323510</v>
      </c>
      <c r="O1016" s="6">
        <v>777154</v>
      </c>
      <c r="P1016" s="6">
        <v>2168112</v>
      </c>
      <c r="Q1016" s="6">
        <v>1006251</v>
      </c>
      <c r="R1016" s="6">
        <v>1403564</v>
      </c>
      <c r="S1016" s="6">
        <v>2347</v>
      </c>
      <c r="T1016" s="6">
        <v>2715355</v>
      </c>
      <c r="U1016" s="6">
        <v>344090</v>
      </c>
      <c r="V1016" s="6">
        <v>-21611</v>
      </c>
      <c r="W1016" s="6">
        <v>3</v>
      </c>
      <c r="X1016" s="6">
        <v>23494</v>
      </c>
      <c r="Y1016" s="6">
        <v>28876</v>
      </c>
      <c r="Z1016" s="6">
        <v>6654</v>
      </c>
      <c r="AA1016" s="6">
        <v>2511</v>
      </c>
      <c r="AB1016" s="6">
        <v>56</v>
      </c>
      <c r="AC1016" s="6">
        <v>1110</v>
      </c>
      <c r="AD1016" s="6">
        <v>366</v>
      </c>
      <c r="AE1016" s="6">
        <v>19303</v>
      </c>
      <c r="AF1016" s="6">
        <v>36456</v>
      </c>
    </row>
    <row r="1017" spans="1:32" x14ac:dyDescent="0.35">
      <c r="A1017" s="1">
        <v>44664</v>
      </c>
      <c r="B1017" s="6">
        <v>8965487</v>
      </c>
      <c r="C1017" s="6">
        <v>11037</v>
      </c>
      <c r="D1017" s="6">
        <v>5200</v>
      </c>
      <c r="E1017" s="6">
        <v>1290</v>
      </c>
      <c r="F1017" s="6">
        <v>8849548</v>
      </c>
      <c r="G1017" s="6">
        <v>8504586</v>
      </c>
      <c r="H1017" s="6">
        <v>5762054</v>
      </c>
      <c r="I1017" s="6">
        <v>326044</v>
      </c>
      <c r="J1017" s="6">
        <v>4963879</v>
      </c>
      <c r="K1017" s="6">
        <v>390840</v>
      </c>
      <c r="L1017" s="6">
        <v>81292</v>
      </c>
      <c r="M1017" s="6">
        <v>80221</v>
      </c>
      <c r="N1017" s="6">
        <v>325527</v>
      </c>
      <c r="O1017" s="6">
        <v>777433</v>
      </c>
      <c r="P1017" s="6">
        <v>2168501</v>
      </c>
      <c r="Q1017" s="6">
        <v>1006555</v>
      </c>
      <c r="R1017" s="6">
        <v>1403816</v>
      </c>
      <c r="S1017" s="6">
        <v>2347</v>
      </c>
      <c r="T1017" s="6">
        <v>2740185</v>
      </c>
      <c r="U1017" s="6">
        <v>343559</v>
      </c>
      <c r="V1017" s="6">
        <v>-21856</v>
      </c>
      <c r="W1017" s="6">
        <v>1</v>
      </c>
      <c r="X1017" s="6">
        <v>23258</v>
      </c>
      <c r="Y1017" s="6">
        <v>28886</v>
      </c>
      <c r="Z1017" s="6">
        <v>6655</v>
      </c>
      <c r="AA1017" s="6">
        <v>2512</v>
      </c>
      <c r="AB1017" s="6">
        <v>86</v>
      </c>
      <c r="AC1017" s="6">
        <v>1117</v>
      </c>
      <c r="AD1017" s="6">
        <v>233</v>
      </c>
      <c r="AE1017" s="6">
        <v>19152</v>
      </c>
      <c r="AF1017" s="6">
        <v>39773</v>
      </c>
    </row>
    <row r="1018" spans="1:32" x14ac:dyDescent="0.35">
      <c r="A1018" s="1">
        <v>44671</v>
      </c>
      <c r="B1018" s="6">
        <v>8955851</v>
      </c>
      <c r="C1018" s="6">
        <v>11037</v>
      </c>
      <c r="D1018" s="6">
        <v>5200</v>
      </c>
      <c r="E1018" s="6">
        <v>1284</v>
      </c>
      <c r="F1018" s="6">
        <v>8839783</v>
      </c>
      <c r="G1018" s="6">
        <v>8496070</v>
      </c>
      <c r="H1018" s="6">
        <v>5763035</v>
      </c>
      <c r="I1018" s="6">
        <v>326044</v>
      </c>
      <c r="J1018" s="6">
        <v>4975463</v>
      </c>
      <c r="K1018" s="6">
        <v>380862</v>
      </c>
      <c r="L1018" s="6">
        <v>80667</v>
      </c>
      <c r="M1018" s="6">
        <v>83731</v>
      </c>
      <c r="N1018" s="6">
        <v>327570</v>
      </c>
      <c r="O1018" s="6">
        <v>769484</v>
      </c>
      <c r="P1018" s="6">
        <v>2158441</v>
      </c>
      <c r="Q1018" s="6">
        <v>1016826</v>
      </c>
      <c r="R1018" s="6">
        <v>1406984</v>
      </c>
      <c r="S1018" s="6">
        <v>2347</v>
      </c>
      <c r="T1018" s="6">
        <v>2730687</v>
      </c>
      <c r="U1018" s="6">
        <v>342411</v>
      </c>
      <c r="V1018" s="6">
        <v>-23052</v>
      </c>
      <c r="W1018" s="6">
        <v>0</v>
      </c>
      <c r="X1018" s="6">
        <v>24354</v>
      </c>
      <c r="Y1018" s="6">
        <v>28476</v>
      </c>
      <c r="Z1018" s="6">
        <v>6656</v>
      </c>
      <c r="AA1018" s="6">
        <v>2512</v>
      </c>
      <c r="AB1018" s="6">
        <v>64</v>
      </c>
      <c r="AC1018" s="6">
        <v>1070</v>
      </c>
      <c r="AD1018" s="6">
        <v>237</v>
      </c>
      <c r="AE1018" s="6">
        <v>19001</v>
      </c>
      <c r="AF1018" s="6">
        <v>40530</v>
      </c>
    </row>
    <row r="1019" spans="1:32" x14ac:dyDescent="0.35">
      <c r="A1019" s="1">
        <v>44678</v>
      </c>
      <c r="B1019" s="6">
        <v>8939199</v>
      </c>
      <c r="C1019" s="6">
        <v>11037</v>
      </c>
      <c r="D1019" s="6">
        <v>5200</v>
      </c>
      <c r="E1019" s="6">
        <v>1281</v>
      </c>
      <c r="F1019" s="6">
        <v>8824041</v>
      </c>
      <c r="G1019" s="6">
        <v>8481372</v>
      </c>
      <c r="H1019" s="6">
        <v>5764013</v>
      </c>
      <c r="I1019" s="6">
        <v>326044</v>
      </c>
      <c r="J1019" s="6">
        <v>4975463</v>
      </c>
      <c r="K1019" s="6">
        <v>380862</v>
      </c>
      <c r="L1019" s="6">
        <v>81644</v>
      </c>
      <c r="M1019" s="6">
        <v>78805</v>
      </c>
      <c r="N1019" s="6">
        <v>328227</v>
      </c>
      <c r="O1019" s="6">
        <v>773813</v>
      </c>
      <c r="P1019" s="6">
        <v>2158802</v>
      </c>
      <c r="Q1019" s="6">
        <v>1017134</v>
      </c>
      <c r="R1019" s="6">
        <v>1407233</v>
      </c>
      <c r="S1019" s="6">
        <v>2347</v>
      </c>
      <c r="T1019" s="6">
        <v>2715012</v>
      </c>
      <c r="U1019" s="6">
        <v>341098</v>
      </c>
      <c r="V1019" s="6">
        <v>-23140</v>
      </c>
      <c r="W1019" s="6">
        <v>0</v>
      </c>
      <c r="X1019" s="6">
        <v>24711</v>
      </c>
      <c r="Y1019" s="6">
        <v>28486</v>
      </c>
      <c r="Z1019" s="6">
        <v>6657</v>
      </c>
      <c r="AA1019" s="6">
        <v>2513</v>
      </c>
      <c r="AB1019" s="6">
        <v>75</v>
      </c>
      <c r="AC1019" s="6">
        <v>621</v>
      </c>
      <c r="AD1019" s="6">
        <v>214</v>
      </c>
      <c r="AE1019" s="6">
        <v>18630</v>
      </c>
      <c r="AF1019" s="6">
        <v>40443</v>
      </c>
    </row>
    <row r="1020" spans="1:32" x14ac:dyDescent="0.35">
      <c r="A1020" s="1">
        <v>44685</v>
      </c>
      <c r="B1020" s="6">
        <v>8939972</v>
      </c>
      <c r="C1020" s="6">
        <v>11037</v>
      </c>
      <c r="D1020" s="6">
        <v>5200</v>
      </c>
      <c r="E1020" s="6">
        <v>1285</v>
      </c>
      <c r="F1020" s="6">
        <v>8823594</v>
      </c>
      <c r="G1020" s="6">
        <v>8482597</v>
      </c>
      <c r="H1020" s="6">
        <v>5765229</v>
      </c>
      <c r="I1020" s="6">
        <v>326044</v>
      </c>
      <c r="J1020" s="6">
        <v>4975463</v>
      </c>
      <c r="K1020" s="6">
        <v>380862</v>
      </c>
      <c r="L1020" s="6">
        <v>82861</v>
      </c>
      <c r="M1020" s="6">
        <v>131150</v>
      </c>
      <c r="N1020" s="6">
        <v>281662</v>
      </c>
      <c r="O1020" s="6">
        <v>801777</v>
      </c>
      <c r="P1020" s="6">
        <v>2123221</v>
      </c>
      <c r="Q1020" s="6">
        <v>1017659</v>
      </c>
      <c r="R1020" s="6">
        <v>1409760</v>
      </c>
      <c r="S1020" s="6">
        <v>2347</v>
      </c>
      <c r="T1020" s="6">
        <v>2715020</v>
      </c>
      <c r="U1020" s="6">
        <v>340492</v>
      </c>
      <c r="V1020" s="6">
        <v>-23400</v>
      </c>
      <c r="W1020" s="6">
        <v>1</v>
      </c>
      <c r="X1020" s="6">
        <v>23905</v>
      </c>
      <c r="Y1020" s="6">
        <v>28640</v>
      </c>
      <c r="Z1020" s="6">
        <v>6659</v>
      </c>
      <c r="AA1020" s="6">
        <v>2465</v>
      </c>
      <c r="AB1020" s="6">
        <v>63</v>
      </c>
      <c r="AC1020" s="6">
        <v>614</v>
      </c>
      <c r="AD1020" s="6">
        <v>225</v>
      </c>
      <c r="AE1020" s="6">
        <v>18533</v>
      </c>
      <c r="AF1020" s="6">
        <v>41656</v>
      </c>
    </row>
    <row r="1021" spans="1:32" x14ac:dyDescent="0.35">
      <c r="A1021" s="1">
        <v>44692</v>
      </c>
      <c r="B1021" s="6">
        <v>8942008</v>
      </c>
      <c r="C1021" s="6">
        <v>11037</v>
      </c>
      <c r="D1021" s="6">
        <v>5200</v>
      </c>
      <c r="E1021" s="6">
        <v>1284</v>
      </c>
      <c r="F1021" s="6">
        <v>8822346</v>
      </c>
      <c r="G1021" s="6">
        <v>8483993</v>
      </c>
      <c r="H1021" s="6">
        <v>5766625</v>
      </c>
      <c r="I1021" s="6">
        <v>326044</v>
      </c>
      <c r="J1021" s="6">
        <v>4975463</v>
      </c>
      <c r="K1021" s="6">
        <v>380862</v>
      </c>
      <c r="L1021" s="6">
        <v>84256</v>
      </c>
      <c r="M1021" s="6">
        <v>125895</v>
      </c>
      <c r="N1021" s="6">
        <v>286505</v>
      </c>
      <c r="O1021" s="6">
        <v>802274</v>
      </c>
      <c r="P1021" s="6">
        <v>2123737</v>
      </c>
      <c r="Q1021" s="6">
        <v>1018099</v>
      </c>
      <c r="R1021" s="6">
        <v>1410114</v>
      </c>
      <c r="S1021" s="6">
        <v>2347</v>
      </c>
      <c r="T1021" s="6">
        <v>2715021</v>
      </c>
      <c r="U1021" s="6">
        <v>339987</v>
      </c>
      <c r="V1021" s="6">
        <v>-23401</v>
      </c>
      <c r="W1021" s="6">
        <v>0</v>
      </c>
      <c r="X1021" s="6">
        <v>21766</v>
      </c>
      <c r="Y1021" s="6">
        <v>28651</v>
      </c>
      <c r="Z1021" s="6">
        <v>6660</v>
      </c>
      <c r="AA1021" s="6">
        <v>2466</v>
      </c>
      <c r="AB1021" s="6">
        <v>64</v>
      </c>
      <c r="AC1021" s="6">
        <v>620</v>
      </c>
      <c r="AD1021" s="6">
        <v>222</v>
      </c>
      <c r="AE1021" s="6">
        <v>18517</v>
      </c>
      <c r="AF1021" s="6">
        <v>44942</v>
      </c>
    </row>
    <row r="1022" spans="1:32" x14ac:dyDescent="0.35">
      <c r="A1022" s="1">
        <v>44699</v>
      </c>
      <c r="B1022" s="6">
        <v>8945898</v>
      </c>
      <c r="C1022" s="6">
        <v>11037</v>
      </c>
      <c r="D1022" s="6">
        <v>5200</v>
      </c>
      <c r="E1022" s="6">
        <v>1275</v>
      </c>
      <c r="F1022" s="6">
        <v>8840594</v>
      </c>
      <c r="G1022" s="6">
        <v>8504191</v>
      </c>
      <c r="H1022" s="6">
        <v>5768021</v>
      </c>
      <c r="I1022" s="6">
        <v>326044</v>
      </c>
      <c r="J1022" s="6">
        <v>4975463</v>
      </c>
      <c r="K1022" s="6">
        <v>380862</v>
      </c>
      <c r="L1022" s="6">
        <v>85652</v>
      </c>
      <c r="M1022" s="6">
        <v>82052</v>
      </c>
      <c r="N1022" s="6">
        <v>346689</v>
      </c>
      <c r="O1022" s="6">
        <v>768924</v>
      </c>
      <c r="P1022" s="6">
        <v>2116508</v>
      </c>
      <c r="Q1022" s="6">
        <v>1027982</v>
      </c>
      <c r="R1022" s="6">
        <v>1425865</v>
      </c>
      <c r="S1022" s="6">
        <v>2347</v>
      </c>
      <c r="T1022" s="6">
        <v>2733823</v>
      </c>
      <c r="U1022" s="6">
        <v>339307</v>
      </c>
      <c r="V1022" s="6">
        <v>-24301</v>
      </c>
      <c r="W1022" s="6">
        <v>0</v>
      </c>
      <c r="X1022" s="6">
        <v>21397</v>
      </c>
      <c r="Y1022" s="6">
        <v>28438</v>
      </c>
      <c r="Z1022" s="6">
        <v>6661</v>
      </c>
      <c r="AA1022" s="6">
        <v>2466</v>
      </c>
      <c r="AB1022" s="6">
        <v>76</v>
      </c>
      <c r="AC1022" s="6">
        <v>622</v>
      </c>
      <c r="AD1022" s="6">
        <v>219</v>
      </c>
      <c r="AE1022" s="6">
        <v>18581</v>
      </c>
      <c r="AF1022" s="6">
        <v>30729</v>
      </c>
    </row>
    <row r="1023" spans="1:32" x14ac:dyDescent="0.35">
      <c r="A1023" s="1">
        <v>44706</v>
      </c>
      <c r="B1023" s="6">
        <v>8914281</v>
      </c>
      <c r="C1023" s="6">
        <v>11037</v>
      </c>
      <c r="D1023" s="6">
        <v>5200</v>
      </c>
      <c r="E1023" s="6">
        <v>1268</v>
      </c>
      <c r="F1023" s="6">
        <v>8813630</v>
      </c>
      <c r="G1023" s="6">
        <v>8479210</v>
      </c>
      <c r="H1023" s="6">
        <v>5769417</v>
      </c>
      <c r="I1023" s="6">
        <v>326044</v>
      </c>
      <c r="J1023" s="6">
        <v>4975463</v>
      </c>
      <c r="K1023" s="6">
        <v>380862</v>
      </c>
      <c r="L1023" s="6">
        <v>87048</v>
      </c>
      <c r="M1023" s="6">
        <v>74558</v>
      </c>
      <c r="N1023" s="6">
        <v>349105</v>
      </c>
      <c r="O1023" s="6">
        <v>774087</v>
      </c>
      <c r="P1023" s="6">
        <v>2117024</v>
      </c>
      <c r="Q1023" s="6">
        <v>1028423</v>
      </c>
      <c r="R1023" s="6">
        <v>1426220</v>
      </c>
      <c r="S1023" s="6">
        <v>2347</v>
      </c>
      <c r="T1023" s="6">
        <v>2707446</v>
      </c>
      <c r="U1023" s="6">
        <v>337746</v>
      </c>
      <c r="V1023" s="6">
        <v>-24444</v>
      </c>
      <c r="W1023" s="6">
        <v>0</v>
      </c>
      <c r="X1023" s="6">
        <v>21119</v>
      </c>
      <c r="Y1023" s="6">
        <v>26665</v>
      </c>
      <c r="Z1023" s="6">
        <v>5535</v>
      </c>
      <c r="AA1023" s="6">
        <v>2288</v>
      </c>
      <c r="AB1023" s="6">
        <v>48</v>
      </c>
      <c r="AC1023" s="6">
        <v>622</v>
      </c>
      <c r="AD1023" s="6">
        <v>209</v>
      </c>
      <c r="AE1023" s="6">
        <v>18809</v>
      </c>
      <c r="AF1023" s="6">
        <v>28971</v>
      </c>
    </row>
    <row r="1024" spans="1:32" x14ac:dyDescent="0.35">
      <c r="A1024" s="1">
        <v>44713</v>
      </c>
      <c r="B1024" s="6">
        <v>8915050</v>
      </c>
      <c r="C1024" s="6">
        <v>11037</v>
      </c>
      <c r="D1024" s="6">
        <v>5200</v>
      </c>
      <c r="E1024" s="6">
        <v>1260</v>
      </c>
      <c r="F1024" s="6">
        <v>8813876</v>
      </c>
      <c r="G1024" s="6">
        <v>8480572</v>
      </c>
      <c r="H1024" s="6">
        <v>5770779</v>
      </c>
      <c r="I1024" s="6">
        <v>326044</v>
      </c>
      <c r="J1024" s="6">
        <v>4973358</v>
      </c>
      <c r="K1024" s="6">
        <v>382966</v>
      </c>
      <c r="L1024" s="6">
        <v>88410</v>
      </c>
      <c r="M1024" s="6">
        <v>67188</v>
      </c>
      <c r="N1024" s="6">
        <v>331056</v>
      </c>
      <c r="O1024" s="6">
        <v>833614</v>
      </c>
      <c r="P1024" s="6">
        <v>2083210</v>
      </c>
      <c r="Q1024" s="6">
        <v>1026609</v>
      </c>
      <c r="R1024" s="6">
        <v>1429102</v>
      </c>
      <c r="S1024" s="6">
        <v>2347</v>
      </c>
      <c r="T1024" s="6">
        <v>2707446</v>
      </c>
      <c r="U1024" s="6">
        <v>337126</v>
      </c>
      <c r="V1024" s="6">
        <v>-24487</v>
      </c>
      <c r="W1024" s="6">
        <v>0</v>
      </c>
      <c r="X1024" s="6">
        <v>20665</v>
      </c>
      <c r="Y1024" s="6">
        <v>26676</v>
      </c>
      <c r="Z1024" s="6">
        <v>5536</v>
      </c>
      <c r="AA1024" s="6">
        <v>2195</v>
      </c>
      <c r="AB1024" s="6">
        <v>144</v>
      </c>
      <c r="AC1024" s="6">
        <v>633</v>
      </c>
      <c r="AD1024" s="6">
        <v>183</v>
      </c>
      <c r="AE1024" s="6">
        <v>18660</v>
      </c>
      <c r="AF1024" s="6">
        <v>29651</v>
      </c>
    </row>
    <row r="1025" spans="1:32" x14ac:dyDescent="0.35">
      <c r="A1025" s="1">
        <v>44720</v>
      </c>
      <c r="B1025" s="6">
        <v>8918254</v>
      </c>
      <c r="C1025" s="6">
        <v>11037</v>
      </c>
      <c r="D1025" s="6">
        <v>5200</v>
      </c>
      <c r="E1025" s="6">
        <v>1256</v>
      </c>
      <c r="F1025" s="6">
        <v>8813979</v>
      </c>
      <c r="G1025" s="6">
        <v>8481186</v>
      </c>
      <c r="H1025" s="6">
        <v>5771393</v>
      </c>
      <c r="I1025" s="6">
        <v>326044</v>
      </c>
      <c r="J1025" s="6">
        <v>4973358</v>
      </c>
      <c r="K1025" s="6">
        <v>382966</v>
      </c>
      <c r="L1025" s="6">
        <v>89024</v>
      </c>
      <c r="M1025" s="6">
        <v>55157</v>
      </c>
      <c r="N1025" s="6">
        <v>369205</v>
      </c>
      <c r="O1025" s="6">
        <v>807534</v>
      </c>
      <c r="P1025" s="6">
        <v>2083436</v>
      </c>
      <c r="Q1025" s="6">
        <v>1026805</v>
      </c>
      <c r="R1025" s="6">
        <v>1429257</v>
      </c>
      <c r="S1025" s="6">
        <v>2347</v>
      </c>
      <c r="T1025" s="6">
        <v>2707446</v>
      </c>
      <c r="U1025" s="6">
        <v>336545</v>
      </c>
      <c r="V1025" s="6">
        <v>-24482</v>
      </c>
      <c r="W1025" s="6">
        <v>0</v>
      </c>
      <c r="X1025" s="6">
        <v>20731</v>
      </c>
      <c r="Y1025" s="6">
        <v>26687</v>
      </c>
      <c r="Z1025" s="6">
        <v>5537</v>
      </c>
      <c r="AA1025" s="6">
        <v>2196</v>
      </c>
      <c r="AB1025" s="6">
        <v>65</v>
      </c>
      <c r="AC1025" s="6">
        <v>615</v>
      </c>
      <c r="AD1025" s="6">
        <v>183</v>
      </c>
      <c r="AE1025" s="6">
        <v>18526</v>
      </c>
      <c r="AF1025" s="6">
        <v>32973</v>
      </c>
    </row>
    <row r="1026" spans="1:32" x14ac:dyDescent="0.35">
      <c r="A1026" s="1">
        <v>44727</v>
      </c>
      <c r="B1026" s="6">
        <v>8932420</v>
      </c>
      <c r="C1026" s="6">
        <v>11037</v>
      </c>
      <c r="D1026" s="6">
        <v>5200</v>
      </c>
      <c r="E1026" s="6">
        <v>1253</v>
      </c>
      <c r="F1026" s="6">
        <v>8826293</v>
      </c>
      <c r="G1026" s="6">
        <v>8492644</v>
      </c>
      <c r="H1026" s="6">
        <v>5762730</v>
      </c>
      <c r="I1026" s="6">
        <v>326044</v>
      </c>
      <c r="J1026" s="6">
        <v>4964082</v>
      </c>
      <c r="K1026" s="6">
        <v>382966</v>
      </c>
      <c r="L1026" s="6">
        <v>89638</v>
      </c>
      <c r="M1026" s="6">
        <v>79168</v>
      </c>
      <c r="N1026" s="6">
        <v>333462</v>
      </c>
      <c r="O1026" s="6">
        <v>816561</v>
      </c>
      <c r="P1026" s="6">
        <v>2074069</v>
      </c>
      <c r="Q1026" s="6">
        <v>1028941</v>
      </c>
      <c r="R1026" s="6">
        <v>1430529</v>
      </c>
      <c r="S1026" s="6">
        <v>2347</v>
      </c>
      <c r="T1026" s="6">
        <v>2727567</v>
      </c>
      <c r="U1026" s="6">
        <v>335858</v>
      </c>
      <c r="V1026" s="6">
        <v>-24867</v>
      </c>
      <c r="W1026" s="6">
        <v>0</v>
      </c>
      <c r="X1026" s="6">
        <v>22658</v>
      </c>
      <c r="Y1026" s="6">
        <v>26363</v>
      </c>
      <c r="Z1026" s="6">
        <v>5538</v>
      </c>
      <c r="AA1026" s="6">
        <v>2196</v>
      </c>
      <c r="AB1026" s="6">
        <v>62</v>
      </c>
      <c r="AC1026" s="6">
        <v>620</v>
      </c>
      <c r="AD1026" s="6">
        <v>199</v>
      </c>
      <c r="AE1026" s="6">
        <v>18124</v>
      </c>
      <c r="AF1026" s="6">
        <v>35535</v>
      </c>
    </row>
    <row r="1027" spans="1:32" x14ac:dyDescent="0.35">
      <c r="A1027" s="1">
        <v>44734</v>
      </c>
      <c r="B1027" s="6">
        <v>8934346</v>
      </c>
      <c r="C1027" s="6">
        <v>11037</v>
      </c>
      <c r="D1027" s="6">
        <v>5200</v>
      </c>
      <c r="E1027" s="6">
        <v>1254</v>
      </c>
      <c r="F1027" s="6">
        <v>8826036</v>
      </c>
      <c r="G1027" s="6">
        <v>8494506</v>
      </c>
      <c r="H1027" s="6">
        <v>5763344</v>
      </c>
      <c r="I1027" s="6">
        <v>326044</v>
      </c>
      <c r="J1027" s="6">
        <v>4964082</v>
      </c>
      <c r="K1027" s="6">
        <v>382966</v>
      </c>
      <c r="L1027" s="6">
        <v>90251</v>
      </c>
      <c r="M1027" s="6">
        <v>80281</v>
      </c>
      <c r="N1027" s="6">
        <v>338185</v>
      </c>
      <c r="O1027" s="6">
        <v>810763</v>
      </c>
      <c r="P1027" s="6">
        <v>2074295</v>
      </c>
      <c r="Q1027" s="6">
        <v>1029136</v>
      </c>
      <c r="R1027" s="6">
        <v>1430684</v>
      </c>
      <c r="S1027" s="6">
        <v>2347</v>
      </c>
      <c r="T1027" s="6">
        <v>2728815</v>
      </c>
      <c r="U1027" s="6">
        <v>334904</v>
      </c>
      <c r="V1027" s="6">
        <v>-25152</v>
      </c>
      <c r="W1027" s="6">
        <v>0</v>
      </c>
      <c r="X1027" s="6">
        <v>21778</v>
      </c>
      <c r="Y1027" s="6">
        <v>26374</v>
      </c>
      <c r="Z1027" s="6">
        <v>5540</v>
      </c>
      <c r="AA1027" s="6">
        <v>2197</v>
      </c>
      <c r="AB1027" s="6">
        <v>87</v>
      </c>
      <c r="AC1027" s="6">
        <v>618</v>
      </c>
      <c r="AD1027" s="6">
        <v>197</v>
      </c>
      <c r="AE1027" s="6">
        <v>18254</v>
      </c>
      <c r="AF1027" s="6">
        <v>37553</v>
      </c>
    </row>
    <row r="1028" spans="1:32" x14ac:dyDescent="0.35">
      <c r="A1028" s="1">
        <v>44741</v>
      </c>
      <c r="B1028" s="6">
        <v>8913553</v>
      </c>
      <c r="C1028" s="6">
        <v>11037</v>
      </c>
      <c r="D1028" s="6">
        <v>5200</v>
      </c>
      <c r="E1028" s="6">
        <v>1248</v>
      </c>
      <c r="F1028" s="6">
        <v>8805940</v>
      </c>
      <c r="G1028" s="6">
        <v>8475608</v>
      </c>
      <c r="H1028" s="6">
        <v>5763933</v>
      </c>
      <c r="I1028" s="6">
        <v>326044</v>
      </c>
      <c r="J1028" s="6">
        <v>4964057</v>
      </c>
      <c r="K1028" s="6">
        <v>382966</v>
      </c>
      <c r="L1028" s="6">
        <v>90865</v>
      </c>
      <c r="M1028" s="6">
        <v>93370</v>
      </c>
      <c r="N1028" s="6">
        <v>325023</v>
      </c>
      <c r="O1028" s="6">
        <v>810874</v>
      </c>
      <c r="P1028" s="6">
        <v>2084018</v>
      </c>
      <c r="Q1028" s="6">
        <v>1019834</v>
      </c>
      <c r="R1028" s="6">
        <v>1430814</v>
      </c>
      <c r="S1028" s="6">
        <v>2347</v>
      </c>
      <c r="T1028" s="6">
        <v>2709328</v>
      </c>
      <c r="U1028" s="6">
        <v>333711</v>
      </c>
      <c r="V1028" s="6">
        <v>-25082</v>
      </c>
      <c r="W1028" s="6">
        <v>1</v>
      </c>
      <c r="X1028" s="6">
        <v>21702</v>
      </c>
      <c r="Y1028" s="6">
        <v>26387</v>
      </c>
      <c r="Z1028" s="6">
        <v>5541</v>
      </c>
      <c r="AA1028" s="6">
        <v>2198</v>
      </c>
      <c r="AB1028" s="6">
        <v>52</v>
      </c>
      <c r="AC1028" s="6">
        <v>621</v>
      </c>
      <c r="AD1028" s="6">
        <v>184</v>
      </c>
      <c r="AE1028" s="6">
        <v>18117</v>
      </c>
      <c r="AF1028" s="6">
        <v>37028</v>
      </c>
    </row>
    <row r="1029" spans="1:32" x14ac:dyDescent="0.35">
      <c r="A1029" s="1">
        <v>44748</v>
      </c>
      <c r="B1029" s="6">
        <v>8891851</v>
      </c>
      <c r="C1029" s="6">
        <v>11037</v>
      </c>
      <c r="D1029" s="6">
        <v>5200</v>
      </c>
      <c r="E1029" s="6">
        <v>1240</v>
      </c>
      <c r="F1029" s="6">
        <v>8783356</v>
      </c>
      <c r="G1029" s="6">
        <v>8456027</v>
      </c>
      <c r="H1029" s="6">
        <v>5744344</v>
      </c>
      <c r="I1029" s="6">
        <v>326044</v>
      </c>
      <c r="J1029" s="6">
        <v>4941958</v>
      </c>
      <c r="K1029" s="6">
        <v>384342</v>
      </c>
      <c r="L1029" s="6">
        <v>92000</v>
      </c>
      <c r="M1029" s="6">
        <v>82799</v>
      </c>
      <c r="N1029" s="6">
        <v>335728</v>
      </c>
      <c r="O1029" s="6">
        <v>813570</v>
      </c>
      <c r="P1029" s="6">
        <v>2056844</v>
      </c>
      <c r="Q1029" s="6">
        <v>1023242</v>
      </c>
      <c r="R1029" s="6">
        <v>1432162</v>
      </c>
      <c r="S1029" s="6">
        <v>2347</v>
      </c>
      <c r="T1029" s="6">
        <v>2709336</v>
      </c>
      <c r="U1029" s="6">
        <v>333109</v>
      </c>
      <c r="V1029" s="6">
        <v>-25183</v>
      </c>
      <c r="W1029" s="6">
        <v>0</v>
      </c>
      <c r="X1029" s="6">
        <v>19403</v>
      </c>
      <c r="Y1029" s="6">
        <v>26401</v>
      </c>
      <c r="Z1029" s="6">
        <v>5543</v>
      </c>
      <c r="AA1029" s="6">
        <v>2179</v>
      </c>
      <c r="AB1029" s="6">
        <v>99</v>
      </c>
      <c r="AC1029" s="6">
        <v>610</v>
      </c>
      <c r="AD1029" s="6">
        <v>347</v>
      </c>
      <c r="AE1029" s="6">
        <v>17833</v>
      </c>
      <c r="AF1029" s="6">
        <v>38007</v>
      </c>
    </row>
    <row r="1030" spans="1:32" x14ac:dyDescent="0.35">
      <c r="A1030" s="1">
        <v>44755</v>
      </c>
      <c r="B1030" s="6">
        <v>8895867</v>
      </c>
      <c r="C1030" s="6">
        <v>11037</v>
      </c>
      <c r="D1030" s="6">
        <v>5200</v>
      </c>
      <c r="E1030" s="6">
        <v>1252</v>
      </c>
      <c r="F1030" s="6">
        <v>8784378</v>
      </c>
      <c r="G1030" s="6">
        <v>8457212</v>
      </c>
      <c r="H1030" s="6">
        <v>5745528</v>
      </c>
      <c r="I1030" s="6">
        <v>326044</v>
      </c>
      <c r="J1030" s="6">
        <v>4941958</v>
      </c>
      <c r="K1030" s="6">
        <v>384342</v>
      </c>
      <c r="L1030" s="6">
        <v>93184</v>
      </c>
      <c r="M1030" s="6">
        <v>81810</v>
      </c>
      <c r="N1030" s="6">
        <v>342128</v>
      </c>
      <c r="O1030" s="6">
        <v>808230</v>
      </c>
      <c r="P1030" s="6">
        <v>2057281</v>
      </c>
      <c r="Q1030" s="6">
        <v>1023618</v>
      </c>
      <c r="R1030" s="6">
        <v>1432461</v>
      </c>
      <c r="S1030" s="6">
        <v>2347</v>
      </c>
      <c r="T1030" s="6">
        <v>2709337</v>
      </c>
      <c r="U1030" s="6">
        <v>332587</v>
      </c>
      <c r="V1030" s="6">
        <v>-25203</v>
      </c>
      <c r="W1030" s="6">
        <v>2</v>
      </c>
      <c r="X1030" s="6">
        <v>19781</v>
      </c>
      <c r="Y1030" s="6">
        <v>26414</v>
      </c>
      <c r="Z1030" s="6">
        <v>5544</v>
      </c>
      <c r="AA1030" s="6">
        <v>2180</v>
      </c>
      <c r="AB1030" s="6">
        <v>71</v>
      </c>
      <c r="AC1030" s="6">
        <v>607</v>
      </c>
      <c r="AD1030" s="6">
        <v>185</v>
      </c>
      <c r="AE1030" s="6">
        <v>17647</v>
      </c>
      <c r="AF1030" s="6">
        <v>41353</v>
      </c>
    </row>
    <row r="1031" spans="1:32" x14ac:dyDescent="0.35">
      <c r="A1031" s="1">
        <v>44762</v>
      </c>
      <c r="B1031" s="6">
        <v>8899213</v>
      </c>
      <c r="C1031" s="6">
        <v>11037</v>
      </c>
      <c r="D1031" s="6">
        <v>5200</v>
      </c>
      <c r="E1031" s="6">
        <v>1266</v>
      </c>
      <c r="F1031" s="6">
        <v>8787540</v>
      </c>
      <c r="G1031" s="6">
        <v>8461636</v>
      </c>
      <c r="H1031" s="6">
        <v>5733027</v>
      </c>
      <c r="I1031" s="6">
        <v>326044</v>
      </c>
      <c r="J1031" s="6">
        <v>4940459</v>
      </c>
      <c r="K1031" s="6">
        <v>374719</v>
      </c>
      <c r="L1031" s="6">
        <v>91806</v>
      </c>
      <c r="M1031" s="6">
        <v>85856</v>
      </c>
      <c r="N1031" s="6">
        <v>322875</v>
      </c>
      <c r="O1031" s="6">
        <v>816212</v>
      </c>
      <c r="P1031" s="6">
        <v>2053774</v>
      </c>
      <c r="Q1031" s="6">
        <v>1019129</v>
      </c>
      <c r="R1031" s="6">
        <v>1435181</v>
      </c>
      <c r="S1031" s="6">
        <v>2347</v>
      </c>
      <c r="T1031" s="6">
        <v>2726261</v>
      </c>
      <c r="U1031" s="6">
        <v>331733</v>
      </c>
      <c r="V1031" s="6">
        <v>-25759</v>
      </c>
      <c r="W1031" s="6">
        <v>0</v>
      </c>
      <c r="X1031" s="6">
        <v>19930</v>
      </c>
      <c r="Y1031" s="6">
        <v>26038</v>
      </c>
      <c r="Z1031" s="6">
        <v>5546</v>
      </c>
      <c r="AA1031" s="6">
        <v>2181</v>
      </c>
      <c r="AB1031" s="6">
        <v>65</v>
      </c>
      <c r="AC1031" s="6">
        <v>609</v>
      </c>
      <c r="AD1031" s="6">
        <v>195</v>
      </c>
      <c r="AE1031" s="6">
        <v>17753</v>
      </c>
      <c r="AF1031" s="6">
        <v>41785</v>
      </c>
    </row>
    <row r="1032" spans="1:32" x14ac:dyDescent="0.35">
      <c r="A1032" s="1">
        <v>44769</v>
      </c>
      <c r="B1032" s="6">
        <v>8890004</v>
      </c>
      <c r="C1032" s="6">
        <v>11037</v>
      </c>
      <c r="D1032" s="6">
        <v>5200</v>
      </c>
      <c r="E1032" s="6">
        <v>1276</v>
      </c>
      <c r="F1032" s="6">
        <v>8778904</v>
      </c>
      <c r="G1032" s="6">
        <v>8453907</v>
      </c>
      <c r="H1032" s="6">
        <v>5734180</v>
      </c>
      <c r="I1032" s="6">
        <v>326044</v>
      </c>
      <c r="J1032" s="6">
        <v>4940459</v>
      </c>
      <c r="K1032" s="6">
        <v>374719</v>
      </c>
      <c r="L1032" s="6">
        <v>92959</v>
      </c>
      <c r="M1032" s="6">
        <v>87825</v>
      </c>
      <c r="N1032" s="6">
        <v>321128</v>
      </c>
      <c r="O1032" s="6">
        <v>816043</v>
      </c>
      <c r="P1032" s="6">
        <v>2054223</v>
      </c>
      <c r="Q1032" s="6">
        <v>1019483</v>
      </c>
      <c r="R1032" s="6">
        <v>1435479</v>
      </c>
      <c r="S1032" s="6">
        <v>2347</v>
      </c>
      <c r="T1032" s="6">
        <v>2717379</v>
      </c>
      <c r="U1032" s="6">
        <v>330669</v>
      </c>
      <c r="V1032" s="6">
        <v>-25851</v>
      </c>
      <c r="W1032" s="6">
        <v>1</v>
      </c>
      <c r="X1032" s="6">
        <v>20178</v>
      </c>
      <c r="Y1032" s="6">
        <v>26053</v>
      </c>
      <c r="Z1032" s="6">
        <v>5547</v>
      </c>
      <c r="AA1032" s="6">
        <v>2182</v>
      </c>
      <c r="AB1032" s="6">
        <v>58</v>
      </c>
      <c r="AC1032" s="6">
        <v>616</v>
      </c>
      <c r="AD1032" s="6">
        <v>206</v>
      </c>
      <c r="AE1032" s="6">
        <v>17676</v>
      </c>
      <c r="AF1032" s="6">
        <v>41249</v>
      </c>
    </row>
    <row r="1033" spans="1:32" x14ac:dyDescent="0.35">
      <c r="A1033" s="1">
        <v>44776</v>
      </c>
      <c r="B1033" s="6">
        <v>8874620</v>
      </c>
      <c r="C1033" s="6">
        <v>11037</v>
      </c>
      <c r="D1033" s="6">
        <v>5200</v>
      </c>
      <c r="E1033" s="6">
        <v>1283</v>
      </c>
      <c r="F1033" s="6">
        <v>8762037</v>
      </c>
      <c r="G1033" s="6">
        <v>8439018</v>
      </c>
      <c r="H1033" s="6">
        <v>5719119</v>
      </c>
      <c r="I1033" s="6">
        <v>326044</v>
      </c>
      <c r="J1033" s="6">
        <v>4924116</v>
      </c>
      <c r="K1033" s="6">
        <v>374719</v>
      </c>
      <c r="L1033" s="6">
        <v>94240</v>
      </c>
      <c r="M1033" s="6">
        <v>140902</v>
      </c>
      <c r="N1033" s="6">
        <v>269234</v>
      </c>
      <c r="O1033" s="6">
        <v>815460</v>
      </c>
      <c r="P1033" s="6">
        <v>2038765</v>
      </c>
      <c r="Q1033" s="6">
        <v>1017734</v>
      </c>
      <c r="R1033" s="6">
        <v>1437025</v>
      </c>
      <c r="S1033" s="6">
        <v>2347</v>
      </c>
      <c r="T1033" s="6">
        <v>2717552</v>
      </c>
      <c r="U1033" s="6">
        <v>330094</v>
      </c>
      <c r="V1033" s="6">
        <v>-25938</v>
      </c>
      <c r="W1033" s="6">
        <v>0</v>
      </c>
      <c r="X1033" s="6">
        <v>18862</v>
      </c>
      <c r="Y1033" s="6">
        <v>26138</v>
      </c>
      <c r="Z1033" s="6">
        <v>5549</v>
      </c>
      <c r="AA1033" s="6">
        <v>2157</v>
      </c>
      <c r="AB1033" s="6">
        <v>53</v>
      </c>
      <c r="AC1033" s="6">
        <v>600</v>
      </c>
      <c r="AD1033" s="6">
        <v>213</v>
      </c>
      <c r="AE1033" s="6">
        <v>17877</v>
      </c>
      <c r="AF1033" s="6">
        <v>42478</v>
      </c>
    </row>
    <row r="1034" spans="1:32" x14ac:dyDescent="0.35">
      <c r="A1034" s="1">
        <v>44783</v>
      </c>
      <c r="B1034" s="6">
        <v>8879138</v>
      </c>
      <c r="C1034" s="6">
        <v>11037</v>
      </c>
      <c r="D1034" s="6">
        <v>5200</v>
      </c>
      <c r="E1034" s="6">
        <v>1295</v>
      </c>
      <c r="F1034" s="6">
        <v>8762880</v>
      </c>
      <c r="G1034" s="6">
        <v>8440487</v>
      </c>
      <c r="H1034" s="6">
        <v>5720572</v>
      </c>
      <c r="I1034" s="6">
        <v>326044</v>
      </c>
      <c r="J1034" s="6">
        <v>4924116</v>
      </c>
      <c r="K1034" s="6">
        <v>374719</v>
      </c>
      <c r="L1034" s="6">
        <v>95692</v>
      </c>
      <c r="M1034" s="6">
        <v>136625</v>
      </c>
      <c r="N1034" s="6">
        <v>279513</v>
      </c>
      <c r="O1034" s="6">
        <v>809524</v>
      </c>
      <c r="P1034" s="6">
        <v>2039330</v>
      </c>
      <c r="Q1034" s="6">
        <v>1018180</v>
      </c>
      <c r="R1034" s="6">
        <v>1437400</v>
      </c>
      <c r="S1034" s="6">
        <v>2347</v>
      </c>
      <c r="T1034" s="6">
        <v>2717568</v>
      </c>
      <c r="U1034" s="6">
        <v>329600</v>
      </c>
      <c r="V1034" s="6">
        <v>-25962</v>
      </c>
      <c r="W1034" s="6">
        <v>0</v>
      </c>
      <c r="X1034" s="6">
        <v>18755</v>
      </c>
      <c r="Y1034" s="6">
        <v>26154</v>
      </c>
      <c r="Z1034" s="6">
        <v>5551</v>
      </c>
      <c r="AA1034" s="6">
        <v>2158</v>
      </c>
      <c r="AB1034" s="6">
        <v>64</v>
      </c>
      <c r="AC1034" s="6">
        <v>607</v>
      </c>
      <c r="AD1034" s="6">
        <v>191</v>
      </c>
      <c r="AE1034" s="6">
        <v>18165</v>
      </c>
      <c r="AF1034" s="6">
        <v>45836</v>
      </c>
    </row>
    <row r="1035" spans="1:32" x14ac:dyDescent="0.35">
      <c r="A1035" s="1">
        <v>44790</v>
      </c>
      <c r="B1035" s="6">
        <v>8849762</v>
      </c>
      <c r="C1035" s="6">
        <v>11037</v>
      </c>
      <c r="D1035" s="6">
        <v>5200</v>
      </c>
      <c r="E1035" s="6">
        <v>1300</v>
      </c>
      <c r="F1035" s="6">
        <v>8749703</v>
      </c>
      <c r="G1035" s="6">
        <v>8428995</v>
      </c>
      <c r="H1035" s="6">
        <v>5699175</v>
      </c>
      <c r="I1035" s="6">
        <v>326044</v>
      </c>
      <c r="J1035" s="6">
        <v>4901267</v>
      </c>
      <c r="K1035" s="6">
        <v>374719</v>
      </c>
      <c r="L1035" s="6">
        <v>97145</v>
      </c>
      <c r="M1035" s="6">
        <v>78277</v>
      </c>
      <c r="N1035" s="6">
        <v>323810</v>
      </c>
      <c r="O1035" s="6">
        <v>819992</v>
      </c>
      <c r="P1035" s="6">
        <v>2017163</v>
      </c>
      <c r="Q1035" s="6">
        <v>986738</v>
      </c>
      <c r="R1035" s="6">
        <v>1473195</v>
      </c>
      <c r="S1035" s="6">
        <v>2347</v>
      </c>
      <c r="T1035" s="6">
        <v>2727473</v>
      </c>
      <c r="U1035" s="6">
        <v>329026</v>
      </c>
      <c r="V1035" s="6">
        <v>-26492</v>
      </c>
      <c r="W1035" s="6">
        <v>0</v>
      </c>
      <c r="X1035" s="6">
        <v>18174</v>
      </c>
      <c r="Y1035" s="6">
        <v>25902</v>
      </c>
      <c r="Z1035" s="6">
        <v>5552</v>
      </c>
      <c r="AA1035" s="6">
        <v>2159</v>
      </c>
      <c r="AB1035" s="6">
        <v>49</v>
      </c>
      <c r="AC1035" s="6">
        <v>612</v>
      </c>
      <c r="AD1035" s="6">
        <v>189</v>
      </c>
      <c r="AE1035" s="6">
        <v>17831</v>
      </c>
      <c r="AF1035" s="6">
        <v>30230</v>
      </c>
    </row>
    <row r="1036" spans="1:32" x14ac:dyDescent="0.35">
      <c r="A1036" s="1">
        <v>44797</v>
      </c>
      <c r="B1036" s="6">
        <v>8851436</v>
      </c>
      <c r="C1036" s="6">
        <v>11037</v>
      </c>
      <c r="D1036" s="6">
        <v>5200</v>
      </c>
      <c r="E1036" s="6">
        <v>1297</v>
      </c>
      <c r="F1036" s="6">
        <v>8749423</v>
      </c>
      <c r="G1036" s="6">
        <v>8428881</v>
      </c>
      <c r="H1036" s="6">
        <v>5700628</v>
      </c>
      <c r="I1036" s="6">
        <v>326044</v>
      </c>
      <c r="J1036" s="6">
        <v>4901267</v>
      </c>
      <c r="K1036" s="6">
        <v>374719</v>
      </c>
      <c r="L1036" s="6">
        <v>98598</v>
      </c>
      <c r="M1036" s="6">
        <v>78233</v>
      </c>
      <c r="N1036" s="6">
        <v>324425</v>
      </c>
      <c r="O1036" s="6">
        <v>819487</v>
      </c>
      <c r="P1036" s="6">
        <v>2017728</v>
      </c>
      <c r="Q1036" s="6">
        <v>1009321</v>
      </c>
      <c r="R1036" s="6">
        <v>1451434</v>
      </c>
      <c r="S1036" s="6">
        <v>2347</v>
      </c>
      <c r="T1036" s="6">
        <v>2725906</v>
      </c>
      <c r="U1036" s="6">
        <v>328253</v>
      </c>
      <c r="V1036" s="6">
        <v>-26514</v>
      </c>
      <c r="W1036" s="6">
        <v>0</v>
      </c>
      <c r="X1036" s="6">
        <v>18803</v>
      </c>
      <c r="Y1036" s="6">
        <v>25917</v>
      </c>
      <c r="Z1036" s="6">
        <v>5554</v>
      </c>
      <c r="AA1036" s="6">
        <v>2160</v>
      </c>
      <c r="AB1036" s="6">
        <v>46</v>
      </c>
      <c r="AC1036" s="6">
        <v>610</v>
      </c>
      <c r="AD1036" s="6">
        <v>166</v>
      </c>
      <c r="AE1036" s="6">
        <v>17543</v>
      </c>
      <c r="AF1036" s="6">
        <v>32484</v>
      </c>
    </row>
    <row r="1037" spans="1:32" x14ac:dyDescent="0.35">
      <c r="A1037" s="1">
        <v>44804</v>
      </c>
      <c r="B1037" s="6">
        <v>8826093</v>
      </c>
      <c r="C1037" s="6">
        <v>11037</v>
      </c>
      <c r="D1037" s="6">
        <v>5200</v>
      </c>
      <c r="E1037" s="6">
        <v>1282</v>
      </c>
      <c r="F1037" s="6">
        <v>8727419</v>
      </c>
      <c r="G1037" s="6">
        <v>8406632</v>
      </c>
      <c r="H1037" s="6">
        <v>5694997</v>
      </c>
      <c r="I1037" s="6">
        <v>326044</v>
      </c>
      <c r="J1037" s="6">
        <v>4893074</v>
      </c>
      <c r="K1037" s="6">
        <v>375761</v>
      </c>
      <c r="L1037" s="6">
        <v>100118</v>
      </c>
      <c r="M1037" s="6">
        <v>59696</v>
      </c>
      <c r="N1037" s="6">
        <v>317001</v>
      </c>
      <c r="O1037" s="6">
        <v>852012</v>
      </c>
      <c r="P1037" s="6">
        <v>2010480</v>
      </c>
      <c r="Q1037" s="6">
        <v>1000936</v>
      </c>
      <c r="R1037" s="6">
        <v>1454871</v>
      </c>
      <c r="S1037" s="6">
        <v>2347</v>
      </c>
      <c r="T1037" s="6">
        <v>2709288</v>
      </c>
      <c r="U1037" s="6">
        <v>327261</v>
      </c>
      <c r="V1037" s="6">
        <v>-26740</v>
      </c>
      <c r="W1037" s="6">
        <v>0</v>
      </c>
      <c r="X1037" s="6">
        <v>20266</v>
      </c>
      <c r="Y1037" s="6">
        <v>25933</v>
      </c>
      <c r="Z1037" s="6">
        <v>5556</v>
      </c>
      <c r="AA1037" s="6">
        <v>2144</v>
      </c>
      <c r="AB1037" s="6">
        <v>63</v>
      </c>
      <c r="AC1037" s="6">
        <v>611</v>
      </c>
      <c r="AD1037" s="6">
        <v>171</v>
      </c>
      <c r="AE1037" s="6">
        <v>17575</v>
      </c>
      <c r="AF1037" s="6">
        <v>29102</v>
      </c>
    </row>
    <row r="1038" spans="1:32" x14ac:dyDescent="0.35">
      <c r="A1038" s="1">
        <v>44811</v>
      </c>
      <c r="B1038" s="6">
        <v>8822401</v>
      </c>
      <c r="C1038" s="6">
        <v>11037</v>
      </c>
      <c r="D1038" s="6">
        <v>5200</v>
      </c>
      <c r="E1038" s="6">
        <v>1257</v>
      </c>
      <c r="F1038" s="6">
        <v>8720731</v>
      </c>
      <c r="G1038" s="6">
        <v>8402399</v>
      </c>
      <c r="H1038" s="6">
        <v>5690760</v>
      </c>
      <c r="I1038" s="6">
        <v>321820</v>
      </c>
      <c r="J1038" s="6">
        <v>4893074</v>
      </c>
      <c r="K1038" s="6">
        <v>375761</v>
      </c>
      <c r="L1038" s="6">
        <v>100105</v>
      </c>
      <c r="M1038" s="6">
        <v>48969</v>
      </c>
      <c r="N1038" s="6">
        <v>366228</v>
      </c>
      <c r="O1038" s="6">
        <v>809289</v>
      </c>
      <c r="P1038" s="6">
        <v>2010475</v>
      </c>
      <c r="Q1038" s="6">
        <v>1000932</v>
      </c>
      <c r="R1038" s="6">
        <v>1454868</v>
      </c>
      <c r="S1038" s="6">
        <v>2347</v>
      </c>
      <c r="T1038" s="6">
        <v>2709291</v>
      </c>
      <c r="U1038" s="6">
        <v>326584</v>
      </c>
      <c r="V1038" s="6">
        <v>-26723</v>
      </c>
      <c r="W1038" s="6">
        <v>5</v>
      </c>
      <c r="X1038" s="6">
        <v>18467</v>
      </c>
      <c r="Y1038" s="6">
        <v>25950</v>
      </c>
      <c r="Z1038" s="6">
        <v>5558</v>
      </c>
      <c r="AA1038" s="6">
        <v>2145</v>
      </c>
      <c r="AB1038" s="6">
        <v>76</v>
      </c>
      <c r="AC1038" s="6">
        <v>600</v>
      </c>
      <c r="AD1038" s="6">
        <v>197</v>
      </c>
      <c r="AE1038" s="6">
        <v>17162</v>
      </c>
      <c r="AF1038" s="6">
        <v>32490</v>
      </c>
    </row>
    <row r="1039" spans="1:32" x14ac:dyDescent="0.35">
      <c r="A1039" s="1">
        <v>44818</v>
      </c>
      <c r="B1039" s="6">
        <v>8832759</v>
      </c>
      <c r="C1039" s="6">
        <v>11037</v>
      </c>
      <c r="D1039" s="6">
        <v>5200</v>
      </c>
      <c r="E1039" s="6">
        <v>1244</v>
      </c>
      <c r="F1039" s="6">
        <v>8727796</v>
      </c>
      <c r="G1039" s="6">
        <v>8407904</v>
      </c>
      <c r="H1039" s="6">
        <v>5687031</v>
      </c>
      <c r="I1039" s="6">
        <v>318105</v>
      </c>
      <c r="J1039" s="6">
        <v>4893074</v>
      </c>
      <c r="K1039" s="6">
        <v>375761</v>
      </c>
      <c r="L1039" s="6">
        <v>100091</v>
      </c>
      <c r="M1039" s="6">
        <v>52038</v>
      </c>
      <c r="N1039" s="6">
        <v>358104</v>
      </c>
      <c r="O1039" s="6">
        <v>810627</v>
      </c>
      <c r="P1039" s="6">
        <v>2010470</v>
      </c>
      <c r="Q1039" s="6">
        <v>1000928</v>
      </c>
      <c r="R1039" s="6">
        <v>1454864</v>
      </c>
      <c r="S1039" s="6">
        <v>2347</v>
      </c>
      <c r="T1039" s="6">
        <v>2718526</v>
      </c>
      <c r="U1039" s="6">
        <v>326059</v>
      </c>
      <c r="V1039" s="6">
        <v>-26773</v>
      </c>
      <c r="W1039" s="6">
        <v>0</v>
      </c>
      <c r="X1039" s="6">
        <v>20606</v>
      </c>
      <c r="Y1039" s="6">
        <v>25969</v>
      </c>
      <c r="Z1039" s="6">
        <v>5559</v>
      </c>
      <c r="AA1039" s="6">
        <v>2146</v>
      </c>
      <c r="AB1039" s="6">
        <v>49</v>
      </c>
      <c r="AC1039" s="6">
        <v>606</v>
      </c>
      <c r="AD1039" s="6">
        <v>203</v>
      </c>
      <c r="AE1039" s="6">
        <v>17282</v>
      </c>
      <c r="AF1039" s="6">
        <v>35667</v>
      </c>
    </row>
    <row r="1040" spans="1:32" x14ac:dyDescent="0.35">
      <c r="A1040" s="1">
        <v>44825</v>
      </c>
      <c r="B1040" s="6">
        <v>8816802</v>
      </c>
      <c r="C1040" s="6">
        <v>11037</v>
      </c>
      <c r="D1040" s="6">
        <v>5200</v>
      </c>
      <c r="E1040" s="6">
        <v>1238</v>
      </c>
      <c r="F1040" s="6">
        <v>8710703</v>
      </c>
      <c r="G1040" s="6">
        <v>8391153</v>
      </c>
      <c r="H1040" s="6">
        <v>5673919</v>
      </c>
      <c r="I1040" s="6">
        <v>314792</v>
      </c>
      <c r="J1040" s="6">
        <v>4883288</v>
      </c>
      <c r="K1040" s="6">
        <v>375761</v>
      </c>
      <c r="L1040" s="6">
        <v>100078</v>
      </c>
      <c r="M1040" s="6">
        <v>85002</v>
      </c>
      <c r="N1040" s="6">
        <v>325495</v>
      </c>
      <c r="O1040" s="6">
        <v>814092</v>
      </c>
      <c r="P1040" s="6">
        <v>1993545</v>
      </c>
      <c r="Q1040" s="6">
        <v>1000924</v>
      </c>
      <c r="R1040" s="6">
        <v>1454861</v>
      </c>
      <c r="S1040" s="6">
        <v>2347</v>
      </c>
      <c r="T1040" s="6">
        <v>2714887</v>
      </c>
      <c r="U1040" s="6">
        <v>325140</v>
      </c>
      <c r="V1040" s="6">
        <v>-26714</v>
      </c>
      <c r="W1040" s="6">
        <v>0</v>
      </c>
      <c r="X1040" s="6">
        <v>21124</v>
      </c>
      <c r="Y1040" s="6">
        <v>25687</v>
      </c>
      <c r="Z1040" s="6">
        <v>5561</v>
      </c>
      <c r="AA1040" s="6">
        <v>2148</v>
      </c>
      <c r="AB1040" s="6">
        <v>80</v>
      </c>
      <c r="AC1040" s="6">
        <v>610</v>
      </c>
      <c r="AD1040" s="6">
        <v>273</v>
      </c>
      <c r="AE1040" s="6">
        <v>17107</v>
      </c>
      <c r="AF1040" s="6">
        <v>37157</v>
      </c>
    </row>
    <row r="1041" spans="1:32" x14ac:dyDescent="0.35">
      <c r="A1041" s="1">
        <v>44832</v>
      </c>
      <c r="B1041" s="6">
        <v>8795567</v>
      </c>
      <c r="C1041" s="6">
        <v>11037</v>
      </c>
      <c r="D1041" s="6">
        <v>5200</v>
      </c>
      <c r="E1041" s="6">
        <v>1222</v>
      </c>
      <c r="F1041" s="6">
        <v>8690368</v>
      </c>
      <c r="G1041" s="6">
        <v>8372353</v>
      </c>
      <c r="H1041" s="6">
        <v>5671848</v>
      </c>
      <c r="I1041" s="6">
        <v>312734</v>
      </c>
      <c r="J1041" s="6">
        <v>4883288</v>
      </c>
      <c r="K1041" s="6">
        <v>375761</v>
      </c>
      <c r="L1041" s="6">
        <v>100065</v>
      </c>
      <c r="M1041" s="6">
        <v>92355</v>
      </c>
      <c r="N1041" s="6">
        <v>316644</v>
      </c>
      <c r="O1041" s="6">
        <v>813531</v>
      </c>
      <c r="P1041" s="6">
        <v>1993540</v>
      </c>
      <c r="Q1041" s="6">
        <v>1000920</v>
      </c>
      <c r="R1041" s="6">
        <v>1454857</v>
      </c>
      <c r="S1041" s="6">
        <v>2347</v>
      </c>
      <c r="T1041" s="6">
        <v>2698158</v>
      </c>
      <c r="U1041" s="6">
        <v>324036</v>
      </c>
      <c r="V1041" s="6">
        <v>-26580</v>
      </c>
      <c r="W1041" s="6">
        <v>1</v>
      </c>
      <c r="X1041" s="6">
        <v>20558</v>
      </c>
      <c r="Y1041" s="6">
        <v>25704</v>
      </c>
      <c r="Z1041" s="6">
        <v>5563</v>
      </c>
      <c r="AA1041" s="6">
        <v>2149</v>
      </c>
      <c r="AB1041" s="6">
        <v>71</v>
      </c>
      <c r="AC1041" s="6">
        <v>620</v>
      </c>
      <c r="AD1041" s="6">
        <v>216</v>
      </c>
      <c r="AE1041" s="6">
        <v>16893</v>
      </c>
      <c r="AF1041" s="6">
        <v>36525</v>
      </c>
    </row>
    <row r="1042" spans="1:32" x14ac:dyDescent="0.35">
      <c r="A1042" s="1">
        <v>44839</v>
      </c>
      <c r="B1042" s="6">
        <v>8759053</v>
      </c>
      <c r="C1042" s="6">
        <v>11037</v>
      </c>
      <c r="D1042" s="6">
        <v>5200</v>
      </c>
      <c r="E1042" s="6">
        <v>1216</v>
      </c>
      <c r="F1042" s="6">
        <v>8652633</v>
      </c>
      <c r="G1042" s="6">
        <v>8334431</v>
      </c>
      <c r="H1042" s="6">
        <v>5633926</v>
      </c>
      <c r="I1042" s="6">
        <v>308699</v>
      </c>
      <c r="J1042" s="6">
        <v>4849432</v>
      </c>
      <c r="K1042" s="6">
        <v>375761</v>
      </c>
      <c r="L1042" s="6">
        <v>100034</v>
      </c>
      <c r="M1042" s="6">
        <v>71778</v>
      </c>
      <c r="N1042" s="6">
        <v>347710</v>
      </c>
      <c r="O1042" s="6">
        <v>787632</v>
      </c>
      <c r="P1042" s="6">
        <v>1979974</v>
      </c>
      <c r="Q1042" s="6">
        <v>991982</v>
      </c>
      <c r="R1042" s="6">
        <v>1454849</v>
      </c>
      <c r="S1042" s="6">
        <v>2347</v>
      </c>
      <c r="T1042" s="6">
        <v>2698158</v>
      </c>
      <c r="U1042" s="6">
        <v>323367</v>
      </c>
      <c r="V1042" s="6">
        <v>-26580</v>
      </c>
      <c r="W1042" s="6">
        <v>0</v>
      </c>
      <c r="X1042" s="6">
        <v>21415</v>
      </c>
      <c r="Y1042" s="6">
        <v>25722</v>
      </c>
      <c r="Z1042" s="6">
        <v>5565</v>
      </c>
      <c r="AA1042" s="6">
        <v>2136</v>
      </c>
      <c r="AB1042" s="6">
        <v>105</v>
      </c>
      <c r="AC1042" s="6">
        <v>613</v>
      </c>
      <c r="AD1042" s="6">
        <v>300</v>
      </c>
      <c r="AE1042" s="6">
        <v>17068</v>
      </c>
      <c r="AF1042" s="6">
        <v>37458</v>
      </c>
    </row>
    <row r="1043" spans="1:32" x14ac:dyDescent="0.35">
      <c r="A1043" s="1">
        <v>44846</v>
      </c>
      <c r="B1043" s="6">
        <v>8758969</v>
      </c>
      <c r="C1043" s="6">
        <v>11037</v>
      </c>
      <c r="D1043" s="6">
        <v>5200</v>
      </c>
      <c r="E1043" s="6">
        <v>1208</v>
      </c>
      <c r="F1043" s="6">
        <v>8646430</v>
      </c>
      <c r="G1043" s="6">
        <v>8330346</v>
      </c>
      <c r="H1043" s="6">
        <v>5629841</v>
      </c>
      <c r="I1043" s="6">
        <v>304652</v>
      </c>
      <c r="J1043" s="6">
        <v>4849432</v>
      </c>
      <c r="K1043" s="6">
        <v>375761</v>
      </c>
      <c r="L1043" s="6">
        <v>99996</v>
      </c>
      <c r="M1043" s="6">
        <v>66698</v>
      </c>
      <c r="N1043" s="6">
        <v>346045</v>
      </c>
      <c r="O1043" s="6">
        <v>790328</v>
      </c>
      <c r="P1043" s="6">
        <v>1979960</v>
      </c>
      <c r="Q1043" s="6">
        <v>991971</v>
      </c>
      <c r="R1043" s="6">
        <v>1454839</v>
      </c>
      <c r="S1043" s="6">
        <v>2347</v>
      </c>
      <c r="T1043" s="6">
        <v>2698158</v>
      </c>
      <c r="U1043" s="6">
        <v>322758</v>
      </c>
      <c r="V1043" s="6">
        <v>-26741</v>
      </c>
      <c r="W1043" s="6">
        <v>0</v>
      </c>
      <c r="X1043" s="6">
        <v>20067</v>
      </c>
      <c r="Y1043" s="6">
        <v>25742</v>
      </c>
      <c r="Z1043" s="6">
        <v>5567</v>
      </c>
      <c r="AA1043" s="6">
        <v>2137</v>
      </c>
      <c r="AB1043" s="6">
        <v>128</v>
      </c>
      <c r="AC1043" s="6">
        <v>626</v>
      </c>
      <c r="AD1043" s="6">
        <v>3307</v>
      </c>
      <c r="AE1043" s="6">
        <v>16787</v>
      </c>
      <c r="AF1043" s="6">
        <v>40799</v>
      </c>
    </row>
    <row r="1044" spans="1:32" x14ac:dyDescent="0.35">
      <c r="A1044" s="1">
        <v>44853</v>
      </c>
      <c r="B1044" s="6">
        <v>8743922</v>
      </c>
      <c r="C1044" s="6">
        <v>11037</v>
      </c>
      <c r="D1044" s="6">
        <v>5200</v>
      </c>
      <c r="E1044" s="6">
        <v>1205</v>
      </c>
      <c r="F1044" s="6">
        <v>8626962</v>
      </c>
      <c r="G1044" s="6">
        <v>8312950</v>
      </c>
      <c r="H1044" s="6">
        <v>5611953</v>
      </c>
      <c r="I1044" s="6">
        <v>301567</v>
      </c>
      <c r="J1044" s="6">
        <v>4834667</v>
      </c>
      <c r="K1044" s="6">
        <v>375761</v>
      </c>
      <c r="L1044" s="6">
        <v>99958</v>
      </c>
      <c r="M1044" s="6">
        <v>91037</v>
      </c>
      <c r="N1044" s="6">
        <v>323378</v>
      </c>
      <c r="O1044" s="6">
        <v>784695</v>
      </c>
      <c r="P1044" s="6">
        <v>1966054</v>
      </c>
      <c r="Q1044" s="6">
        <v>991959</v>
      </c>
      <c r="R1044" s="6">
        <v>1454830</v>
      </c>
      <c r="S1044" s="6">
        <v>2347</v>
      </c>
      <c r="T1044" s="6">
        <v>2698651</v>
      </c>
      <c r="U1044" s="6">
        <v>322044</v>
      </c>
      <c r="V1044" s="6">
        <v>-26756</v>
      </c>
      <c r="W1044" s="6">
        <v>10</v>
      </c>
      <c r="X1044" s="6">
        <v>18713</v>
      </c>
      <c r="Y1044" s="6">
        <v>25203</v>
      </c>
      <c r="Z1044" s="6">
        <v>5570</v>
      </c>
      <c r="AA1044" s="6">
        <v>2138</v>
      </c>
      <c r="AB1044" s="6">
        <v>109</v>
      </c>
      <c r="AC1044" s="6">
        <v>639</v>
      </c>
      <c r="AD1044" s="6">
        <v>6482</v>
      </c>
      <c r="AE1044" s="6">
        <v>16759</v>
      </c>
      <c r="AF1044" s="6">
        <v>42619</v>
      </c>
    </row>
    <row r="1045" spans="1:32" x14ac:dyDescent="0.35">
      <c r="A1045" s="1">
        <v>44860</v>
      </c>
      <c r="B1045" s="6">
        <v>8723090</v>
      </c>
      <c r="C1045" s="6">
        <v>11037</v>
      </c>
      <c r="D1045" s="6">
        <v>5200</v>
      </c>
      <c r="E1045" s="6">
        <v>1200</v>
      </c>
      <c r="F1045" s="6">
        <v>8602661</v>
      </c>
      <c r="G1045" s="6">
        <v>8289604</v>
      </c>
      <c r="H1045" s="6">
        <v>5608738</v>
      </c>
      <c r="I1045" s="6">
        <v>298315</v>
      </c>
      <c r="J1045" s="6">
        <v>4834742</v>
      </c>
      <c r="K1045" s="6">
        <v>375761</v>
      </c>
      <c r="L1045" s="6">
        <v>99920</v>
      </c>
      <c r="M1045" s="6">
        <v>87888</v>
      </c>
      <c r="N1045" s="6">
        <v>323110</v>
      </c>
      <c r="O1045" s="6">
        <v>784922</v>
      </c>
      <c r="P1045" s="6">
        <v>1966052</v>
      </c>
      <c r="Q1045" s="6">
        <v>991947</v>
      </c>
      <c r="R1045" s="6">
        <v>1454819</v>
      </c>
      <c r="S1045" s="6">
        <v>2347</v>
      </c>
      <c r="T1045" s="6">
        <v>2678519</v>
      </c>
      <c r="U1045" s="6">
        <v>320794</v>
      </c>
      <c r="V1045" s="6">
        <v>-26759</v>
      </c>
      <c r="W1045" s="6">
        <v>1</v>
      </c>
      <c r="X1045" s="6">
        <v>19020</v>
      </c>
      <c r="Y1045" s="6">
        <v>25225</v>
      </c>
      <c r="Z1045" s="6">
        <v>5572</v>
      </c>
      <c r="AA1045" s="6">
        <v>2140</v>
      </c>
      <c r="AB1045" s="6">
        <v>98</v>
      </c>
      <c r="AC1045" s="6">
        <v>659</v>
      </c>
      <c r="AD1045" s="6">
        <v>11302</v>
      </c>
      <c r="AE1045" s="6">
        <v>17208</v>
      </c>
      <c r="AF1045" s="6">
        <v>40788</v>
      </c>
    </row>
    <row r="1046" spans="1:32" x14ac:dyDescent="0.35">
      <c r="A1046" s="1">
        <v>44867</v>
      </c>
      <c r="B1046" s="6">
        <v>8676870</v>
      </c>
      <c r="C1046" s="6">
        <v>11037</v>
      </c>
      <c r="D1046" s="6">
        <v>5200</v>
      </c>
      <c r="E1046" s="6">
        <v>1198</v>
      </c>
      <c r="F1046" s="6">
        <v>8566631</v>
      </c>
      <c r="G1046" s="6">
        <v>8255836</v>
      </c>
      <c r="H1046" s="6">
        <v>5574965</v>
      </c>
      <c r="I1046" s="6">
        <v>296059</v>
      </c>
      <c r="J1046" s="6">
        <v>4803184</v>
      </c>
      <c r="K1046" s="6">
        <v>375761</v>
      </c>
      <c r="L1046" s="6">
        <v>99961</v>
      </c>
      <c r="M1046" s="6">
        <v>130653</v>
      </c>
      <c r="N1046" s="6">
        <v>287151</v>
      </c>
      <c r="O1046" s="6">
        <v>782805</v>
      </c>
      <c r="P1046" s="6">
        <v>1939130</v>
      </c>
      <c r="Q1046" s="6">
        <v>980346</v>
      </c>
      <c r="R1046" s="6">
        <v>1454880</v>
      </c>
      <c r="S1046" s="6">
        <v>2347</v>
      </c>
      <c r="T1046" s="6">
        <v>2678523</v>
      </c>
      <c r="U1046" s="6">
        <v>320135</v>
      </c>
      <c r="V1046" s="6">
        <v>-26783</v>
      </c>
      <c r="W1046" s="6">
        <v>1</v>
      </c>
      <c r="X1046" s="6">
        <v>17443</v>
      </c>
      <c r="Y1046" s="6">
        <v>25637</v>
      </c>
      <c r="Z1046" s="6">
        <v>5574</v>
      </c>
      <c r="AA1046" s="6">
        <v>2103</v>
      </c>
      <c r="AB1046" s="6">
        <v>108</v>
      </c>
      <c r="AC1046" s="6">
        <v>638</v>
      </c>
      <c r="AD1046" s="6">
        <v>203</v>
      </c>
      <c r="AE1046" s="6">
        <v>17081</v>
      </c>
      <c r="AF1046" s="6">
        <v>41460</v>
      </c>
    </row>
    <row r="1047" spans="1:32" x14ac:dyDescent="0.35">
      <c r="A1047" s="1">
        <v>44874</v>
      </c>
      <c r="B1047" s="6">
        <v>8678886</v>
      </c>
      <c r="C1047" s="6">
        <v>11037</v>
      </c>
      <c r="D1047" s="6">
        <v>5200</v>
      </c>
      <c r="E1047" s="6">
        <v>1196</v>
      </c>
      <c r="F1047" s="6">
        <v>8565174</v>
      </c>
      <c r="G1047" s="6">
        <v>8256104</v>
      </c>
      <c r="H1047" s="6">
        <v>5575232</v>
      </c>
      <c r="I1047" s="6">
        <v>296059</v>
      </c>
      <c r="J1047" s="6">
        <v>4803184</v>
      </c>
      <c r="K1047" s="6">
        <v>375786</v>
      </c>
      <c r="L1047" s="6">
        <v>100203</v>
      </c>
      <c r="M1047" s="6">
        <v>109880</v>
      </c>
      <c r="N1047" s="6">
        <v>301375</v>
      </c>
      <c r="O1047" s="6">
        <v>789366</v>
      </c>
      <c r="P1047" s="6">
        <v>1939222</v>
      </c>
      <c r="Q1047" s="6">
        <v>980441</v>
      </c>
      <c r="R1047" s="6">
        <v>1454949</v>
      </c>
      <c r="S1047" s="6">
        <v>2347</v>
      </c>
      <c r="T1047" s="6">
        <v>2678524</v>
      </c>
      <c r="U1047" s="6">
        <v>319545</v>
      </c>
      <c r="V1047" s="6">
        <v>-27087</v>
      </c>
      <c r="W1047" s="6">
        <v>1</v>
      </c>
      <c r="X1047" s="6">
        <v>16612</v>
      </c>
      <c r="Y1047" s="6">
        <v>25659</v>
      </c>
      <c r="Z1047" s="6">
        <v>5576</v>
      </c>
      <c r="AA1047" s="6">
        <v>2105</v>
      </c>
      <c r="AB1047" s="6">
        <v>108</v>
      </c>
      <c r="AC1047" s="6">
        <v>637</v>
      </c>
      <c r="AD1047" s="6">
        <v>195</v>
      </c>
      <c r="AE1047" s="6">
        <v>17194</v>
      </c>
      <c r="AF1047" s="6">
        <v>44806</v>
      </c>
    </row>
    <row r="1048" spans="1:32" x14ac:dyDescent="0.35">
      <c r="A1048" s="1">
        <v>44881</v>
      </c>
      <c r="B1048" s="6">
        <v>8625620</v>
      </c>
      <c r="C1048" s="6">
        <v>11037</v>
      </c>
      <c r="D1048" s="6">
        <v>5200</v>
      </c>
      <c r="E1048" s="6">
        <v>1187</v>
      </c>
      <c r="F1048" s="6">
        <v>8526413</v>
      </c>
      <c r="G1048" s="6">
        <v>8214279</v>
      </c>
      <c r="H1048" s="6">
        <v>5535051</v>
      </c>
      <c r="I1048" s="6">
        <v>296059</v>
      </c>
      <c r="J1048" s="6">
        <v>4762764</v>
      </c>
      <c r="K1048" s="6">
        <v>375786</v>
      </c>
      <c r="L1048" s="6">
        <v>100442</v>
      </c>
      <c r="M1048" s="6">
        <v>88820</v>
      </c>
      <c r="N1048" s="6">
        <v>246856</v>
      </c>
      <c r="O1048" s="6">
        <v>823500</v>
      </c>
      <c r="P1048" s="6">
        <v>1956539</v>
      </c>
      <c r="Q1048" s="6">
        <v>944689</v>
      </c>
      <c r="R1048" s="6">
        <v>1474649</v>
      </c>
      <c r="S1048" s="6">
        <v>2347</v>
      </c>
      <c r="T1048" s="6">
        <v>2676881</v>
      </c>
      <c r="U1048" s="6">
        <v>318863</v>
      </c>
      <c r="V1048" s="6">
        <v>-27256</v>
      </c>
      <c r="W1048" s="6">
        <v>10</v>
      </c>
      <c r="X1048" s="6">
        <v>20517</v>
      </c>
      <c r="Y1048" s="6">
        <v>25191</v>
      </c>
      <c r="Z1048" s="6">
        <v>5579</v>
      </c>
      <c r="AA1048" s="6">
        <v>2106</v>
      </c>
      <c r="AB1048" s="6">
        <v>113</v>
      </c>
      <c r="AC1048" s="6">
        <v>611</v>
      </c>
      <c r="AD1048" s="6">
        <v>202</v>
      </c>
      <c r="AE1048" s="6">
        <v>17881</v>
      </c>
      <c r="AF1048" s="6">
        <v>30102</v>
      </c>
    </row>
    <row r="1049" spans="1:32" x14ac:dyDescent="0.35">
      <c r="A1049" s="1">
        <v>44888</v>
      </c>
      <c r="B1049" s="6">
        <v>8621390</v>
      </c>
      <c r="C1049" s="6">
        <v>11037</v>
      </c>
      <c r="D1049" s="6">
        <v>5200</v>
      </c>
      <c r="E1049" s="6">
        <v>1175</v>
      </c>
      <c r="F1049" s="6">
        <v>8522164</v>
      </c>
      <c r="G1049" s="6">
        <v>8209753</v>
      </c>
      <c r="H1049" s="6">
        <v>5535323</v>
      </c>
      <c r="I1049" s="6">
        <v>296059</v>
      </c>
      <c r="J1049" s="6">
        <v>4762764</v>
      </c>
      <c r="K1049" s="6">
        <v>375786</v>
      </c>
      <c r="L1049" s="6">
        <v>100715</v>
      </c>
      <c r="M1049" s="6">
        <v>83416</v>
      </c>
      <c r="N1049" s="6">
        <v>321595</v>
      </c>
      <c r="O1049" s="6">
        <v>754177</v>
      </c>
      <c r="P1049" s="6">
        <v>1956645</v>
      </c>
      <c r="Q1049" s="6">
        <v>957046</v>
      </c>
      <c r="R1049" s="6">
        <v>1462446</v>
      </c>
      <c r="S1049" s="6">
        <v>2347</v>
      </c>
      <c r="T1049" s="6">
        <v>2672083</v>
      </c>
      <c r="U1049" s="6">
        <v>317952</v>
      </c>
      <c r="V1049" s="6">
        <v>-27238</v>
      </c>
      <c r="W1049" s="6">
        <v>0</v>
      </c>
      <c r="X1049" s="6">
        <v>21697</v>
      </c>
      <c r="Y1049" s="6">
        <v>22775</v>
      </c>
      <c r="Z1049" s="6">
        <v>5557</v>
      </c>
      <c r="AA1049" s="6">
        <v>1995</v>
      </c>
      <c r="AB1049" s="6">
        <v>108</v>
      </c>
      <c r="AC1049" s="6">
        <v>606</v>
      </c>
      <c r="AD1049" s="6">
        <v>202</v>
      </c>
      <c r="AE1049" s="6">
        <v>17841</v>
      </c>
      <c r="AF1049" s="6">
        <v>32731</v>
      </c>
    </row>
    <row r="1050" spans="1:32" x14ac:dyDescent="0.35">
      <c r="A1050" s="1">
        <v>44895</v>
      </c>
      <c r="B1050" s="6">
        <v>8584576</v>
      </c>
      <c r="C1050" s="6">
        <v>11037</v>
      </c>
      <c r="D1050" s="6">
        <v>5200</v>
      </c>
      <c r="E1050" s="6">
        <v>1159</v>
      </c>
      <c r="F1050" s="6">
        <v>8489074</v>
      </c>
      <c r="G1050" s="6">
        <v>8177087</v>
      </c>
      <c r="H1050" s="6">
        <v>5515984</v>
      </c>
      <c r="I1050" s="6">
        <v>296059</v>
      </c>
      <c r="J1050" s="6">
        <v>4741553</v>
      </c>
      <c r="K1050" s="6">
        <v>377416</v>
      </c>
      <c r="L1050" s="6">
        <v>100954</v>
      </c>
      <c r="M1050" s="6">
        <v>57414</v>
      </c>
      <c r="N1050" s="6">
        <v>375394</v>
      </c>
      <c r="O1050" s="6">
        <v>722066</v>
      </c>
      <c r="P1050" s="6">
        <v>1948110</v>
      </c>
      <c r="Q1050" s="6">
        <v>948869</v>
      </c>
      <c r="R1050" s="6">
        <v>1464130</v>
      </c>
      <c r="S1050" s="6">
        <v>2347</v>
      </c>
      <c r="T1050" s="6">
        <v>2658756</v>
      </c>
      <c r="U1050" s="6">
        <v>317070</v>
      </c>
      <c r="V1050" s="6">
        <v>-27414</v>
      </c>
      <c r="W1050" s="6">
        <v>0</v>
      </c>
      <c r="X1050" s="6">
        <v>22332</v>
      </c>
      <c r="Y1050" s="6">
        <v>22795</v>
      </c>
      <c r="Z1050" s="6">
        <v>5559</v>
      </c>
      <c r="AA1050" s="6">
        <v>1978</v>
      </c>
      <c r="AB1050" s="6">
        <v>111</v>
      </c>
      <c r="AC1050" s="6">
        <v>474</v>
      </c>
      <c r="AD1050" s="6">
        <v>204</v>
      </c>
      <c r="AE1050" s="6">
        <v>17838</v>
      </c>
      <c r="AF1050" s="6">
        <v>29149</v>
      </c>
    </row>
    <row r="1051" spans="1:32" x14ac:dyDescent="0.35">
      <c r="A1051" s="1">
        <v>44902</v>
      </c>
      <c r="B1051" s="6">
        <v>8582735</v>
      </c>
      <c r="C1051" s="6">
        <v>11037</v>
      </c>
      <c r="D1051" s="6">
        <v>5200</v>
      </c>
      <c r="E1051" s="6">
        <v>1171</v>
      </c>
      <c r="F1051" s="6">
        <v>8483769</v>
      </c>
      <c r="G1051" s="6">
        <v>8175598</v>
      </c>
      <c r="H1051" s="6">
        <v>5514496</v>
      </c>
      <c r="I1051" s="6">
        <v>294133</v>
      </c>
      <c r="J1051" s="6">
        <v>4741553</v>
      </c>
      <c r="K1051" s="6">
        <v>377416</v>
      </c>
      <c r="L1051" s="6">
        <v>101392</v>
      </c>
      <c r="M1051" s="6">
        <v>42464</v>
      </c>
      <c r="N1051" s="6">
        <v>383480</v>
      </c>
      <c r="O1051" s="6">
        <v>727025</v>
      </c>
      <c r="P1051" s="6">
        <v>1948280</v>
      </c>
      <c r="Q1051" s="6">
        <v>949005</v>
      </c>
      <c r="R1051" s="6">
        <v>1464244</v>
      </c>
      <c r="S1051" s="6">
        <v>2347</v>
      </c>
      <c r="T1051" s="6">
        <v>2658756</v>
      </c>
      <c r="U1051" s="6">
        <v>316497</v>
      </c>
      <c r="V1051" s="6">
        <v>-27610</v>
      </c>
      <c r="W1051" s="6">
        <v>0</v>
      </c>
      <c r="X1051" s="6">
        <v>19283</v>
      </c>
      <c r="Y1051" s="6">
        <v>22815</v>
      </c>
      <c r="Z1051" s="6">
        <v>5562</v>
      </c>
      <c r="AA1051" s="6">
        <v>1980</v>
      </c>
      <c r="AB1051" s="6">
        <v>94</v>
      </c>
      <c r="AC1051" s="6">
        <v>474</v>
      </c>
      <c r="AD1051" s="6">
        <v>199</v>
      </c>
      <c r="AE1051" s="6">
        <v>18157</v>
      </c>
      <c r="AF1051" s="6">
        <v>32278</v>
      </c>
    </row>
    <row r="1052" spans="1:32" x14ac:dyDescent="0.35">
      <c r="A1052" s="1">
        <v>44909</v>
      </c>
      <c r="B1052" s="6">
        <v>8583413</v>
      </c>
      <c r="C1052" s="6">
        <v>11037</v>
      </c>
      <c r="D1052" s="6">
        <v>5200</v>
      </c>
      <c r="E1052" s="6">
        <v>1181</v>
      </c>
      <c r="F1052" s="6">
        <v>8480699</v>
      </c>
      <c r="G1052" s="6">
        <v>8174734</v>
      </c>
      <c r="H1052" s="6">
        <v>5513754</v>
      </c>
      <c r="I1052" s="6">
        <v>292954</v>
      </c>
      <c r="J1052" s="6">
        <v>4741553</v>
      </c>
      <c r="K1052" s="6">
        <v>377416</v>
      </c>
      <c r="L1052" s="6">
        <v>101831</v>
      </c>
      <c r="M1052" s="6">
        <v>51747</v>
      </c>
      <c r="N1052" s="6">
        <v>372633</v>
      </c>
      <c r="O1052" s="6">
        <v>727428</v>
      </c>
      <c r="P1052" s="6">
        <v>1948449</v>
      </c>
      <c r="Q1052" s="6">
        <v>949140</v>
      </c>
      <c r="R1052" s="6">
        <v>1464357</v>
      </c>
      <c r="S1052" s="6">
        <v>2347</v>
      </c>
      <c r="T1052" s="6">
        <v>2658633</v>
      </c>
      <c r="U1052" s="6">
        <v>315877</v>
      </c>
      <c r="V1052" s="6">
        <v>-27537</v>
      </c>
      <c r="W1052" s="6">
        <v>3</v>
      </c>
      <c r="X1052" s="6">
        <v>17623</v>
      </c>
      <c r="Y1052" s="6">
        <v>22835</v>
      </c>
      <c r="Z1052" s="6">
        <v>5564</v>
      </c>
      <c r="AA1052" s="6">
        <v>1981</v>
      </c>
      <c r="AB1052" s="6">
        <v>89</v>
      </c>
      <c r="AC1052" s="6">
        <v>489</v>
      </c>
      <c r="AD1052" s="6">
        <v>208</v>
      </c>
      <c r="AE1052" s="6">
        <v>18398</v>
      </c>
      <c r="AF1052" s="6">
        <v>35733</v>
      </c>
    </row>
    <row r="1053" spans="1:32" x14ac:dyDescent="0.35">
      <c r="A1053" s="1">
        <v>44916</v>
      </c>
      <c r="B1053" s="6">
        <v>8564411</v>
      </c>
      <c r="C1053" s="6">
        <v>11037</v>
      </c>
      <c r="D1053" s="6">
        <v>5200</v>
      </c>
      <c r="E1053" s="6">
        <v>1189</v>
      </c>
      <c r="F1053" s="6">
        <v>8460429</v>
      </c>
      <c r="G1053" s="6">
        <v>8156600</v>
      </c>
      <c r="H1053" s="6">
        <v>5501030</v>
      </c>
      <c r="I1053" s="6">
        <v>291827</v>
      </c>
      <c r="J1053" s="6">
        <v>4729518</v>
      </c>
      <c r="K1053" s="6">
        <v>377416</v>
      </c>
      <c r="L1053" s="6">
        <v>102269</v>
      </c>
      <c r="M1053" s="6">
        <v>84352</v>
      </c>
      <c r="N1053" s="6">
        <v>333601</v>
      </c>
      <c r="O1053" s="6">
        <v>734808</v>
      </c>
      <c r="P1053" s="6">
        <v>1934523</v>
      </c>
      <c r="Q1053" s="6">
        <v>949275</v>
      </c>
      <c r="R1053" s="6">
        <v>1464471</v>
      </c>
      <c r="S1053" s="6">
        <v>2347</v>
      </c>
      <c r="T1053" s="6">
        <v>2653222</v>
      </c>
      <c r="U1053" s="6">
        <v>315087</v>
      </c>
      <c r="V1053" s="6">
        <v>-27466</v>
      </c>
      <c r="W1053" s="6">
        <v>0</v>
      </c>
      <c r="X1053" s="6">
        <v>16209</v>
      </c>
      <c r="Y1053" s="6">
        <v>22596</v>
      </c>
      <c r="Z1053" s="6">
        <v>5566</v>
      </c>
      <c r="AA1053" s="6">
        <v>1983</v>
      </c>
      <c r="AB1053" s="6">
        <v>93</v>
      </c>
      <c r="AC1053" s="6">
        <v>490</v>
      </c>
      <c r="AD1053" s="6">
        <v>210</v>
      </c>
      <c r="AE1053" s="6">
        <v>18475</v>
      </c>
      <c r="AF1053" s="6">
        <v>37142</v>
      </c>
    </row>
    <row r="1054" spans="1:32" x14ac:dyDescent="0.35">
      <c r="A1054" s="1">
        <v>44923</v>
      </c>
      <c r="B1054" s="6">
        <v>8551169</v>
      </c>
      <c r="C1054" s="6">
        <v>11037</v>
      </c>
      <c r="D1054" s="6">
        <v>5200</v>
      </c>
      <c r="E1054" s="6">
        <v>1195</v>
      </c>
      <c r="F1054" s="6">
        <v>8447601</v>
      </c>
      <c r="G1054" s="6">
        <v>8144582</v>
      </c>
      <c r="H1054" s="6">
        <v>5500834</v>
      </c>
      <c r="I1054" s="6">
        <v>291192</v>
      </c>
      <c r="J1054" s="6">
        <v>4729518</v>
      </c>
      <c r="K1054" s="6">
        <v>377416</v>
      </c>
      <c r="L1054" s="6">
        <v>102707</v>
      </c>
      <c r="M1054" s="6">
        <v>91924</v>
      </c>
      <c r="N1054" s="6">
        <v>326728</v>
      </c>
      <c r="O1054" s="6">
        <v>733494</v>
      </c>
      <c r="P1054" s="6">
        <v>1934693</v>
      </c>
      <c r="Q1054" s="6">
        <v>949410</v>
      </c>
      <c r="R1054" s="6">
        <v>1464585</v>
      </c>
      <c r="S1054" s="6">
        <v>2347</v>
      </c>
      <c r="T1054" s="6">
        <v>2641402</v>
      </c>
      <c r="U1054" s="6">
        <v>314178</v>
      </c>
      <c r="V1054" s="6">
        <v>-27288</v>
      </c>
      <c r="W1054" s="6">
        <v>0</v>
      </c>
      <c r="X1054" s="6">
        <v>16129</v>
      </c>
      <c r="Y1054" s="6">
        <v>22617</v>
      </c>
      <c r="Z1054" s="6">
        <v>5569</v>
      </c>
      <c r="AA1054" s="6">
        <v>1984</v>
      </c>
      <c r="AB1054" s="6">
        <v>100</v>
      </c>
      <c r="AC1054" s="6">
        <v>473</v>
      </c>
      <c r="AD1054" s="6">
        <v>412</v>
      </c>
      <c r="AE1054" s="6">
        <v>18402</v>
      </c>
      <c r="AF1054" s="6">
        <v>36579</v>
      </c>
    </row>
    <row r="1055" spans="1:32" x14ac:dyDescent="0.35">
      <c r="A1055" s="1">
        <v>44930</v>
      </c>
      <c r="B1055" s="6">
        <v>8507429</v>
      </c>
      <c r="C1055" s="6">
        <v>11037</v>
      </c>
      <c r="D1055" s="6">
        <v>5200</v>
      </c>
      <c r="E1055" s="6">
        <v>1190</v>
      </c>
      <c r="F1055" s="6">
        <v>8402920</v>
      </c>
      <c r="G1055" s="6">
        <v>8101500</v>
      </c>
      <c r="H1055" s="6">
        <v>5457751</v>
      </c>
      <c r="I1055" s="6">
        <v>289338</v>
      </c>
      <c r="J1055" s="6">
        <v>4688163</v>
      </c>
      <c r="K1055" s="6">
        <v>377416</v>
      </c>
      <c r="L1055" s="6">
        <v>102833</v>
      </c>
      <c r="M1055" s="6">
        <v>62452</v>
      </c>
      <c r="N1055" s="6">
        <v>356952</v>
      </c>
      <c r="O1055" s="6">
        <v>721072</v>
      </c>
      <c r="P1055" s="6">
        <v>1915445</v>
      </c>
      <c r="Q1055" s="6">
        <v>937212</v>
      </c>
      <c r="R1055" s="6">
        <v>1464617</v>
      </c>
      <c r="S1055" s="6">
        <v>2347</v>
      </c>
      <c r="T1055" s="6">
        <v>2641402</v>
      </c>
      <c r="U1055" s="6">
        <v>313543</v>
      </c>
      <c r="V1055" s="6">
        <v>-27479</v>
      </c>
      <c r="W1055" s="6">
        <v>1</v>
      </c>
      <c r="X1055" s="6">
        <v>15356</v>
      </c>
      <c r="Y1055" s="6">
        <v>22638</v>
      </c>
      <c r="Z1055" s="6">
        <v>5571</v>
      </c>
      <c r="AA1055" s="6">
        <v>1957</v>
      </c>
      <c r="AB1055" s="6">
        <v>112</v>
      </c>
      <c r="AC1055" s="6">
        <v>461</v>
      </c>
      <c r="AD1055" s="6">
        <v>412</v>
      </c>
      <c r="AE1055" s="6">
        <v>18523</v>
      </c>
      <c r="AF1055" s="6">
        <v>37406</v>
      </c>
    </row>
    <row r="1056" spans="1:32" x14ac:dyDescent="0.35">
      <c r="A1056" s="1">
        <v>44937</v>
      </c>
      <c r="B1056" s="6">
        <v>8508587</v>
      </c>
      <c r="C1056" s="6">
        <v>11037</v>
      </c>
      <c r="D1056" s="6">
        <v>5200</v>
      </c>
      <c r="E1056" s="6">
        <v>1216</v>
      </c>
      <c r="F1056" s="6">
        <v>8400860</v>
      </c>
      <c r="G1056" s="6">
        <v>8100175</v>
      </c>
      <c r="H1056" s="6">
        <v>5456426</v>
      </c>
      <c r="I1056" s="6">
        <v>288199</v>
      </c>
      <c r="J1056" s="6">
        <v>4688088</v>
      </c>
      <c r="K1056" s="6">
        <v>377416</v>
      </c>
      <c r="L1056" s="6">
        <v>102723</v>
      </c>
      <c r="M1056" s="6">
        <v>64646</v>
      </c>
      <c r="N1056" s="6">
        <v>353364</v>
      </c>
      <c r="O1056" s="6">
        <v>721247</v>
      </c>
      <c r="P1056" s="6">
        <v>1915402</v>
      </c>
      <c r="Q1056" s="6">
        <v>937178</v>
      </c>
      <c r="R1056" s="6">
        <v>1464589</v>
      </c>
      <c r="S1056" s="6">
        <v>2347</v>
      </c>
      <c r="T1056" s="6">
        <v>2641402</v>
      </c>
      <c r="U1056" s="6">
        <v>312938</v>
      </c>
      <c r="V1056" s="6">
        <v>-27461</v>
      </c>
      <c r="W1056" s="6">
        <v>0</v>
      </c>
      <c r="X1056" s="6">
        <v>15207</v>
      </c>
      <c r="Y1056" s="6">
        <v>22659</v>
      </c>
      <c r="Z1056" s="6">
        <v>5574</v>
      </c>
      <c r="AA1056" s="6">
        <v>1958</v>
      </c>
      <c r="AB1056" s="6">
        <v>61</v>
      </c>
      <c r="AC1056" s="6">
        <v>468</v>
      </c>
      <c r="AD1056" s="6">
        <v>191</v>
      </c>
      <c r="AE1056" s="6">
        <v>18623</v>
      </c>
      <c r="AF1056" s="6">
        <v>40742</v>
      </c>
    </row>
    <row r="1057" spans="1:32" x14ac:dyDescent="0.35">
      <c r="A1057" s="1">
        <v>44944</v>
      </c>
      <c r="B1057" s="6">
        <v>8489039</v>
      </c>
      <c r="C1057" s="6">
        <v>11037</v>
      </c>
      <c r="D1057" s="6">
        <v>5200</v>
      </c>
      <c r="E1057" s="6">
        <v>1235</v>
      </c>
      <c r="F1057" s="6">
        <v>8379737</v>
      </c>
      <c r="G1057" s="6">
        <v>8079010</v>
      </c>
      <c r="H1057" s="6">
        <v>5436722</v>
      </c>
      <c r="I1057" s="6">
        <v>287231</v>
      </c>
      <c r="J1057" s="6">
        <v>4672607</v>
      </c>
      <c r="K1057" s="6">
        <v>374979</v>
      </c>
      <c r="L1057" s="6">
        <v>101906</v>
      </c>
      <c r="M1057" s="6">
        <v>86064</v>
      </c>
      <c r="N1057" s="6">
        <v>334494</v>
      </c>
      <c r="O1057" s="6">
        <v>724788</v>
      </c>
      <c r="P1057" s="6">
        <v>1907249</v>
      </c>
      <c r="Q1057" s="6">
        <v>919568</v>
      </c>
      <c r="R1057" s="6">
        <v>1464560</v>
      </c>
      <c r="S1057" s="6">
        <v>2347</v>
      </c>
      <c r="T1057" s="6">
        <v>2639940</v>
      </c>
      <c r="U1057" s="6">
        <v>312256</v>
      </c>
      <c r="V1057" s="6">
        <v>-27407</v>
      </c>
      <c r="W1057" s="6">
        <v>1</v>
      </c>
      <c r="X1057" s="6">
        <v>15877</v>
      </c>
      <c r="Y1057" s="6">
        <v>22270</v>
      </c>
      <c r="Z1057" s="6">
        <v>5576</v>
      </c>
      <c r="AA1057" s="6">
        <v>1960</v>
      </c>
      <c r="AB1057" s="6">
        <v>85</v>
      </c>
      <c r="AC1057" s="6">
        <v>476</v>
      </c>
      <c r="AD1057" s="6">
        <v>198</v>
      </c>
      <c r="AE1057" s="6">
        <v>18946</v>
      </c>
      <c r="AF1057" s="6">
        <v>42320</v>
      </c>
    </row>
    <row r="1058" spans="1:32" x14ac:dyDescent="0.35">
      <c r="A1058" s="1">
        <v>44951</v>
      </c>
      <c r="B1058" s="6">
        <v>8470557</v>
      </c>
      <c r="C1058" s="6">
        <v>11037</v>
      </c>
      <c r="D1058" s="6">
        <v>5200</v>
      </c>
      <c r="E1058" s="6">
        <v>1252</v>
      </c>
      <c r="F1058" s="6">
        <v>8362801</v>
      </c>
      <c r="G1058" s="6">
        <v>8062665</v>
      </c>
      <c r="H1058" s="6">
        <v>5435582</v>
      </c>
      <c r="I1058" s="6">
        <v>286200</v>
      </c>
      <c r="J1058" s="6">
        <v>4672607</v>
      </c>
      <c r="K1058" s="6">
        <v>374979</v>
      </c>
      <c r="L1058" s="6">
        <v>101797</v>
      </c>
      <c r="M1058" s="6">
        <v>85234</v>
      </c>
      <c r="N1058" s="6">
        <v>338952</v>
      </c>
      <c r="O1058" s="6">
        <v>720122</v>
      </c>
      <c r="P1058" s="6">
        <v>1907204</v>
      </c>
      <c r="Q1058" s="6">
        <v>919538</v>
      </c>
      <c r="R1058" s="6">
        <v>1464532</v>
      </c>
      <c r="S1058" s="6">
        <v>2347</v>
      </c>
      <c r="T1058" s="6">
        <v>2624735</v>
      </c>
      <c r="U1058" s="6">
        <v>311189</v>
      </c>
      <c r="V1058" s="6">
        <v>-27342</v>
      </c>
      <c r="W1058" s="6">
        <v>0</v>
      </c>
      <c r="X1058" s="6">
        <v>16289</v>
      </c>
      <c r="Y1058" s="6">
        <v>22291</v>
      </c>
      <c r="Z1058" s="6">
        <v>5579</v>
      </c>
      <c r="AA1058" s="6">
        <v>1961</v>
      </c>
      <c r="AB1058" s="6">
        <v>52</v>
      </c>
      <c r="AC1058" s="6">
        <v>487</v>
      </c>
      <c r="AD1058" s="6">
        <v>387</v>
      </c>
      <c r="AE1058" s="6">
        <v>18961</v>
      </c>
      <c r="AF1058" s="6">
        <v>40548</v>
      </c>
    </row>
    <row r="1059" spans="1:32" x14ac:dyDescent="0.35">
      <c r="A1059" s="1">
        <v>44958</v>
      </c>
      <c r="B1059" s="6">
        <v>8433610</v>
      </c>
      <c r="C1059" s="6">
        <v>11037</v>
      </c>
      <c r="D1059" s="6">
        <v>5200</v>
      </c>
      <c r="E1059" s="6">
        <v>1269</v>
      </c>
      <c r="F1059" s="6">
        <v>8323340</v>
      </c>
      <c r="G1059" s="6">
        <v>8024470</v>
      </c>
      <c r="H1059" s="6">
        <v>5397388</v>
      </c>
      <c r="I1059" s="6">
        <v>285021</v>
      </c>
      <c r="J1059" s="6">
        <v>4635737</v>
      </c>
      <c r="K1059" s="6">
        <v>374979</v>
      </c>
      <c r="L1059" s="6">
        <v>101651</v>
      </c>
      <c r="M1059" s="6">
        <v>115293</v>
      </c>
      <c r="N1059" s="6">
        <v>326104</v>
      </c>
      <c r="O1059" s="6">
        <v>692347</v>
      </c>
      <c r="P1059" s="6">
        <v>1888657</v>
      </c>
      <c r="Q1059" s="6">
        <v>910493</v>
      </c>
      <c r="R1059" s="6">
        <v>1464494</v>
      </c>
      <c r="S1059" s="6">
        <v>2347</v>
      </c>
      <c r="T1059" s="6">
        <v>2624735</v>
      </c>
      <c r="U1059" s="6">
        <v>310540</v>
      </c>
      <c r="V1059" s="6">
        <v>-27452</v>
      </c>
      <c r="W1059" s="6">
        <v>11</v>
      </c>
      <c r="X1059" s="6">
        <v>15769</v>
      </c>
      <c r="Y1059" s="6">
        <v>22598</v>
      </c>
      <c r="Z1059" s="6">
        <v>5581</v>
      </c>
      <c r="AA1059" s="6">
        <v>1948</v>
      </c>
      <c r="AB1059" s="6">
        <v>56</v>
      </c>
      <c r="AC1059" s="6">
        <v>469</v>
      </c>
      <c r="AD1059" s="6">
        <v>427</v>
      </c>
      <c r="AE1059" s="6">
        <v>19004</v>
      </c>
      <c r="AF1059" s="6">
        <v>42682</v>
      </c>
    </row>
    <row r="1060" spans="1:32" x14ac:dyDescent="0.35">
      <c r="A1060" s="1">
        <v>44965</v>
      </c>
      <c r="B1060" s="6">
        <v>8435369</v>
      </c>
      <c r="C1060" s="6">
        <v>11037</v>
      </c>
      <c r="D1060" s="6">
        <v>5200</v>
      </c>
      <c r="E1060" s="6">
        <v>1287</v>
      </c>
      <c r="F1060" s="6">
        <v>8322036</v>
      </c>
      <c r="G1060" s="6">
        <v>8024104</v>
      </c>
      <c r="H1060" s="6">
        <v>5397022</v>
      </c>
      <c r="I1060" s="6">
        <v>285021</v>
      </c>
      <c r="J1060" s="6">
        <v>4635737</v>
      </c>
      <c r="K1060" s="6">
        <v>374979</v>
      </c>
      <c r="L1060" s="6">
        <v>101285</v>
      </c>
      <c r="M1060" s="6">
        <v>115186</v>
      </c>
      <c r="N1060" s="6">
        <v>326604</v>
      </c>
      <c r="O1060" s="6">
        <v>691935</v>
      </c>
      <c r="P1060" s="6">
        <v>1888506</v>
      </c>
      <c r="Q1060" s="6">
        <v>910393</v>
      </c>
      <c r="R1060" s="6">
        <v>1464398</v>
      </c>
      <c r="S1060" s="6">
        <v>2347</v>
      </c>
      <c r="T1060" s="6">
        <v>2624735</v>
      </c>
      <c r="U1060" s="6">
        <v>309916</v>
      </c>
      <c r="V1060" s="6">
        <v>-27461</v>
      </c>
      <c r="W1060" s="6">
        <v>1</v>
      </c>
      <c r="X1060" s="6">
        <v>15476</v>
      </c>
      <c r="Y1060" s="6">
        <v>22622</v>
      </c>
      <c r="Z1060" s="6">
        <v>5584</v>
      </c>
      <c r="AA1060" s="6">
        <v>1950</v>
      </c>
      <c r="AB1060" s="6">
        <v>53</v>
      </c>
      <c r="AC1060" s="6">
        <v>473</v>
      </c>
      <c r="AD1060" s="6">
        <v>438</v>
      </c>
      <c r="AE1060" s="6">
        <v>18698</v>
      </c>
      <c r="AF1060" s="6">
        <v>45993</v>
      </c>
    </row>
    <row r="1061" spans="1:32" x14ac:dyDescent="0.35">
      <c r="A1061" s="1">
        <v>44972</v>
      </c>
      <c r="B1061" s="6">
        <v>8384767</v>
      </c>
      <c r="C1061" s="6">
        <v>11037</v>
      </c>
      <c r="D1061" s="6">
        <v>5200</v>
      </c>
      <c r="E1061" s="6">
        <v>1293</v>
      </c>
      <c r="F1061" s="6">
        <v>8287702</v>
      </c>
      <c r="G1061" s="6">
        <v>7990467</v>
      </c>
      <c r="H1061" s="6">
        <v>5364607</v>
      </c>
      <c r="I1061" s="6">
        <v>285021</v>
      </c>
      <c r="J1061" s="6">
        <v>4603687</v>
      </c>
      <c r="K1061" s="6">
        <v>374979</v>
      </c>
      <c r="L1061" s="6">
        <v>100920</v>
      </c>
      <c r="M1061" s="6">
        <v>107099</v>
      </c>
      <c r="N1061" s="6">
        <v>320438</v>
      </c>
      <c r="O1061" s="6">
        <v>676513</v>
      </c>
      <c r="P1061" s="6">
        <v>1874096</v>
      </c>
      <c r="Q1061" s="6">
        <v>900274</v>
      </c>
      <c r="R1061" s="6">
        <v>1486187</v>
      </c>
      <c r="S1061" s="6">
        <v>2347</v>
      </c>
      <c r="T1061" s="6">
        <v>2623512</v>
      </c>
      <c r="U1061" s="6">
        <v>309222</v>
      </c>
      <c r="V1061" s="6">
        <v>-27659</v>
      </c>
      <c r="W1061" s="6">
        <v>0</v>
      </c>
      <c r="X1061" s="6">
        <v>15673</v>
      </c>
      <c r="Y1061" s="6">
        <v>22383</v>
      </c>
      <c r="Z1061" s="6">
        <v>5586</v>
      </c>
      <c r="AA1061" s="6">
        <v>1951</v>
      </c>
      <c r="AB1061" s="6">
        <v>51</v>
      </c>
      <c r="AC1061" s="6">
        <v>485</v>
      </c>
      <c r="AD1061" s="6">
        <v>391</v>
      </c>
      <c r="AE1061" s="6">
        <v>18489</v>
      </c>
      <c r="AF1061" s="6">
        <v>30198</v>
      </c>
    </row>
    <row r="1062" spans="1:32" x14ac:dyDescent="0.35">
      <c r="A1062" s="1">
        <v>44979</v>
      </c>
      <c r="B1062" s="6">
        <v>8382190</v>
      </c>
      <c r="C1062" s="6">
        <v>11037</v>
      </c>
      <c r="D1062" s="6">
        <v>5200</v>
      </c>
      <c r="E1062" s="6">
        <v>1302</v>
      </c>
      <c r="F1062" s="6">
        <v>8283049</v>
      </c>
      <c r="G1062" s="6">
        <v>7986887</v>
      </c>
      <c r="H1062" s="6">
        <v>5364291</v>
      </c>
      <c r="I1062" s="6">
        <v>285021</v>
      </c>
      <c r="J1062" s="6">
        <v>4603737</v>
      </c>
      <c r="K1062" s="6">
        <v>374979</v>
      </c>
      <c r="L1062" s="6">
        <v>100554</v>
      </c>
      <c r="M1062" s="6">
        <v>101336</v>
      </c>
      <c r="N1062" s="6">
        <v>331325</v>
      </c>
      <c r="O1062" s="6">
        <v>671370</v>
      </c>
      <c r="P1062" s="6">
        <v>1873946</v>
      </c>
      <c r="Q1062" s="6">
        <v>913901</v>
      </c>
      <c r="R1062" s="6">
        <v>1472414</v>
      </c>
      <c r="S1062" s="6">
        <v>2347</v>
      </c>
      <c r="T1062" s="6">
        <v>2620248</v>
      </c>
      <c r="U1062" s="6">
        <v>308449</v>
      </c>
      <c r="V1062" s="6">
        <v>-27649</v>
      </c>
      <c r="W1062" s="6">
        <v>0</v>
      </c>
      <c r="X1062" s="6">
        <v>15363</v>
      </c>
      <c r="Y1062" s="6">
        <v>22386</v>
      </c>
      <c r="Z1062" s="6">
        <v>5589</v>
      </c>
      <c r="AA1062" s="6">
        <v>1953</v>
      </c>
      <c r="AB1062" s="6">
        <v>55</v>
      </c>
      <c r="AC1062" s="6">
        <v>487</v>
      </c>
      <c r="AD1062" s="6">
        <v>393</v>
      </c>
      <c r="AE1062" s="6">
        <v>18399</v>
      </c>
      <c r="AF1062" s="6">
        <v>32340</v>
      </c>
    </row>
    <row r="1063" spans="1:32" x14ac:dyDescent="0.35">
      <c r="A1063" s="1">
        <v>44986</v>
      </c>
      <c r="B1063" s="6">
        <v>8339684</v>
      </c>
      <c r="C1063" s="6">
        <v>11037</v>
      </c>
      <c r="D1063" s="6">
        <v>5200</v>
      </c>
      <c r="E1063" s="6">
        <v>1306</v>
      </c>
      <c r="F1063" s="6">
        <v>8243254</v>
      </c>
      <c r="G1063" s="6">
        <v>7948534</v>
      </c>
      <c r="H1063" s="6">
        <v>5336147</v>
      </c>
      <c r="I1063" s="6">
        <v>285021</v>
      </c>
      <c r="J1063" s="6">
        <v>4573742</v>
      </c>
      <c r="K1063" s="6">
        <v>377024</v>
      </c>
      <c r="L1063" s="6">
        <v>100360</v>
      </c>
      <c r="M1063" s="6">
        <v>41569</v>
      </c>
      <c r="N1063" s="6">
        <v>327092</v>
      </c>
      <c r="O1063" s="6">
        <v>712124</v>
      </c>
      <c r="P1063" s="6">
        <v>1869178</v>
      </c>
      <c r="Q1063" s="6">
        <v>908370</v>
      </c>
      <c r="R1063" s="6">
        <v>1477814</v>
      </c>
      <c r="S1063" s="6">
        <v>2347</v>
      </c>
      <c r="T1063" s="6">
        <v>2610040</v>
      </c>
      <c r="U1063" s="6">
        <v>307553</v>
      </c>
      <c r="V1063" s="6">
        <v>-27900</v>
      </c>
      <c r="W1063" s="6">
        <v>0</v>
      </c>
      <c r="X1063" s="6">
        <v>15067</v>
      </c>
      <c r="Y1063" s="6">
        <v>22408</v>
      </c>
      <c r="Z1063" s="6">
        <v>5592</v>
      </c>
      <c r="AA1063" s="6">
        <v>1939</v>
      </c>
      <c r="AB1063" s="6">
        <v>63</v>
      </c>
      <c r="AC1063" s="6">
        <v>469</v>
      </c>
      <c r="AD1063" s="6">
        <v>419</v>
      </c>
      <c r="AE1063" s="6">
        <v>18406</v>
      </c>
      <c r="AF1063" s="6">
        <v>29593</v>
      </c>
    </row>
    <row r="1064" spans="1:32" x14ac:dyDescent="0.35">
      <c r="A1064" s="1">
        <v>44993</v>
      </c>
      <c r="B1064" s="6">
        <v>8342283</v>
      </c>
      <c r="C1064" s="6">
        <v>11037</v>
      </c>
      <c r="D1064" s="6">
        <v>5200</v>
      </c>
      <c r="E1064" s="6">
        <v>1309</v>
      </c>
      <c r="F1064" s="6">
        <v>8242733</v>
      </c>
      <c r="G1064" s="6">
        <v>7948335</v>
      </c>
      <c r="H1064" s="6">
        <v>5335948</v>
      </c>
      <c r="I1064" s="6">
        <v>283960</v>
      </c>
      <c r="J1064" s="6">
        <v>4573742</v>
      </c>
      <c r="K1064" s="6">
        <v>377024</v>
      </c>
      <c r="L1064" s="6">
        <v>101222</v>
      </c>
      <c r="M1064" s="6">
        <v>34309</v>
      </c>
      <c r="N1064" s="6">
        <v>393294</v>
      </c>
      <c r="O1064" s="6">
        <v>652167</v>
      </c>
      <c r="P1064" s="6">
        <v>1869522</v>
      </c>
      <c r="Q1064" s="6">
        <v>908564</v>
      </c>
      <c r="R1064" s="6">
        <v>1478092</v>
      </c>
      <c r="S1064" s="6">
        <v>2347</v>
      </c>
      <c r="T1064" s="6">
        <v>2610040</v>
      </c>
      <c r="U1064" s="6">
        <v>307032</v>
      </c>
      <c r="V1064" s="6">
        <v>-27844</v>
      </c>
      <c r="W1064" s="6">
        <v>0</v>
      </c>
      <c r="X1064" s="6">
        <v>15209</v>
      </c>
      <c r="Y1064" s="6">
        <v>22431</v>
      </c>
      <c r="Z1064" s="6">
        <v>5594</v>
      </c>
      <c r="AA1064" s="6">
        <v>1941</v>
      </c>
      <c r="AB1064" s="6">
        <v>45</v>
      </c>
      <c r="AC1064" s="6">
        <v>470</v>
      </c>
      <c r="AD1064" s="6">
        <v>411</v>
      </c>
      <c r="AE1064" s="6">
        <v>18206</v>
      </c>
      <c r="AF1064" s="6">
        <v>32907</v>
      </c>
    </row>
    <row r="1065" spans="1:32" x14ac:dyDescent="0.35">
      <c r="A1065" s="1">
        <v>45000</v>
      </c>
      <c r="B1065" s="6">
        <v>8639300</v>
      </c>
      <c r="C1065" s="6">
        <v>11037</v>
      </c>
      <c r="D1065" s="6">
        <v>5200</v>
      </c>
      <c r="E1065" s="6">
        <v>1305</v>
      </c>
      <c r="F1065" s="6">
        <v>8536890</v>
      </c>
      <c r="G1065" s="6">
        <v>7940014</v>
      </c>
      <c r="H1065" s="6">
        <v>5328927</v>
      </c>
      <c r="I1065" s="6">
        <v>283187</v>
      </c>
      <c r="J1065" s="6">
        <v>4566632</v>
      </c>
      <c r="K1065" s="6">
        <v>377024</v>
      </c>
      <c r="L1065" s="6">
        <v>102083</v>
      </c>
      <c r="M1065" s="6">
        <v>31768</v>
      </c>
      <c r="N1065" s="6">
        <v>388219</v>
      </c>
      <c r="O1065" s="6">
        <v>651945</v>
      </c>
      <c r="P1065" s="6">
        <v>1869875</v>
      </c>
      <c r="Q1065" s="6">
        <v>908799</v>
      </c>
      <c r="R1065" s="6">
        <v>1478320</v>
      </c>
      <c r="S1065" s="6">
        <v>2347</v>
      </c>
      <c r="T1065" s="6">
        <v>2608741</v>
      </c>
      <c r="U1065" s="6">
        <v>306448</v>
      </c>
      <c r="V1065" s="6">
        <v>-27720</v>
      </c>
      <c r="W1065" s="6">
        <v>0</v>
      </c>
      <c r="X1065" s="6">
        <v>318148</v>
      </c>
      <c r="Y1065" s="6">
        <v>22261</v>
      </c>
      <c r="Z1065" s="6">
        <v>5597</v>
      </c>
      <c r="AA1065" s="6">
        <v>1942</v>
      </c>
      <c r="AB1065" s="6">
        <v>57</v>
      </c>
      <c r="AC1065" s="6">
        <v>470</v>
      </c>
      <c r="AD1065" s="6">
        <v>472</v>
      </c>
      <c r="AE1065" s="6">
        <v>18418</v>
      </c>
      <c r="AF1065" s="6">
        <v>35651</v>
      </c>
    </row>
    <row r="1066" spans="1:32" x14ac:dyDescent="0.35">
      <c r="A1066" s="1">
        <v>45007</v>
      </c>
      <c r="B1066" s="6">
        <v>8733787</v>
      </c>
      <c r="C1066" s="6">
        <v>11037</v>
      </c>
      <c r="D1066" s="6">
        <v>5200</v>
      </c>
      <c r="E1066" s="6">
        <v>1285</v>
      </c>
      <c r="F1066" s="6">
        <v>8628927</v>
      </c>
      <c r="G1066" s="6">
        <v>7936558</v>
      </c>
      <c r="H1066" s="6">
        <v>5328976</v>
      </c>
      <c r="I1066" s="6">
        <v>282374</v>
      </c>
      <c r="J1066" s="6">
        <v>4566632</v>
      </c>
      <c r="K1066" s="6">
        <v>377024</v>
      </c>
      <c r="L1066" s="6">
        <v>102945</v>
      </c>
      <c r="M1066" s="6">
        <v>84318</v>
      </c>
      <c r="N1066" s="6">
        <v>351347</v>
      </c>
      <c r="O1066" s="6">
        <v>640817</v>
      </c>
      <c r="P1066" s="6">
        <v>1864912</v>
      </c>
      <c r="Q1066" s="6">
        <v>909034</v>
      </c>
      <c r="R1066" s="6">
        <v>1478547</v>
      </c>
      <c r="S1066" s="6">
        <v>2347</v>
      </c>
      <c r="T1066" s="6">
        <v>2605235</v>
      </c>
      <c r="U1066" s="6">
        <v>305773</v>
      </c>
      <c r="V1066" s="6">
        <v>-27594</v>
      </c>
      <c r="W1066" s="6">
        <v>60000</v>
      </c>
      <c r="X1066" s="6">
        <v>354191</v>
      </c>
      <c r="Y1066" s="6">
        <v>22282</v>
      </c>
      <c r="Z1066" s="6">
        <v>5599</v>
      </c>
      <c r="AA1066" s="6">
        <v>1944</v>
      </c>
      <c r="AB1066" s="6">
        <v>52</v>
      </c>
      <c r="AC1066" s="6">
        <v>475</v>
      </c>
      <c r="AD1066" s="6">
        <v>587</v>
      </c>
      <c r="AE1066" s="6">
        <v>18706</v>
      </c>
      <c r="AF1066" s="6">
        <v>37692</v>
      </c>
    </row>
    <row r="1067" spans="1:32" x14ac:dyDescent="0.35">
      <c r="A1067" s="1">
        <v>45014</v>
      </c>
      <c r="B1067" s="6">
        <v>8705942</v>
      </c>
      <c r="C1067" s="6">
        <v>11037</v>
      </c>
      <c r="D1067" s="6">
        <v>5200</v>
      </c>
      <c r="E1067" s="6">
        <v>1289</v>
      </c>
      <c r="F1067" s="6">
        <v>8601335</v>
      </c>
      <c r="G1067" s="6">
        <v>7926131</v>
      </c>
      <c r="H1067" s="6">
        <v>5329303</v>
      </c>
      <c r="I1067" s="6">
        <v>281840</v>
      </c>
      <c r="J1067" s="6">
        <v>4566632</v>
      </c>
      <c r="K1067" s="6">
        <v>377024</v>
      </c>
      <c r="L1067" s="6">
        <v>103806</v>
      </c>
      <c r="M1067" s="6">
        <v>90307</v>
      </c>
      <c r="N1067" s="6">
        <v>343815</v>
      </c>
      <c r="O1067" s="6">
        <v>641873</v>
      </c>
      <c r="P1067" s="6">
        <v>1865265</v>
      </c>
      <c r="Q1067" s="6">
        <v>909269</v>
      </c>
      <c r="R1067" s="6">
        <v>1478775</v>
      </c>
      <c r="S1067" s="6">
        <v>2347</v>
      </c>
      <c r="T1067" s="6">
        <v>2594480</v>
      </c>
      <c r="U1067" s="6">
        <v>304958</v>
      </c>
      <c r="V1067" s="6">
        <v>-27421</v>
      </c>
      <c r="W1067" s="6">
        <v>55000</v>
      </c>
      <c r="X1067" s="6">
        <v>342667</v>
      </c>
      <c r="Y1067" s="6">
        <v>22304</v>
      </c>
      <c r="Z1067" s="6">
        <v>5602</v>
      </c>
      <c r="AA1067" s="6">
        <v>1946</v>
      </c>
      <c r="AB1067" s="6">
        <v>50</v>
      </c>
      <c r="AC1067" s="6">
        <v>474</v>
      </c>
      <c r="AD1067" s="6">
        <v>585</v>
      </c>
      <c r="AE1067" s="6">
        <v>18745</v>
      </c>
      <c r="AF1067" s="6">
        <v>37376</v>
      </c>
    </row>
    <row r="1068" spans="1:32" x14ac:dyDescent="0.35">
      <c r="A1068" s="1">
        <v>45021</v>
      </c>
      <c r="B1068" s="6">
        <v>8632384</v>
      </c>
      <c r="C1068" s="6">
        <v>11037</v>
      </c>
      <c r="D1068" s="6">
        <v>5200</v>
      </c>
      <c r="E1068" s="6">
        <v>1298</v>
      </c>
      <c r="F1068" s="6">
        <v>8526597</v>
      </c>
      <c r="G1068" s="6">
        <v>7877114</v>
      </c>
      <c r="H1068" s="6">
        <v>5280287</v>
      </c>
      <c r="I1068" s="6">
        <v>280966</v>
      </c>
      <c r="J1068" s="6">
        <v>4517796</v>
      </c>
      <c r="K1068" s="6">
        <v>377024</v>
      </c>
      <c r="L1068" s="6">
        <v>104500</v>
      </c>
      <c r="M1068" s="6">
        <v>67381</v>
      </c>
      <c r="N1068" s="6">
        <v>353015</v>
      </c>
      <c r="O1068" s="6">
        <v>645398</v>
      </c>
      <c r="P1068" s="6">
        <v>1842963</v>
      </c>
      <c r="Q1068" s="6">
        <v>892571</v>
      </c>
      <c r="R1068" s="6">
        <v>1478959</v>
      </c>
      <c r="S1068" s="6">
        <v>2347</v>
      </c>
      <c r="T1068" s="6">
        <v>2594480</v>
      </c>
      <c r="U1068" s="6">
        <v>304395</v>
      </c>
      <c r="V1068" s="6">
        <v>-27362</v>
      </c>
      <c r="W1068" s="6">
        <v>40000</v>
      </c>
      <c r="X1068" s="6">
        <v>332449</v>
      </c>
      <c r="Y1068" s="6">
        <v>22326</v>
      </c>
      <c r="Z1068" s="6">
        <v>5604</v>
      </c>
      <c r="AA1068" s="6">
        <v>1923</v>
      </c>
      <c r="AB1068" s="6">
        <v>54</v>
      </c>
      <c r="AC1068" s="6">
        <v>453</v>
      </c>
      <c r="AD1068" s="6">
        <v>478</v>
      </c>
      <c r="AE1068" s="6">
        <v>18935</v>
      </c>
      <c r="AF1068" s="6">
        <v>38479</v>
      </c>
    </row>
    <row r="1069" spans="1:32" x14ac:dyDescent="0.35">
      <c r="A1069" s="1">
        <v>45028</v>
      </c>
      <c r="B1069" s="6">
        <v>8614797</v>
      </c>
      <c r="C1069" s="6">
        <v>11037</v>
      </c>
      <c r="D1069" s="6">
        <v>5200</v>
      </c>
      <c r="E1069" s="6">
        <v>1309</v>
      </c>
      <c r="F1069" s="6">
        <v>8505394</v>
      </c>
      <c r="G1069" s="6">
        <v>7877741</v>
      </c>
      <c r="H1069" s="6">
        <v>5280914</v>
      </c>
      <c r="I1069" s="6">
        <v>280966</v>
      </c>
      <c r="J1069" s="6">
        <v>4517796</v>
      </c>
      <c r="K1069" s="6">
        <v>377024</v>
      </c>
      <c r="L1069" s="6">
        <v>105127</v>
      </c>
      <c r="M1069" s="6">
        <v>66708</v>
      </c>
      <c r="N1069" s="6">
        <v>354431</v>
      </c>
      <c r="O1069" s="6">
        <v>644689</v>
      </c>
      <c r="P1069" s="6">
        <v>1843220</v>
      </c>
      <c r="Q1069" s="6">
        <v>892742</v>
      </c>
      <c r="R1069" s="6">
        <v>1479124</v>
      </c>
      <c r="S1069" s="6">
        <v>2347</v>
      </c>
      <c r="T1069" s="6">
        <v>2594480</v>
      </c>
      <c r="U1069" s="6">
        <v>303880</v>
      </c>
      <c r="V1069" s="6">
        <v>-27314</v>
      </c>
      <c r="W1069" s="6">
        <v>30000</v>
      </c>
      <c r="X1069" s="6">
        <v>321087</v>
      </c>
      <c r="Y1069" s="6">
        <v>22351</v>
      </c>
      <c r="Z1069" s="6">
        <v>5607</v>
      </c>
      <c r="AA1069" s="6">
        <v>1925</v>
      </c>
      <c r="AB1069" s="6">
        <v>58</v>
      </c>
      <c r="AC1069" s="6">
        <v>453</v>
      </c>
      <c r="AD1069" s="6">
        <v>484</v>
      </c>
      <c r="AE1069" s="6">
        <v>18898</v>
      </c>
      <c r="AF1069" s="6">
        <v>42082</v>
      </c>
    </row>
    <row r="1070" spans="1:32" x14ac:dyDescent="0.35">
      <c r="A1070" s="1">
        <v>45035</v>
      </c>
      <c r="B1070" s="6">
        <v>8593263</v>
      </c>
      <c r="C1070" s="6">
        <v>11037</v>
      </c>
      <c r="D1070" s="6">
        <v>5200</v>
      </c>
      <c r="E1070" s="6">
        <v>1309</v>
      </c>
      <c r="F1070" s="6">
        <v>8481949</v>
      </c>
      <c r="G1070" s="6">
        <v>7860459</v>
      </c>
      <c r="H1070" s="6">
        <v>5265070</v>
      </c>
      <c r="I1070" s="6">
        <v>280966</v>
      </c>
      <c r="J1070" s="6">
        <v>4515362</v>
      </c>
      <c r="K1070" s="6">
        <v>365411</v>
      </c>
      <c r="L1070" s="6">
        <v>103330</v>
      </c>
      <c r="M1070" s="6">
        <v>107845</v>
      </c>
      <c r="N1070" s="6">
        <v>314290</v>
      </c>
      <c r="O1070" s="6">
        <v>660472</v>
      </c>
      <c r="P1070" s="6">
        <v>1822637</v>
      </c>
      <c r="Q1070" s="6">
        <v>879385</v>
      </c>
      <c r="R1070" s="6">
        <v>1480441</v>
      </c>
      <c r="S1070" s="6">
        <v>2347</v>
      </c>
      <c r="T1070" s="6">
        <v>2593042</v>
      </c>
      <c r="U1070" s="6">
        <v>303280</v>
      </c>
      <c r="V1070" s="6">
        <v>-27248</v>
      </c>
      <c r="W1070" s="6">
        <v>20000</v>
      </c>
      <c r="X1070" s="6">
        <v>325458</v>
      </c>
      <c r="Y1070" s="6">
        <v>22154</v>
      </c>
      <c r="Z1070" s="6">
        <v>5610</v>
      </c>
      <c r="AA1070" s="6">
        <v>1927</v>
      </c>
      <c r="AB1070" s="6">
        <v>52</v>
      </c>
      <c r="AC1070" s="6">
        <v>454</v>
      </c>
      <c r="AD1070" s="6">
        <v>480</v>
      </c>
      <c r="AE1070" s="6">
        <v>18785</v>
      </c>
      <c r="AF1070" s="6">
        <v>44308</v>
      </c>
    </row>
    <row r="1071" spans="1:32" x14ac:dyDescent="0.35">
      <c r="A1071" s="1">
        <v>45042</v>
      </c>
      <c r="B1071" s="6">
        <v>8562768</v>
      </c>
      <c r="C1071" s="6">
        <v>11037</v>
      </c>
      <c r="D1071" s="6">
        <v>5200</v>
      </c>
      <c r="E1071" s="6">
        <v>1301</v>
      </c>
      <c r="F1071" s="6">
        <v>8452870</v>
      </c>
      <c r="G1071" s="6">
        <v>7843852</v>
      </c>
      <c r="H1071" s="6">
        <v>5265728</v>
      </c>
      <c r="I1071" s="6">
        <v>280966</v>
      </c>
      <c r="J1071" s="6">
        <v>4515412</v>
      </c>
      <c r="K1071" s="6">
        <v>365411</v>
      </c>
      <c r="L1071" s="6">
        <v>103939</v>
      </c>
      <c r="M1071" s="6">
        <v>103847</v>
      </c>
      <c r="N1071" s="6">
        <v>313893</v>
      </c>
      <c r="O1071" s="6">
        <v>664899</v>
      </c>
      <c r="P1071" s="6">
        <v>1822898</v>
      </c>
      <c r="Q1071" s="6">
        <v>879586</v>
      </c>
      <c r="R1071" s="6">
        <v>1480606</v>
      </c>
      <c r="S1071" s="6">
        <v>2347</v>
      </c>
      <c r="T1071" s="6">
        <v>2575776</v>
      </c>
      <c r="U1071" s="6">
        <v>302252</v>
      </c>
      <c r="V1071" s="6">
        <v>-27364</v>
      </c>
      <c r="W1071" s="6">
        <v>0</v>
      </c>
      <c r="X1071" s="6">
        <v>334130</v>
      </c>
      <c r="Y1071" s="6">
        <v>22179</v>
      </c>
      <c r="Z1071" s="6">
        <v>5613</v>
      </c>
      <c r="AA1071" s="6">
        <v>1929</v>
      </c>
      <c r="AB1071" s="6">
        <v>52</v>
      </c>
      <c r="AC1071" s="6">
        <v>453</v>
      </c>
      <c r="AD1071" s="6">
        <v>418</v>
      </c>
      <c r="AE1071" s="6">
        <v>18952</v>
      </c>
      <c r="AF1071" s="6">
        <v>42764</v>
      </c>
    </row>
    <row r="1072" spans="1:32" x14ac:dyDescent="0.35">
      <c r="A1072" s="1">
        <v>45049</v>
      </c>
      <c r="B1072" s="6">
        <v>8503994</v>
      </c>
      <c r="C1072" s="6">
        <v>11037</v>
      </c>
      <c r="D1072" s="6">
        <v>5200</v>
      </c>
      <c r="E1072" s="6">
        <v>1291</v>
      </c>
      <c r="F1072" s="6">
        <v>8392999</v>
      </c>
      <c r="G1072" s="6">
        <v>7800812</v>
      </c>
      <c r="H1072" s="6">
        <v>5222684</v>
      </c>
      <c r="I1072" s="6">
        <v>280966</v>
      </c>
      <c r="J1072" s="6">
        <v>4471870</v>
      </c>
      <c r="K1072" s="6">
        <v>365411</v>
      </c>
      <c r="L1072" s="6">
        <v>104437</v>
      </c>
      <c r="M1072" s="6">
        <v>107613</v>
      </c>
      <c r="N1072" s="6">
        <v>282587</v>
      </c>
      <c r="O1072" s="6">
        <v>657469</v>
      </c>
      <c r="P1072" s="6">
        <v>1821818</v>
      </c>
      <c r="Q1072" s="6">
        <v>871284</v>
      </c>
      <c r="R1072" s="6">
        <v>1481913</v>
      </c>
      <c r="S1072" s="6">
        <v>2347</v>
      </c>
      <c r="T1072" s="6">
        <v>2575780</v>
      </c>
      <c r="U1072" s="6">
        <v>301683</v>
      </c>
      <c r="V1072" s="6">
        <v>-27333</v>
      </c>
      <c r="W1072" s="6">
        <v>0</v>
      </c>
      <c r="X1072" s="6">
        <v>317837</v>
      </c>
      <c r="Y1072" s="6">
        <v>22237</v>
      </c>
      <c r="Z1072" s="6">
        <v>5615</v>
      </c>
      <c r="AA1072" s="6">
        <v>1898</v>
      </c>
      <c r="AB1072" s="6">
        <v>60</v>
      </c>
      <c r="AC1072" s="6">
        <v>441</v>
      </c>
      <c r="AD1072" s="6">
        <v>410</v>
      </c>
      <c r="AE1072" s="6">
        <v>18872</v>
      </c>
      <c r="AF1072" s="6">
        <v>43934</v>
      </c>
    </row>
    <row r="1073" spans="1:32" x14ac:dyDescent="0.35">
      <c r="A1073" s="1">
        <v>45056</v>
      </c>
      <c r="B1073" s="6">
        <v>8503017</v>
      </c>
      <c r="C1073" s="6">
        <v>11037</v>
      </c>
      <c r="D1073" s="6">
        <v>5200</v>
      </c>
      <c r="E1073" s="6">
        <v>1295</v>
      </c>
      <c r="F1073" s="6">
        <v>8388461</v>
      </c>
      <c r="G1073" s="6">
        <v>7801273</v>
      </c>
      <c r="H1073" s="6">
        <v>5223146</v>
      </c>
      <c r="I1073" s="6">
        <v>281041</v>
      </c>
      <c r="J1073" s="6">
        <v>4471870</v>
      </c>
      <c r="K1073" s="6">
        <v>365436</v>
      </c>
      <c r="L1073" s="6">
        <v>104799</v>
      </c>
      <c r="M1073" s="6">
        <v>103153</v>
      </c>
      <c r="N1073" s="6">
        <v>286705</v>
      </c>
      <c r="O1073" s="6">
        <v>657905</v>
      </c>
      <c r="P1073" s="6">
        <v>1821980</v>
      </c>
      <c r="Q1073" s="6">
        <v>871395</v>
      </c>
      <c r="R1073" s="6">
        <v>1482009</v>
      </c>
      <c r="S1073" s="6">
        <v>2347</v>
      </c>
      <c r="T1073" s="6">
        <v>2575780</v>
      </c>
      <c r="U1073" s="6">
        <v>301158</v>
      </c>
      <c r="V1073" s="6">
        <v>-27355</v>
      </c>
      <c r="W1073" s="6">
        <v>25</v>
      </c>
      <c r="X1073" s="6">
        <v>313360</v>
      </c>
      <c r="Y1073" s="6">
        <v>22260</v>
      </c>
      <c r="Z1073" s="6">
        <v>5618</v>
      </c>
      <c r="AA1073" s="6">
        <v>1900</v>
      </c>
      <c r="AB1073" s="6">
        <v>88</v>
      </c>
      <c r="AC1073" s="6">
        <v>447</v>
      </c>
      <c r="AD1073" s="6">
        <v>422</v>
      </c>
      <c r="AE1073" s="6">
        <v>18826</v>
      </c>
      <c r="AF1073" s="6">
        <v>47463</v>
      </c>
    </row>
    <row r="1074" spans="1:32" x14ac:dyDescent="0.35">
      <c r="A1074" s="1">
        <v>45063</v>
      </c>
      <c r="B1074" s="6">
        <v>8456760</v>
      </c>
      <c r="C1074" s="6">
        <v>11037</v>
      </c>
      <c r="D1074" s="6">
        <v>5200</v>
      </c>
      <c r="E1074" s="6">
        <v>1303</v>
      </c>
      <c r="F1074" s="6">
        <v>8357203</v>
      </c>
      <c r="G1074" s="6">
        <v>7771385</v>
      </c>
      <c r="H1074" s="6">
        <v>5194610</v>
      </c>
      <c r="I1074" s="6">
        <v>281041</v>
      </c>
      <c r="J1074" s="6">
        <v>4442983</v>
      </c>
      <c r="K1074" s="6">
        <v>365436</v>
      </c>
      <c r="L1074" s="6">
        <v>105150</v>
      </c>
      <c r="M1074" s="6">
        <v>106859</v>
      </c>
      <c r="N1074" s="6">
        <v>312778</v>
      </c>
      <c r="O1074" s="6">
        <v>620092</v>
      </c>
      <c r="P1074" s="6">
        <v>1796961</v>
      </c>
      <c r="Q1074" s="6">
        <v>860559</v>
      </c>
      <c r="R1074" s="6">
        <v>1497361</v>
      </c>
      <c r="S1074" s="6">
        <v>2347</v>
      </c>
      <c r="T1074" s="6">
        <v>2574428</v>
      </c>
      <c r="U1074" s="6">
        <v>300483</v>
      </c>
      <c r="V1074" s="6">
        <v>-27510</v>
      </c>
      <c r="W1074" s="6">
        <v>6</v>
      </c>
      <c r="X1074" s="6">
        <v>312840</v>
      </c>
      <c r="Y1074" s="6">
        <v>22002</v>
      </c>
      <c r="Z1074" s="6">
        <v>5621</v>
      </c>
      <c r="AA1074" s="6">
        <v>1902</v>
      </c>
      <c r="AB1074" s="6">
        <v>48</v>
      </c>
      <c r="AC1074" s="6">
        <v>450</v>
      </c>
      <c r="AD1074" s="6">
        <v>410</v>
      </c>
      <c r="AE1074" s="6">
        <v>18532</v>
      </c>
      <c r="AF1074" s="6">
        <v>33054</v>
      </c>
    </row>
    <row r="1075" spans="1:32" x14ac:dyDescent="0.35">
      <c r="A1075" s="1">
        <v>45070</v>
      </c>
      <c r="B1075" s="6">
        <v>8436255</v>
      </c>
      <c r="C1075" s="6">
        <v>11037</v>
      </c>
      <c r="D1075" s="6">
        <v>5200</v>
      </c>
      <c r="E1075" s="6">
        <v>1290</v>
      </c>
      <c r="F1075" s="6">
        <v>8336599</v>
      </c>
      <c r="G1075" s="6">
        <v>7767733</v>
      </c>
      <c r="H1075" s="6">
        <v>5194961</v>
      </c>
      <c r="I1075" s="6">
        <v>281041</v>
      </c>
      <c r="J1075" s="6">
        <v>4442983</v>
      </c>
      <c r="K1075" s="6">
        <v>365436</v>
      </c>
      <c r="L1075" s="6">
        <v>105501</v>
      </c>
      <c r="M1075" s="6">
        <v>95887</v>
      </c>
      <c r="N1075" s="6">
        <v>318272</v>
      </c>
      <c r="O1075" s="6">
        <v>625588</v>
      </c>
      <c r="P1075" s="6">
        <v>1797112</v>
      </c>
      <c r="Q1075" s="6">
        <v>870181</v>
      </c>
      <c r="R1075" s="6">
        <v>1487921</v>
      </c>
      <c r="S1075" s="6">
        <v>2347</v>
      </c>
      <c r="T1075" s="6">
        <v>2570425</v>
      </c>
      <c r="U1075" s="6">
        <v>299701</v>
      </c>
      <c r="V1075" s="6">
        <v>-27725</v>
      </c>
      <c r="W1075" s="6">
        <v>30</v>
      </c>
      <c r="X1075" s="6">
        <v>296860</v>
      </c>
      <c r="Y1075" s="6">
        <v>20257</v>
      </c>
      <c r="Z1075" s="6">
        <v>5579</v>
      </c>
      <c r="AA1075" s="6">
        <v>1752</v>
      </c>
      <c r="AB1075" s="6">
        <v>34</v>
      </c>
      <c r="AC1075" s="6">
        <v>456</v>
      </c>
      <c r="AD1075" s="6">
        <v>391</v>
      </c>
      <c r="AE1075" s="6">
        <v>18378</v>
      </c>
      <c r="AF1075" s="6">
        <v>35283</v>
      </c>
    </row>
    <row r="1076" spans="1:32" x14ac:dyDescent="0.35">
      <c r="A1076" s="1">
        <v>45077</v>
      </c>
      <c r="B1076" s="6">
        <v>8385854</v>
      </c>
      <c r="C1076" s="6">
        <v>11037</v>
      </c>
      <c r="D1076" s="6">
        <v>5200</v>
      </c>
      <c r="E1076" s="6">
        <v>1281</v>
      </c>
      <c r="F1076" s="6">
        <v>8289448</v>
      </c>
      <c r="G1076" s="6">
        <v>7724820</v>
      </c>
      <c r="H1076" s="6">
        <v>5164237</v>
      </c>
      <c r="I1076" s="6">
        <v>281041</v>
      </c>
      <c r="J1076" s="6">
        <v>4409053</v>
      </c>
      <c r="K1076" s="6">
        <v>368253</v>
      </c>
      <c r="L1076" s="6">
        <v>105889</v>
      </c>
      <c r="M1076" s="6">
        <v>49400</v>
      </c>
      <c r="N1076" s="6">
        <v>304685</v>
      </c>
      <c r="O1076" s="6">
        <v>626398</v>
      </c>
      <c r="P1076" s="6">
        <v>1825259</v>
      </c>
      <c r="Q1076" s="6">
        <v>867661</v>
      </c>
      <c r="R1076" s="6">
        <v>1490834</v>
      </c>
      <c r="S1076" s="6">
        <v>2347</v>
      </c>
      <c r="T1076" s="6">
        <v>2558236</v>
      </c>
      <c r="U1076" s="6">
        <v>298829</v>
      </c>
      <c r="V1076" s="6">
        <v>-27846</v>
      </c>
      <c r="W1076" s="6">
        <v>0</v>
      </c>
      <c r="X1076" s="6">
        <v>293644</v>
      </c>
      <c r="Y1076" s="6">
        <v>20279</v>
      </c>
      <c r="Z1076" s="6">
        <v>5582</v>
      </c>
      <c r="AA1076" s="6">
        <v>1708</v>
      </c>
      <c r="AB1076" s="6">
        <v>58</v>
      </c>
      <c r="AC1076" s="6">
        <v>468</v>
      </c>
      <c r="AD1076" s="6">
        <v>392</v>
      </c>
      <c r="AE1076" s="6">
        <v>18258</v>
      </c>
      <c r="AF1076" s="6">
        <v>32143</v>
      </c>
    </row>
    <row r="1077" spans="1:32" x14ac:dyDescent="0.35">
      <c r="A1077" s="1">
        <v>45084</v>
      </c>
      <c r="B1077" s="6">
        <v>8389325</v>
      </c>
      <c r="C1077" s="6">
        <v>11037</v>
      </c>
      <c r="D1077" s="6">
        <v>5200</v>
      </c>
      <c r="E1077" s="6">
        <v>1305</v>
      </c>
      <c r="F1077" s="6">
        <v>8289361</v>
      </c>
      <c r="G1077" s="6">
        <v>7722405</v>
      </c>
      <c r="H1077" s="6">
        <v>5161822</v>
      </c>
      <c r="I1077" s="6">
        <v>278066</v>
      </c>
      <c r="J1077" s="6">
        <v>4409053</v>
      </c>
      <c r="K1077" s="6">
        <v>368253</v>
      </c>
      <c r="L1077" s="6">
        <v>106449</v>
      </c>
      <c r="M1077" s="6">
        <v>40629</v>
      </c>
      <c r="N1077" s="6">
        <v>344038</v>
      </c>
      <c r="O1077" s="6">
        <v>636021</v>
      </c>
      <c r="P1077" s="6">
        <v>1782346</v>
      </c>
      <c r="Q1077" s="6">
        <v>867802</v>
      </c>
      <c r="R1077" s="6">
        <v>1490985</v>
      </c>
      <c r="S1077" s="6">
        <v>2347</v>
      </c>
      <c r="T1077" s="6">
        <v>2558236</v>
      </c>
      <c r="U1077" s="6">
        <v>298320</v>
      </c>
      <c r="V1077" s="6">
        <v>-27760</v>
      </c>
      <c r="W1077" s="6">
        <v>0</v>
      </c>
      <c r="X1077" s="6">
        <v>296396</v>
      </c>
      <c r="Y1077" s="6">
        <v>20301</v>
      </c>
      <c r="Z1077" s="6">
        <v>5584</v>
      </c>
      <c r="AA1077" s="6">
        <v>1710</v>
      </c>
      <c r="AB1077" s="6">
        <v>65</v>
      </c>
      <c r="AC1077" s="6">
        <v>447</v>
      </c>
      <c r="AD1077" s="6">
        <v>343</v>
      </c>
      <c r="AE1077" s="6">
        <v>18287</v>
      </c>
      <c r="AF1077" s="6">
        <v>35684</v>
      </c>
    </row>
    <row r="1078" spans="1:32" x14ac:dyDescent="0.35">
      <c r="A1078" s="1">
        <v>45091</v>
      </c>
      <c r="B1078" s="6">
        <v>8388323</v>
      </c>
      <c r="C1078" s="6">
        <v>11037</v>
      </c>
      <c r="D1078" s="6">
        <v>5200</v>
      </c>
      <c r="E1078" s="6">
        <v>1317</v>
      </c>
      <c r="F1078" s="6">
        <v>8284744</v>
      </c>
      <c r="G1078" s="6">
        <v>7720770</v>
      </c>
      <c r="H1078" s="6">
        <v>5160251</v>
      </c>
      <c r="I1078" s="6">
        <v>275936</v>
      </c>
      <c r="J1078" s="6">
        <v>4409053</v>
      </c>
      <c r="K1078" s="6">
        <v>368253</v>
      </c>
      <c r="L1078" s="6">
        <v>107009</v>
      </c>
      <c r="M1078" s="6">
        <v>44873</v>
      </c>
      <c r="N1078" s="6">
        <v>341303</v>
      </c>
      <c r="O1078" s="6">
        <v>632410</v>
      </c>
      <c r="P1078" s="6">
        <v>1782584</v>
      </c>
      <c r="Q1078" s="6">
        <v>867943</v>
      </c>
      <c r="R1078" s="6">
        <v>1491137</v>
      </c>
      <c r="S1078" s="6">
        <v>2347</v>
      </c>
      <c r="T1078" s="6">
        <v>2558172</v>
      </c>
      <c r="U1078" s="6">
        <v>297767</v>
      </c>
      <c r="V1078" s="6">
        <v>-27605</v>
      </c>
      <c r="W1078" s="6">
        <v>0</v>
      </c>
      <c r="X1078" s="6">
        <v>293812</v>
      </c>
      <c r="Y1078" s="6">
        <v>20324</v>
      </c>
      <c r="Z1078" s="6">
        <v>5587</v>
      </c>
      <c r="AA1078" s="6">
        <v>1712</v>
      </c>
      <c r="AB1078" s="6">
        <v>56</v>
      </c>
      <c r="AC1078" s="6">
        <v>456</v>
      </c>
      <c r="AD1078" s="6">
        <v>337</v>
      </c>
      <c r="AE1078" s="6">
        <v>18494</v>
      </c>
      <c r="AF1078" s="6">
        <v>39059</v>
      </c>
    </row>
    <row r="1079" spans="1:32" x14ac:dyDescent="0.35">
      <c r="A1079" s="1">
        <v>45098</v>
      </c>
      <c r="B1079" s="6">
        <v>8362060</v>
      </c>
      <c r="C1079" s="6">
        <v>11037</v>
      </c>
      <c r="D1079" s="6">
        <v>5200</v>
      </c>
      <c r="E1079" s="6">
        <v>1330</v>
      </c>
      <c r="F1079" s="6">
        <v>8256800</v>
      </c>
      <c r="G1079" s="6">
        <v>7701409</v>
      </c>
      <c r="H1079" s="6">
        <v>5145712</v>
      </c>
      <c r="I1079" s="6">
        <v>272967</v>
      </c>
      <c r="J1079" s="6">
        <v>4396923</v>
      </c>
      <c r="K1079" s="6">
        <v>368253</v>
      </c>
      <c r="L1079" s="6">
        <v>107568</v>
      </c>
      <c r="M1079" s="6">
        <v>68889</v>
      </c>
      <c r="N1079" s="6">
        <v>317251</v>
      </c>
      <c r="O1079" s="6">
        <v>630191</v>
      </c>
      <c r="P1079" s="6">
        <v>1769959</v>
      </c>
      <c r="Q1079" s="6">
        <v>868084</v>
      </c>
      <c r="R1079" s="6">
        <v>1491338</v>
      </c>
      <c r="S1079" s="6">
        <v>2347</v>
      </c>
      <c r="T1079" s="6">
        <v>2553350</v>
      </c>
      <c r="U1079" s="6">
        <v>297048</v>
      </c>
      <c r="V1079" s="6">
        <v>-27593</v>
      </c>
      <c r="W1079" s="6">
        <v>2</v>
      </c>
      <c r="X1079" s="6">
        <v>285934</v>
      </c>
      <c r="Y1079" s="6">
        <v>19928</v>
      </c>
      <c r="Z1079" s="6">
        <v>5590</v>
      </c>
      <c r="AA1079" s="6">
        <v>1713</v>
      </c>
      <c r="AB1079" s="6">
        <v>62</v>
      </c>
      <c r="AC1079" s="6">
        <v>461</v>
      </c>
      <c r="AD1079" s="6">
        <v>289</v>
      </c>
      <c r="AE1079" s="6">
        <v>18467</v>
      </c>
      <c r="AF1079" s="6">
        <v>41183</v>
      </c>
    </row>
    <row r="1080" spans="1:32" x14ac:dyDescent="0.35">
      <c r="A1080" s="1">
        <v>45105</v>
      </c>
      <c r="B1080" s="6">
        <v>8340914</v>
      </c>
      <c r="C1080" s="6">
        <v>11037</v>
      </c>
      <c r="D1080" s="6">
        <v>5200</v>
      </c>
      <c r="E1080" s="6">
        <v>1336</v>
      </c>
      <c r="F1080" s="6">
        <v>8236377</v>
      </c>
      <c r="G1080" s="6">
        <v>7685565</v>
      </c>
      <c r="H1080" s="6">
        <v>5145080</v>
      </c>
      <c r="I1080" s="6">
        <v>271803</v>
      </c>
      <c r="J1080" s="6">
        <v>4396923</v>
      </c>
      <c r="K1080" s="6">
        <v>368228</v>
      </c>
      <c r="L1080" s="6">
        <v>108126</v>
      </c>
      <c r="M1080" s="6">
        <v>80856</v>
      </c>
      <c r="N1080" s="6">
        <v>304832</v>
      </c>
      <c r="O1080" s="6">
        <v>629508</v>
      </c>
      <c r="P1080" s="6">
        <v>1770197</v>
      </c>
      <c r="Q1080" s="6">
        <v>868202</v>
      </c>
      <c r="R1080" s="6">
        <v>1491486</v>
      </c>
      <c r="S1080" s="6">
        <v>2347</v>
      </c>
      <c r="T1080" s="6">
        <v>2538138</v>
      </c>
      <c r="U1080" s="6">
        <v>296132</v>
      </c>
      <c r="V1080" s="6">
        <v>-27346</v>
      </c>
      <c r="W1080" s="6">
        <v>0</v>
      </c>
      <c r="X1080" s="6">
        <v>282026</v>
      </c>
      <c r="Y1080" s="6">
        <v>19949</v>
      </c>
      <c r="Z1080" s="6">
        <v>5593</v>
      </c>
      <c r="AA1080" s="6">
        <v>1715</v>
      </c>
      <c r="AB1080" s="6">
        <v>50</v>
      </c>
      <c r="AC1080" s="6">
        <v>463</v>
      </c>
      <c r="AD1080" s="6">
        <v>310</v>
      </c>
      <c r="AE1080" s="6">
        <v>18324</v>
      </c>
      <c r="AF1080" s="6">
        <v>40560</v>
      </c>
    </row>
    <row r="1081" spans="1:32" x14ac:dyDescent="0.35">
      <c r="A1081" s="1">
        <v>45112</v>
      </c>
      <c r="B1081" s="6">
        <v>8298312</v>
      </c>
      <c r="C1081" s="6">
        <v>11037</v>
      </c>
      <c r="D1081" s="6">
        <v>5200</v>
      </c>
      <c r="E1081" s="6">
        <v>1323</v>
      </c>
      <c r="F1081" s="6">
        <v>8192587</v>
      </c>
      <c r="G1081" s="6">
        <v>7646946</v>
      </c>
      <c r="H1081" s="6">
        <v>5106460</v>
      </c>
      <c r="I1081" s="6">
        <v>268928</v>
      </c>
      <c r="J1081" s="6">
        <v>4360825</v>
      </c>
      <c r="K1081" s="6">
        <v>368228</v>
      </c>
      <c r="L1081" s="6">
        <v>108479</v>
      </c>
      <c r="M1081" s="6">
        <v>63003</v>
      </c>
      <c r="N1081" s="6">
        <v>307238</v>
      </c>
      <c r="O1081" s="6">
        <v>628810</v>
      </c>
      <c r="P1081" s="6">
        <v>1761756</v>
      </c>
      <c r="Q1081" s="6">
        <v>854072</v>
      </c>
      <c r="R1081" s="6">
        <v>1491581</v>
      </c>
      <c r="S1081" s="6">
        <v>2347</v>
      </c>
      <c r="T1081" s="6">
        <v>2538138</v>
      </c>
      <c r="U1081" s="6">
        <v>295568</v>
      </c>
      <c r="V1081" s="6">
        <v>-27258</v>
      </c>
      <c r="W1081" s="6">
        <v>0</v>
      </c>
      <c r="X1081" s="6">
        <v>277332</v>
      </c>
      <c r="Y1081" s="6">
        <v>19969</v>
      </c>
      <c r="Z1081" s="6">
        <v>5595</v>
      </c>
      <c r="AA1081" s="6">
        <v>1639</v>
      </c>
      <c r="AB1081" s="6">
        <v>69</v>
      </c>
      <c r="AC1081" s="6">
        <v>447</v>
      </c>
      <c r="AD1081" s="6">
        <v>219</v>
      </c>
      <c r="AE1081" s="6">
        <v>18276</v>
      </c>
      <c r="AF1081" s="6">
        <v>41951</v>
      </c>
    </row>
    <row r="1082" spans="1:32" x14ac:dyDescent="0.35">
      <c r="A1082" s="1">
        <v>45119</v>
      </c>
      <c r="B1082" s="6">
        <v>8296923</v>
      </c>
      <c r="C1082" s="6">
        <v>11037</v>
      </c>
      <c r="D1082" s="6">
        <v>5200</v>
      </c>
      <c r="E1082" s="6">
        <v>1347</v>
      </c>
      <c r="F1082" s="6">
        <v>8187065</v>
      </c>
      <c r="G1082" s="6">
        <v>7644833</v>
      </c>
      <c r="H1082" s="6">
        <v>5104348</v>
      </c>
      <c r="I1082" s="6">
        <v>266544</v>
      </c>
      <c r="J1082" s="6">
        <v>4360825</v>
      </c>
      <c r="K1082" s="6">
        <v>368228</v>
      </c>
      <c r="L1082" s="6">
        <v>108750</v>
      </c>
      <c r="M1082" s="6">
        <v>61800</v>
      </c>
      <c r="N1082" s="6">
        <v>311030</v>
      </c>
      <c r="O1082" s="6">
        <v>623851</v>
      </c>
      <c r="P1082" s="6">
        <v>1761872</v>
      </c>
      <c r="Q1082" s="6">
        <v>854140</v>
      </c>
      <c r="R1082" s="6">
        <v>1491655</v>
      </c>
      <c r="S1082" s="6">
        <v>2347</v>
      </c>
      <c r="T1082" s="6">
        <v>2538138</v>
      </c>
      <c r="U1082" s="6">
        <v>295053</v>
      </c>
      <c r="V1082" s="6">
        <v>-27188</v>
      </c>
      <c r="W1082" s="6">
        <v>3</v>
      </c>
      <c r="X1082" s="6">
        <v>274364</v>
      </c>
      <c r="Y1082" s="6">
        <v>19992</v>
      </c>
      <c r="Z1082" s="6">
        <v>5598</v>
      </c>
      <c r="AA1082" s="6">
        <v>1641</v>
      </c>
      <c r="AB1082" s="6">
        <v>65</v>
      </c>
      <c r="AC1082" s="6">
        <v>450</v>
      </c>
      <c r="AD1082" s="6">
        <v>243</v>
      </c>
      <c r="AE1082" s="6">
        <v>18855</v>
      </c>
      <c r="AF1082" s="6">
        <v>45431</v>
      </c>
    </row>
    <row r="1083" spans="1:32" x14ac:dyDescent="0.35">
      <c r="A1083" s="1">
        <v>45126</v>
      </c>
      <c r="B1083" s="6">
        <v>8274552</v>
      </c>
      <c r="C1083" s="6">
        <v>11037</v>
      </c>
      <c r="D1083" s="6">
        <v>5200</v>
      </c>
      <c r="E1083" s="6">
        <v>1373</v>
      </c>
      <c r="F1083" s="6">
        <v>8162752</v>
      </c>
      <c r="G1083" s="6">
        <v>7623441</v>
      </c>
      <c r="H1083" s="6">
        <v>5083036</v>
      </c>
      <c r="I1083" s="6">
        <v>263617</v>
      </c>
      <c r="J1083" s="6">
        <v>4346972</v>
      </c>
      <c r="K1083" s="6">
        <v>364549</v>
      </c>
      <c r="L1083" s="6">
        <v>107897</v>
      </c>
      <c r="M1083" s="6">
        <v>74279</v>
      </c>
      <c r="N1083" s="6">
        <v>288159</v>
      </c>
      <c r="O1083" s="6">
        <v>646383</v>
      </c>
      <c r="P1083" s="6">
        <v>1740319</v>
      </c>
      <c r="Q1083" s="6">
        <v>842168</v>
      </c>
      <c r="R1083" s="6">
        <v>1491728</v>
      </c>
      <c r="S1083" s="6">
        <v>2347</v>
      </c>
      <c r="T1083" s="6">
        <v>2538059</v>
      </c>
      <c r="U1083" s="6">
        <v>294484</v>
      </c>
      <c r="V1083" s="6">
        <v>-27259</v>
      </c>
      <c r="W1083" s="6">
        <v>25</v>
      </c>
      <c r="X1083" s="6">
        <v>272061</v>
      </c>
      <c r="Y1083" s="6">
        <v>19713</v>
      </c>
      <c r="Z1083" s="6">
        <v>5601</v>
      </c>
      <c r="AA1083" s="6">
        <v>1642</v>
      </c>
      <c r="AB1083" s="6">
        <v>55</v>
      </c>
      <c r="AC1083" s="6">
        <v>452</v>
      </c>
      <c r="AD1083" s="6">
        <v>235</v>
      </c>
      <c r="AE1083" s="6">
        <v>18863</v>
      </c>
      <c r="AF1083" s="6">
        <v>47628</v>
      </c>
    </row>
    <row r="1084" spans="1:32" x14ac:dyDescent="0.35">
      <c r="A1084" s="1">
        <v>45133</v>
      </c>
      <c r="B1084" s="6">
        <v>8243344</v>
      </c>
      <c r="C1084" s="6">
        <v>11037</v>
      </c>
      <c r="D1084" s="6">
        <v>5200</v>
      </c>
      <c r="E1084" s="6">
        <v>1383</v>
      </c>
      <c r="F1084" s="6">
        <v>8133494</v>
      </c>
      <c r="G1084" s="6">
        <v>7600888</v>
      </c>
      <c r="H1084" s="6">
        <v>5080981</v>
      </c>
      <c r="I1084" s="6">
        <v>261294</v>
      </c>
      <c r="J1084" s="6">
        <v>4346972</v>
      </c>
      <c r="K1084" s="6">
        <v>364549</v>
      </c>
      <c r="L1084" s="6">
        <v>108165</v>
      </c>
      <c r="M1084" s="6">
        <v>78359</v>
      </c>
      <c r="N1084" s="6">
        <v>282668</v>
      </c>
      <c r="O1084" s="6">
        <v>645487</v>
      </c>
      <c r="P1084" s="6">
        <v>1740436</v>
      </c>
      <c r="Q1084" s="6">
        <v>842230</v>
      </c>
      <c r="R1084" s="6">
        <v>1491801</v>
      </c>
      <c r="S1084" s="6">
        <v>2347</v>
      </c>
      <c r="T1084" s="6">
        <v>2517559</v>
      </c>
      <c r="U1084" s="6">
        <v>293388</v>
      </c>
      <c r="V1084" s="6">
        <v>-27155</v>
      </c>
      <c r="W1084" s="6">
        <v>1</v>
      </c>
      <c r="X1084" s="6">
        <v>266372</v>
      </c>
      <c r="Y1084" s="6">
        <v>19734</v>
      </c>
      <c r="Z1084" s="6">
        <v>5604</v>
      </c>
      <c r="AA1084" s="6">
        <v>1644</v>
      </c>
      <c r="AB1084" s="6">
        <v>49</v>
      </c>
      <c r="AC1084" s="6">
        <v>448</v>
      </c>
      <c r="AD1084" s="6">
        <v>255</v>
      </c>
      <c r="AE1084" s="6">
        <v>18709</v>
      </c>
      <c r="AF1084" s="6">
        <v>45788</v>
      </c>
    </row>
    <row r="1085" spans="1:32" x14ac:dyDescent="0.35">
      <c r="A1085" s="1">
        <v>45140</v>
      </c>
      <c r="B1085" s="6">
        <v>8206764</v>
      </c>
      <c r="C1085" s="6">
        <v>11037</v>
      </c>
      <c r="D1085" s="6">
        <v>5200</v>
      </c>
      <c r="E1085" s="6">
        <v>1395</v>
      </c>
      <c r="F1085" s="6">
        <v>8095802</v>
      </c>
      <c r="G1085" s="6">
        <v>7567931</v>
      </c>
      <c r="H1085" s="6">
        <v>5048025</v>
      </c>
      <c r="I1085" s="6">
        <v>259422</v>
      </c>
      <c r="J1085" s="6">
        <v>4315599</v>
      </c>
      <c r="K1085" s="6">
        <v>364549</v>
      </c>
      <c r="L1085" s="6">
        <v>108455</v>
      </c>
      <c r="M1085" s="6">
        <v>130448</v>
      </c>
      <c r="N1085" s="6">
        <v>236616</v>
      </c>
      <c r="O1085" s="6">
        <v>629989</v>
      </c>
      <c r="P1085" s="6">
        <v>1723730</v>
      </c>
      <c r="Q1085" s="6">
        <v>835362</v>
      </c>
      <c r="R1085" s="6">
        <v>1491880</v>
      </c>
      <c r="S1085" s="6">
        <v>2347</v>
      </c>
      <c r="T1085" s="6">
        <v>2517559</v>
      </c>
      <c r="U1085" s="6">
        <v>292827</v>
      </c>
      <c r="V1085" s="6">
        <v>-27069</v>
      </c>
      <c r="W1085" s="6">
        <v>1</v>
      </c>
      <c r="X1085" s="6">
        <v>262111</v>
      </c>
      <c r="Y1085" s="6">
        <v>19752</v>
      </c>
      <c r="Z1085" s="6">
        <v>5607</v>
      </c>
      <c r="AA1085" s="6">
        <v>1577</v>
      </c>
      <c r="AB1085" s="6">
        <v>58</v>
      </c>
      <c r="AC1085" s="6">
        <v>437</v>
      </c>
      <c r="AD1085" s="6">
        <v>235</v>
      </c>
      <c r="AE1085" s="6">
        <v>18546</v>
      </c>
      <c r="AF1085" s="6">
        <v>47119</v>
      </c>
    </row>
    <row r="1086" spans="1:32" x14ac:dyDescent="0.35">
      <c r="A1086" s="1">
        <v>45147</v>
      </c>
      <c r="B1086" s="6">
        <v>8208241</v>
      </c>
      <c r="C1086" s="6">
        <v>11037</v>
      </c>
      <c r="D1086" s="6">
        <v>5200</v>
      </c>
      <c r="E1086" s="6">
        <v>1415</v>
      </c>
      <c r="F1086" s="6">
        <v>8093891</v>
      </c>
      <c r="G1086" s="6">
        <v>7568277</v>
      </c>
      <c r="H1086" s="6">
        <v>5048370</v>
      </c>
      <c r="I1086" s="6">
        <v>259422</v>
      </c>
      <c r="J1086" s="6">
        <v>4315599</v>
      </c>
      <c r="K1086" s="6">
        <v>364549</v>
      </c>
      <c r="L1086" s="6">
        <v>108800</v>
      </c>
      <c r="M1086" s="6">
        <v>125994</v>
      </c>
      <c r="N1086" s="6">
        <v>246183</v>
      </c>
      <c r="O1086" s="6">
        <v>624898</v>
      </c>
      <c r="P1086" s="6">
        <v>1723880</v>
      </c>
      <c r="Q1086" s="6">
        <v>835441</v>
      </c>
      <c r="R1086" s="6">
        <v>1491975</v>
      </c>
      <c r="S1086" s="6">
        <v>2347</v>
      </c>
      <c r="T1086" s="6">
        <v>2517559</v>
      </c>
      <c r="U1086" s="6">
        <v>292326</v>
      </c>
      <c r="V1086" s="6">
        <v>-27098</v>
      </c>
      <c r="W1086" s="6">
        <v>0</v>
      </c>
      <c r="X1086" s="6">
        <v>260386</v>
      </c>
      <c r="Y1086" s="6">
        <v>19771</v>
      </c>
      <c r="Z1086" s="6">
        <v>5609</v>
      </c>
      <c r="AA1086" s="6">
        <v>1579</v>
      </c>
      <c r="AB1086" s="6">
        <v>59</v>
      </c>
      <c r="AC1086" s="6">
        <v>440</v>
      </c>
      <c r="AD1086" s="6">
        <v>229</v>
      </c>
      <c r="AE1086" s="6">
        <v>18461</v>
      </c>
      <c r="AF1086" s="6">
        <v>50550</v>
      </c>
    </row>
    <row r="1087" spans="1:32" x14ac:dyDescent="0.35">
      <c r="A1087" s="1">
        <v>45154</v>
      </c>
      <c r="B1087" s="6">
        <v>8145727</v>
      </c>
      <c r="C1087" s="6">
        <v>11037</v>
      </c>
      <c r="D1087" s="6">
        <v>5200</v>
      </c>
      <c r="E1087" s="6">
        <v>1426</v>
      </c>
      <c r="F1087" s="6">
        <v>8047139</v>
      </c>
      <c r="G1087" s="6">
        <v>7525905</v>
      </c>
      <c r="H1087" s="6">
        <v>5006075</v>
      </c>
      <c r="I1087" s="6">
        <v>259422</v>
      </c>
      <c r="J1087" s="6">
        <v>4272959</v>
      </c>
      <c r="K1087" s="6">
        <v>364549</v>
      </c>
      <c r="L1087" s="6">
        <v>109145</v>
      </c>
      <c r="M1087" s="6">
        <v>71990</v>
      </c>
      <c r="N1087" s="6">
        <v>214937</v>
      </c>
      <c r="O1087" s="6">
        <v>667757</v>
      </c>
      <c r="P1087" s="6">
        <v>1718845</v>
      </c>
      <c r="Q1087" s="6">
        <v>817656</v>
      </c>
      <c r="R1087" s="6">
        <v>1514890</v>
      </c>
      <c r="S1087" s="6">
        <v>2347</v>
      </c>
      <c r="T1087" s="6">
        <v>2517483</v>
      </c>
      <c r="U1087" s="6">
        <v>291772</v>
      </c>
      <c r="V1087" s="6">
        <v>-27505</v>
      </c>
      <c r="W1087" s="6">
        <v>6</v>
      </c>
      <c r="X1087" s="6">
        <v>256961</v>
      </c>
      <c r="Y1087" s="6">
        <v>19497</v>
      </c>
      <c r="Z1087" s="6">
        <v>5612</v>
      </c>
      <c r="AA1087" s="6">
        <v>1580</v>
      </c>
      <c r="AB1087" s="6">
        <v>58</v>
      </c>
      <c r="AC1087" s="6">
        <v>446</v>
      </c>
      <c r="AD1087" s="6">
        <v>229</v>
      </c>
      <c r="AE1087" s="6">
        <v>18289</v>
      </c>
      <c r="AF1087" s="6">
        <v>35215</v>
      </c>
    </row>
    <row r="1088" spans="1:32" x14ac:dyDescent="0.35">
      <c r="A1088" s="1">
        <v>45161</v>
      </c>
      <c r="B1088" s="6">
        <v>8139066</v>
      </c>
      <c r="C1088" s="6">
        <v>11037</v>
      </c>
      <c r="D1088" s="6">
        <v>5200</v>
      </c>
      <c r="E1088" s="6">
        <v>1430</v>
      </c>
      <c r="F1088" s="6">
        <v>8038193</v>
      </c>
      <c r="G1088" s="6">
        <v>7521981</v>
      </c>
      <c r="H1088" s="6">
        <v>5006494</v>
      </c>
      <c r="I1088" s="6">
        <v>259422</v>
      </c>
      <c r="J1088" s="6">
        <v>4273034</v>
      </c>
      <c r="K1088" s="6">
        <v>364549</v>
      </c>
      <c r="L1088" s="6">
        <v>109489</v>
      </c>
      <c r="M1088" s="6">
        <v>68144</v>
      </c>
      <c r="N1088" s="6">
        <v>251632</v>
      </c>
      <c r="O1088" s="6">
        <v>634931</v>
      </c>
      <c r="P1088" s="6">
        <v>1719070</v>
      </c>
      <c r="Q1088" s="6">
        <v>831951</v>
      </c>
      <c r="R1088" s="6">
        <v>1500768</v>
      </c>
      <c r="S1088" s="6">
        <v>2347</v>
      </c>
      <c r="T1088" s="6">
        <v>2513140</v>
      </c>
      <c r="U1088" s="6">
        <v>291081</v>
      </c>
      <c r="V1088" s="6">
        <v>-27498</v>
      </c>
      <c r="W1088" s="6">
        <v>0</v>
      </c>
      <c r="X1088" s="6">
        <v>252629</v>
      </c>
      <c r="Y1088" s="6">
        <v>19512</v>
      </c>
      <c r="Z1088" s="6">
        <v>5615</v>
      </c>
      <c r="AA1088" s="6">
        <v>1581</v>
      </c>
      <c r="AB1088" s="6">
        <v>56</v>
      </c>
      <c r="AC1088" s="6">
        <v>453</v>
      </c>
      <c r="AD1088" s="6">
        <v>230</v>
      </c>
      <c r="AE1088" s="6">
        <v>18301</v>
      </c>
      <c r="AF1088" s="6">
        <v>37457</v>
      </c>
    </row>
    <row r="1089" spans="1:32" x14ac:dyDescent="0.35">
      <c r="A1089" s="1">
        <v>45168</v>
      </c>
      <c r="B1089" s="6">
        <v>8121316</v>
      </c>
      <c r="C1089" s="6">
        <v>11037</v>
      </c>
      <c r="D1089" s="6">
        <v>5200</v>
      </c>
      <c r="E1089" s="6">
        <v>1418</v>
      </c>
      <c r="F1089" s="6">
        <v>8021402</v>
      </c>
      <c r="G1089" s="6">
        <v>7508057</v>
      </c>
      <c r="H1089" s="6">
        <v>5006839</v>
      </c>
      <c r="I1089" s="6">
        <v>259422</v>
      </c>
      <c r="J1089" s="6">
        <v>4273034</v>
      </c>
      <c r="K1089" s="6">
        <v>364549</v>
      </c>
      <c r="L1089" s="6">
        <v>109835</v>
      </c>
      <c r="M1089" s="6">
        <v>65077</v>
      </c>
      <c r="N1089" s="6">
        <v>255130</v>
      </c>
      <c r="O1089" s="6">
        <v>634521</v>
      </c>
      <c r="P1089" s="6">
        <v>1719220</v>
      </c>
      <c r="Q1089" s="6">
        <v>832030</v>
      </c>
      <c r="R1089" s="6">
        <v>1500862</v>
      </c>
      <c r="S1089" s="6">
        <v>2347</v>
      </c>
      <c r="T1089" s="6">
        <v>2498870</v>
      </c>
      <c r="U1089" s="6">
        <v>290201</v>
      </c>
      <c r="V1089" s="6">
        <v>-27422</v>
      </c>
      <c r="W1089" s="6">
        <v>1</v>
      </c>
      <c r="X1089" s="6">
        <v>250565</v>
      </c>
      <c r="Y1089" s="6">
        <v>19534</v>
      </c>
      <c r="Z1089" s="6">
        <v>5618</v>
      </c>
      <c r="AA1089" s="6">
        <v>1583</v>
      </c>
      <c r="AB1089" s="6">
        <v>66</v>
      </c>
      <c r="AC1089" s="6">
        <v>464</v>
      </c>
      <c r="AD1089" s="6">
        <v>232</v>
      </c>
      <c r="AE1089" s="6">
        <v>18316</v>
      </c>
      <c r="AF1089" s="6">
        <v>36448</v>
      </c>
    </row>
    <row r="1090" spans="1:32" x14ac:dyDescent="0.35">
      <c r="A1090" s="1">
        <v>45175</v>
      </c>
      <c r="B1090" s="6">
        <v>8101318</v>
      </c>
      <c r="C1090" s="6">
        <v>11037</v>
      </c>
      <c r="D1090" s="6">
        <v>5200</v>
      </c>
      <c r="E1090" s="6">
        <v>1413</v>
      </c>
      <c r="F1090" s="6">
        <v>8001173</v>
      </c>
      <c r="G1090" s="6">
        <v>7489689</v>
      </c>
      <c r="H1090" s="6">
        <v>4988471</v>
      </c>
      <c r="I1090" s="6">
        <v>258161</v>
      </c>
      <c r="J1090" s="6">
        <v>4254843</v>
      </c>
      <c r="K1090" s="6">
        <v>365380</v>
      </c>
      <c r="L1090" s="6">
        <v>110087</v>
      </c>
      <c r="M1090" s="6">
        <v>41877</v>
      </c>
      <c r="N1090" s="6">
        <v>279944</v>
      </c>
      <c r="O1090" s="6">
        <v>624428</v>
      </c>
      <c r="P1090" s="6">
        <v>1712154</v>
      </c>
      <c r="Q1090" s="6">
        <v>826629</v>
      </c>
      <c r="R1090" s="6">
        <v>1503441</v>
      </c>
      <c r="S1090" s="6">
        <v>2347</v>
      </c>
      <c r="T1090" s="6">
        <v>2498870</v>
      </c>
      <c r="U1090" s="6">
        <v>289653</v>
      </c>
      <c r="V1090" s="6">
        <v>-27481</v>
      </c>
      <c r="W1090" s="6">
        <v>6</v>
      </c>
      <c r="X1090" s="6">
        <v>249307</v>
      </c>
      <c r="Y1090" s="6">
        <v>19556</v>
      </c>
      <c r="Z1090" s="6">
        <v>5621</v>
      </c>
      <c r="AA1090" s="6">
        <v>1216</v>
      </c>
      <c r="AB1090" s="6">
        <v>79</v>
      </c>
      <c r="AC1090" s="6">
        <v>436</v>
      </c>
      <c r="AD1090" s="6">
        <v>232</v>
      </c>
      <c r="AE1090" s="6">
        <v>18017</v>
      </c>
      <c r="AF1090" s="6">
        <v>37338</v>
      </c>
    </row>
    <row r="1091" spans="1:32" x14ac:dyDescent="0.35">
      <c r="A1091" s="1">
        <v>45182</v>
      </c>
      <c r="B1091" s="6">
        <v>8098779</v>
      </c>
      <c r="C1091" s="6">
        <v>11037</v>
      </c>
      <c r="D1091" s="6">
        <v>5200</v>
      </c>
      <c r="E1091" s="6">
        <v>1432</v>
      </c>
      <c r="F1091" s="6">
        <v>7995132</v>
      </c>
      <c r="G1091" s="6">
        <v>7483696</v>
      </c>
      <c r="H1091" s="6">
        <v>4982479</v>
      </c>
      <c r="I1091" s="6">
        <v>251982</v>
      </c>
      <c r="J1091" s="6">
        <v>4254818</v>
      </c>
      <c r="K1091" s="6">
        <v>365380</v>
      </c>
      <c r="L1091" s="6">
        <v>110299</v>
      </c>
      <c r="M1091" s="6">
        <v>42893</v>
      </c>
      <c r="N1091" s="6">
        <v>273167</v>
      </c>
      <c r="O1091" s="6">
        <v>624023</v>
      </c>
      <c r="P1091" s="6">
        <v>1712269</v>
      </c>
      <c r="Q1091" s="6">
        <v>826677</v>
      </c>
      <c r="R1091" s="6">
        <v>1503449</v>
      </c>
      <c r="S1091" s="6">
        <v>2347</v>
      </c>
      <c r="T1091" s="6">
        <v>2498870</v>
      </c>
      <c r="U1091" s="6">
        <v>289154</v>
      </c>
      <c r="V1091" s="6">
        <v>-27333</v>
      </c>
      <c r="W1091" s="6">
        <v>0</v>
      </c>
      <c r="X1091" s="6">
        <v>249615</v>
      </c>
      <c r="Y1091" s="6">
        <v>19579</v>
      </c>
      <c r="Z1091" s="6">
        <v>5623</v>
      </c>
      <c r="AA1091" s="6">
        <v>1218</v>
      </c>
      <c r="AB1091" s="6">
        <v>57</v>
      </c>
      <c r="AC1091" s="6">
        <v>439</v>
      </c>
      <c r="AD1091" s="6">
        <v>230</v>
      </c>
      <c r="AE1091" s="6">
        <v>18055</v>
      </c>
      <c r="AF1091" s="6">
        <v>40777</v>
      </c>
    </row>
    <row r="1092" spans="1:32" x14ac:dyDescent="0.35">
      <c r="A1092" s="1">
        <v>45189</v>
      </c>
      <c r="B1092" s="6">
        <v>8024090</v>
      </c>
      <c r="C1092" s="6">
        <v>11037</v>
      </c>
      <c r="D1092" s="6">
        <v>5200</v>
      </c>
      <c r="E1092" s="6">
        <v>1453</v>
      </c>
      <c r="F1092" s="6">
        <v>7919973</v>
      </c>
      <c r="G1092" s="6">
        <v>7457541</v>
      </c>
      <c r="H1092" s="6">
        <v>4960735</v>
      </c>
      <c r="I1092" s="6">
        <v>246946</v>
      </c>
      <c r="J1092" s="6">
        <v>4237898</v>
      </c>
      <c r="K1092" s="6">
        <v>365380</v>
      </c>
      <c r="L1092" s="6">
        <v>110510</v>
      </c>
      <c r="M1092" s="6">
        <v>55950</v>
      </c>
      <c r="N1092" s="6">
        <v>254315</v>
      </c>
      <c r="O1092" s="6">
        <v>614151</v>
      </c>
      <c r="P1092" s="6">
        <v>1706087</v>
      </c>
      <c r="Q1092" s="6">
        <v>826726</v>
      </c>
      <c r="R1092" s="6">
        <v>1503507</v>
      </c>
      <c r="S1092" s="6">
        <v>2347</v>
      </c>
      <c r="T1092" s="6">
        <v>2494460</v>
      </c>
      <c r="U1092" s="6">
        <v>288150</v>
      </c>
      <c r="V1092" s="6">
        <v>-26821</v>
      </c>
      <c r="W1092" s="6">
        <v>0</v>
      </c>
      <c r="X1092" s="6">
        <v>201102</v>
      </c>
      <c r="Y1092" s="6">
        <v>19326</v>
      </c>
      <c r="Z1092" s="6">
        <v>5626</v>
      </c>
      <c r="AA1092" s="6">
        <v>1219</v>
      </c>
      <c r="AB1092" s="6">
        <v>58</v>
      </c>
      <c r="AC1092" s="6">
        <v>439</v>
      </c>
      <c r="AD1092" s="6">
        <v>247</v>
      </c>
      <c r="AE1092" s="6">
        <v>18024</v>
      </c>
      <c r="AF1092" s="6">
        <v>41490</v>
      </c>
    </row>
    <row r="1093" spans="1:32" x14ac:dyDescent="0.35">
      <c r="A1093" s="1">
        <v>45196</v>
      </c>
      <c r="B1093" s="6">
        <v>8002064</v>
      </c>
      <c r="C1093" s="6">
        <v>11037</v>
      </c>
      <c r="D1093" s="6">
        <v>5200</v>
      </c>
      <c r="E1093" s="6">
        <v>1468</v>
      </c>
      <c r="F1093" s="6">
        <v>7898965</v>
      </c>
      <c r="G1093" s="6">
        <v>7440211</v>
      </c>
      <c r="H1093" s="6">
        <v>4958138</v>
      </c>
      <c r="I1093" s="6">
        <v>244137</v>
      </c>
      <c r="J1093" s="6">
        <v>4237898</v>
      </c>
      <c r="K1093" s="6">
        <v>365380</v>
      </c>
      <c r="L1093" s="6">
        <v>110722</v>
      </c>
      <c r="M1093" s="6">
        <v>62350</v>
      </c>
      <c r="N1093" s="6">
        <v>245934</v>
      </c>
      <c r="O1093" s="6">
        <v>613336</v>
      </c>
      <c r="P1093" s="6">
        <v>1706178</v>
      </c>
      <c r="Q1093" s="6">
        <v>826774</v>
      </c>
      <c r="R1093" s="6">
        <v>1503565</v>
      </c>
      <c r="S1093" s="6">
        <v>2347</v>
      </c>
      <c r="T1093" s="6">
        <v>2479726</v>
      </c>
      <c r="U1093" s="6">
        <v>287252</v>
      </c>
      <c r="V1093" s="6">
        <v>-26560</v>
      </c>
      <c r="W1093" s="6">
        <v>2</v>
      </c>
      <c r="X1093" s="6">
        <v>198060</v>
      </c>
      <c r="Y1093" s="6">
        <v>19352</v>
      </c>
      <c r="Z1093" s="6">
        <v>5629</v>
      </c>
      <c r="AA1093" s="6">
        <v>1220</v>
      </c>
      <c r="AB1093" s="6">
        <v>58</v>
      </c>
      <c r="AC1093" s="6">
        <v>442</v>
      </c>
      <c r="AD1093" s="6">
        <v>238</v>
      </c>
      <c r="AE1093" s="6">
        <v>17731</v>
      </c>
      <c r="AF1093" s="6">
        <v>40725</v>
      </c>
    </row>
    <row r="1094" spans="1:32" x14ac:dyDescent="0.35">
      <c r="A1094" s="1">
        <v>45203</v>
      </c>
      <c r="B1094" s="6">
        <v>7955782</v>
      </c>
      <c r="C1094" s="6">
        <v>11037</v>
      </c>
      <c r="D1094" s="6">
        <v>5200</v>
      </c>
      <c r="E1094" s="6">
        <v>1470</v>
      </c>
      <c r="F1094" s="6">
        <v>7851885</v>
      </c>
      <c r="G1094" s="6">
        <v>7412483</v>
      </c>
      <c r="H1094" s="6">
        <v>4930410</v>
      </c>
      <c r="I1094" s="6">
        <v>238533</v>
      </c>
      <c r="J1094" s="6">
        <v>4215416</v>
      </c>
      <c r="K1094" s="6">
        <v>365380</v>
      </c>
      <c r="L1094" s="6">
        <v>111081</v>
      </c>
      <c r="M1094" s="6">
        <v>53759</v>
      </c>
      <c r="N1094" s="6">
        <v>264497</v>
      </c>
      <c r="O1094" s="6">
        <v>599561</v>
      </c>
      <c r="P1094" s="6">
        <v>1690672</v>
      </c>
      <c r="Q1094" s="6">
        <v>818258</v>
      </c>
      <c r="R1094" s="6">
        <v>1503664</v>
      </c>
      <c r="S1094" s="6">
        <v>2347</v>
      </c>
      <c r="T1094" s="6">
        <v>2479726</v>
      </c>
      <c r="U1094" s="6">
        <v>286720</v>
      </c>
      <c r="V1094" s="6">
        <v>-26402</v>
      </c>
      <c r="W1094" s="6">
        <v>0</v>
      </c>
      <c r="X1094" s="6">
        <v>179084</v>
      </c>
      <c r="Y1094" s="6">
        <v>19387</v>
      </c>
      <c r="Z1094" s="6">
        <v>5632</v>
      </c>
      <c r="AA1094" s="6">
        <v>1220</v>
      </c>
      <c r="AB1094" s="6">
        <v>63</v>
      </c>
      <c r="AC1094" s="6">
        <v>432</v>
      </c>
      <c r="AD1094" s="6">
        <v>229</v>
      </c>
      <c r="AE1094" s="6">
        <v>17704</v>
      </c>
      <c r="AF1094" s="6">
        <v>41524</v>
      </c>
    </row>
    <row r="1095" spans="1:32" x14ac:dyDescent="0.35">
      <c r="A1095" s="1">
        <v>45210</v>
      </c>
      <c r="B1095" s="6">
        <v>7952054</v>
      </c>
      <c r="C1095" s="6">
        <v>11037</v>
      </c>
      <c r="D1095" s="6">
        <v>5200</v>
      </c>
      <c r="E1095" s="6">
        <v>1462</v>
      </c>
      <c r="F1095" s="6">
        <v>7844873</v>
      </c>
      <c r="G1095" s="6">
        <v>7410580</v>
      </c>
      <c r="H1095" s="6">
        <v>4928507</v>
      </c>
      <c r="I1095" s="6">
        <v>236160</v>
      </c>
      <c r="J1095" s="6">
        <v>4215416</v>
      </c>
      <c r="K1095" s="6">
        <v>365380</v>
      </c>
      <c r="L1095" s="6">
        <v>111550</v>
      </c>
      <c r="M1095" s="6">
        <v>48629</v>
      </c>
      <c r="N1095" s="6">
        <v>264135</v>
      </c>
      <c r="O1095" s="6">
        <v>602710</v>
      </c>
      <c r="P1095" s="6">
        <v>1690875</v>
      </c>
      <c r="Q1095" s="6">
        <v>818366</v>
      </c>
      <c r="R1095" s="6">
        <v>1503793</v>
      </c>
      <c r="S1095" s="6">
        <v>2347</v>
      </c>
      <c r="T1095" s="6">
        <v>2479726</v>
      </c>
      <c r="U1095" s="6">
        <v>286240</v>
      </c>
      <c r="V1095" s="6">
        <v>-26511</v>
      </c>
      <c r="W1095" s="6">
        <v>0</v>
      </c>
      <c r="X1095" s="6">
        <v>174564</v>
      </c>
      <c r="Y1095" s="6">
        <v>19409</v>
      </c>
      <c r="Z1095" s="6">
        <v>5635</v>
      </c>
      <c r="AA1095" s="6">
        <v>1221</v>
      </c>
      <c r="AB1095" s="6">
        <v>55</v>
      </c>
      <c r="AC1095" s="6">
        <v>434</v>
      </c>
      <c r="AD1095" s="6">
        <v>230</v>
      </c>
      <c r="AE1095" s="6">
        <v>17751</v>
      </c>
      <c r="AF1095" s="6">
        <v>44748</v>
      </c>
    </row>
    <row r="1096" spans="1:32" x14ac:dyDescent="0.35">
      <c r="A1096" s="1">
        <v>45217</v>
      </c>
      <c r="B1096" s="6">
        <v>7933162</v>
      </c>
      <c r="C1096" s="6">
        <v>11037</v>
      </c>
      <c r="D1096" s="6">
        <v>5200</v>
      </c>
      <c r="E1096" s="6">
        <v>1456</v>
      </c>
      <c r="F1096" s="6">
        <v>7824370</v>
      </c>
      <c r="G1096" s="6">
        <v>7395456</v>
      </c>
      <c r="H1096" s="6">
        <v>4913457</v>
      </c>
      <c r="I1096" s="6">
        <v>234531</v>
      </c>
      <c r="J1096" s="6">
        <v>4201526</v>
      </c>
      <c r="K1096" s="6">
        <v>365380</v>
      </c>
      <c r="L1096" s="6">
        <v>112020</v>
      </c>
      <c r="M1096" s="6">
        <v>83503</v>
      </c>
      <c r="N1096" s="6">
        <v>240051</v>
      </c>
      <c r="O1096" s="6">
        <v>584932</v>
      </c>
      <c r="P1096" s="6">
        <v>1682577</v>
      </c>
      <c r="Q1096" s="6">
        <v>818473</v>
      </c>
      <c r="R1096" s="6">
        <v>1503922</v>
      </c>
      <c r="S1096" s="6">
        <v>2347</v>
      </c>
      <c r="T1096" s="6">
        <v>2479652</v>
      </c>
      <c r="U1096" s="6">
        <v>285717</v>
      </c>
      <c r="V1096" s="6">
        <v>-26422</v>
      </c>
      <c r="W1096" s="6">
        <v>0</v>
      </c>
      <c r="X1096" s="6">
        <v>169618</v>
      </c>
      <c r="Y1096" s="6">
        <v>19011</v>
      </c>
      <c r="Z1096" s="6">
        <v>5638</v>
      </c>
      <c r="AA1096" s="6">
        <v>1222</v>
      </c>
      <c r="AB1096" s="6">
        <v>70</v>
      </c>
      <c r="AC1096" s="6">
        <v>438</v>
      </c>
      <c r="AD1096" s="6">
        <v>231</v>
      </c>
      <c r="AE1096" s="6">
        <v>17632</v>
      </c>
      <c r="AF1096" s="6">
        <v>46857</v>
      </c>
    </row>
    <row r="1097" spans="1:32" x14ac:dyDescent="0.35">
      <c r="A1097" s="1">
        <v>45224</v>
      </c>
      <c r="B1097" s="6">
        <v>7907830</v>
      </c>
      <c r="C1097" s="6">
        <v>11037</v>
      </c>
      <c r="D1097" s="6">
        <v>5200</v>
      </c>
      <c r="E1097" s="6">
        <v>1455</v>
      </c>
      <c r="F1097" s="6">
        <v>7800931</v>
      </c>
      <c r="G1097" s="6">
        <v>7377454</v>
      </c>
      <c r="H1097" s="6">
        <v>4912200</v>
      </c>
      <c r="I1097" s="6">
        <v>232804</v>
      </c>
      <c r="J1097" s="6">
        <v>4201526</v>
      </c>
      <c r="K1097" s="6">
        <v>365380</v>
      </c>
      <c r="L1097" s="6">
        <v>112490</v>
      </c>
      <c r="M1097" s="6">
        <v>84484</v>
      </c>
      <c r="N1097" s="6">
        <v>237526</v>
      </c>
      <c r="O1097" s="6">
        <v>584783</v>
      </c>
      <c r="P1097" s="6">
        <v>1682776</v>
      </c>
      <c r="Q1097" s="6">
        <v>818580</v>
      </c>
      <c r="R1097" s="6">
        <v>1504050</v>
      </c>
      <c r="S1097" s="6">
        <v>2347</v>
      </c>
      <c r="T1097" s="6">
        <v>2462907</v>
      </c>
      <c r="U1097" s="6">
        <v>284770</v>
      </c>
      <c r="V1097" s="6">
        <v>-26324</v>
      </c>
      <c r="W1097" s="6">
        <v>1</v>
      </c>
      <c r="X1097" s="6">
        <v>165031</v>
      </c>
      <c r="Y1097" s="6">
        <v>19038</v>
      </c>
      <c r="Z1097" s="6">
        <v>5641</v>
      </c>
      <c r="AA1097" s="6">
        <v>1223</v>
      </c>
      <c r="AB1097" s="6">
        <v>57</v>
      </c>
      <c r="AC1097" s="6">
        <v>442</v>
      </c>
      <c r="AD1097" s="6">
        <v>252</v>
      </c>
      <c r="AE1097" s="6">
        <v>17689</v>
      </c>
      <c r="AF1097" s="6">
        <v>44866</v>
      </c>
    </row>
    <row r="1098" spans="1:32" x14ac:dyDescent="0.35">
      <c r="A1098" s="1">
        <v>45231</v>
      </c>
      <c r="B1098" s="6">
        <v>7866664</v>
      </c>
      <c r="C1098" s="6">
        <v>11037</v>
      </c>
      <c r="D1098" s="6">
        <v>5200</v>
      </c>
      <c r="E1098" s="6">
        <v>1455</v>
      </c>
      <c r="F1098" s="6">
        <v>7759041</v>
      </c>
      <c r="G1098" s="6">
        <v>7337855</v>
      </c>
      <c r="H1098" s="6">
        <v>4872601</v>
      </c>
      <c r="I1098" s="6">
        <v>231266</v>
      </c>
      <c r="J1098" s="6">
        <v>4163024</v>
      </c>
      <c r="K1098" s="6">
        <v>365380</v>
      </c>
      <c r="L1098" s="6">
        <v>112932</v>
      </c>
      <c r="M1098" s="6">
        <v>82056</v>
      </c>
      <c r="N1098" s="6">
        <v>203839</v>
      </c>
      <c r="O1098" s="6">
        <v>603077</v>
      </c>
      <c r="P1098" s="6">
        <v>1671544</v>
      </c>
      <c r="Q1098" s="6">
        <v>807863</v>
      </c>
      <c r="R1098" s="6">
        <v>1504222</v>
      </c>
      <c r="S1098" s="6">
        <v>2347</v>
      </c>
      <c r="T1098" s="6">
        <v>2462907</v>
      </c>
      <c r="U1098" s="6">
        <v>284242</v>
      </c>
      <c r="V1098" s="6">
        <v>-26246</v>
      </c>
      <c r="W1098" s="6">
        <v>1</v>
      </c>
      <c r="X1098" s="6">
        <v>163189</v>
      </c>
      <c r="Y1098" s="6">
        <v>19144</v>
      </c>
      <c r="Z1098" s="6">
        <v>5643</v>
      </c>
      <c r="AA1098" s="6">
        <v>1019</v>
      </c>
      <c r="AB1098" s="6">
        <v>67</v>
      </c>
      <c r="AC1098" s="6">
        <v>430</v>
      </c>
      <c r="AD1098" s="6">
        <v>246</v>
      </c>
      <c r="AE1098" s="6">
        <v>17608</v>
      </c>
      <c r="AF1098" s="6">
        <v>45774</v>
      </c>
    </row>
    <row r="1099" spans="1:32" x14ac:dyDescent="0.35">
      <c r="A1099" s="1">
        <v>45238</v>
      </c>
      <c r="B1099" s="6">
        <v>7860691</v>
      </c>
      <c r="C1099" s="6">
        <v>11037</v>
      </c>
      <c r="D1099" s="6">
        <v>5200</v>
      </c>
      <c r="E1099" s="6">
        <v>1451</v>
      </c>
      <c r="F1099" s="6">
        <v>7750039</v>
      </c>
      <c r="G1099" s="6">
        <v>7338168</v>
      </c>
      <c r="H1099" s="6">
        <v>4872914</v>
      </c>
      <c r="I1099" s="6">
        <v>231266</v>
      </c>
      <c r="J1099" s="6">
        <v>4163024</v>
      </c>
      <c r="K1099" s="6">
        <v>365405</v>
      </c>
      <c r="L1099" s="6">
        <v>113219</v>
      </c>
      <c r="M1099" s="6">
        <v>61587</v>
      </c>
      <c r="N1099" s="6">
        <v>246781</v>
      </c>
      <c r="O1099" s="6">
        <v>580625</v>
      </c>
      <c r="P1099" s="6">
        <v>1671662</v>
      </c>
      <c r="Q1099" s="6">
        <v>807928</v>
      </c>
      <c r="R1099" s="6">
        <v>1504332</v>
      </c>
      <c r="S1099" s="6">
        <v>2347</v>
      </c>
      <c r="T1099" s="6">
        <v>2462907</v>
      </c>
      <c r="U1099" s="6">
        <v>283751</v>
      </c>
      <c r="V1099" s="6">
        <v>-26547</v>
      </c>
      <c r="W1099" s="6">
        <v>0</v>
      </c>
      <c r="X1099" s="6">
        <v>154667</v>
      </c>
      <c r="Y1099" s="6">
        <v>19167</v>
      </c>
      <c r="Z1099" s="6">
        <v>5646</v>
      </c>
      <c r="AA1099" s="6">
        <v>1020</v>
      </c>
      <c r="AB1099" s="6">
        <v>73</v>
      </c>
      <c r="AC1099" s="6">
        <v>430</v>
      </c>
      <c r="AD1099" s="6">
        <v>236</v>
      </c>
      <c r="AE1099" s="6">
        <v>17812</v>
      </c>
      <c r="AF1099" s="6">
        <v>48580</v>
      </c>
    </row>
    <row r="1100" spans="1:32" x14ac:dyDescent="0.35">
      <c r="A1100" s="1">
        <v>45245</v>
      </c>
      <c r="B1100" s="6">
        <v>7814991</v>
      </c>
      <c r="C1100" s="6">
        <v>11037</v>
      </c>
      <c r="D1100" s="6">
        <v>5200</v>
      </c>
      <c r="E1100" s="6">
        <v>1441</v>
      </c>
      <c r="F1100" s="6">
        <v>7719251</v>
      </c>
      <c r="G1100" s="6">
        <v>7307897</v>
      </c>
      <c r="H1100" s="6">
        <v>4842619</v>
      </c>
      <c r="I1100" s="6">
        <v>231266</v>
      </c>
      <c r="J1100" s="6">
        <v>4132451</v>
      </c>
      <c r="K1100" s="6">
        <v>365405</v>
      </c>
      <c r="L1100" s="6">
        <v>113497</v>
      </c>
      <c r="M1100" s="6">
        <v>74094</v>
      </c>
      <c r="N1100" s="6">
        <v>201695</v>
      </c>
      <c r="O1100" s="6">
        <v>580574</v>
      </c>
      <c r="P1100" s="6">
        <v>1696601</v>
      </c>
      <c r="Q1100" s="6">
        <v>784028</v>
      </c>
      <c r="R1100" s="6">
        <v>1505626</v>
      </c>
      <c r="S1100" s="6">
        <v>2347</v>
      </c>
      <c r="T1100" s="6">
        <v>2462931</v>
      </c>
      <c r="U1100" s="6">
        <v>283220</v>
      </c>
      <c r="V1100" s="6">
        <v>-26526</v>
      </c>
      <c r="W1100" s="6">
        <v>76</v>
      </c>
      <c r="X1100" s="6">
        <v>154584</v>
      </c>
      <c r="Y1100" s="6">
        <v>18807</v>
      </c>
      <c r="Z1100" s="6">
        <v>5649</v>
      </c>
      <c r="AA1100" s="6">
        <v>1021</v>
      </c>
      <c r="AB1100" s="6">
        <v>61</v>
      </c>
      <c r="AC1100" s="6">
        <v>433</v>
      </c>
      <c r="AD1100" s="6">
        <v>287</v>
      </c>
      <c r="AE1100" s="6">
        <v>17955</v>
      </c>
      <c r="AF1100" s="6">
        <v>33848</v>
      </c>
    </row>
    <row r="1101" spans="1:32" x14ac:dyDescent="0.35">
      <c r="A1101" s="1">
        <v>45252</v>
      </c>
      <c r="B1101" s="6">
        <v>7810814</v>
      </c>
      <c r="C1101" s="6">
        <v>11037</v>
      </c>
      <c r="D1101" s="6">
        <v>5200</v>
      </c>
      <c r="E1101" s="6">
        <v>1406</v>
      </c>
      <c r="F1101" s="6">
        <v>7715348</v>
      </c>
      <c r="G1101" s="6">
        <v>7304878</v>
      </c>
      <c r="H1101" s="6">
        <v>4842936</v>
      </c>
      <c r="I1101" s="6">
        <v>231266</v>
      </c>
      <c r="J1101" s="6">
        <v>4132451</v>
      </c>
      <c r="K1101" s="6">
        <v>365405</v>
      </c>
      <c r="L1101" s="6">
        <v>113814</v>
      </c>
      <c r="M1101" s="6">
        <v>65379</v>
      </c>
      <c r="N1101" s="6">
        <v>250158</v>
      </c>
      <c r="O1101" s="6">
        <v>588522</v>
      </c>
      <c r="P1101" s="6">
        <v>1649063</v>
      </c>
      <c r="Q1101" s="6">
        <v>784862</v>
      </c>
      <c r="R1101" s="6">
        <v>1504952</v>
      </c>
      <c r="S1101" s="6">
        <v>2347</v>
      </c>
      <c r="T1101" s="6">
        <v>2459595</v>
      </c>
      <c r="U1101" s="6">
        <v>282499</v>
      </c>
      <c r="V1101" s="6">
        <v>-26497</v>
      </c>
      <c r="W1101" s="6">
        <v>0</v>
      </c>
      <c r="X1101" s="6">
        <v>154467</v>
      </c>
      <c r="Y1101" s="6">
        <v>16577</v>
      </c>
      <c r="Z1101" s="6">
        <v>5601</v>
      </c>
      <c r="AA1101" s="6">
        <v>382</v>
      </c>
      <c r="AB1101" s="6">
        <v>98</v>
      </c>
      <c r="AC1101" s="6">
        <v>438</v>
      </c>
      <c r="AD1101" s="6">
        <v>237</v>
      </c>
      <c r="AE1101" s="6">
        <v>18039</v>
      </c>
      <c r="AF1101" s="6">
        <v>36452</v>
      </c>
    </row>
    <row r="1102" spans="1:32" x14ac:dyDescent="0.35">
      <c r="A1102" s="1">
        <v>45259</v>
      </c>
      <c r="B1102" s="6">
        <v>7796145</v>
      </c>
      <c r="C1102" s="6">
        <v>11037</v>
      </c>
      <c r="D1102" s="6">
        <v>5200</v>
      </c>
      <c r="E1102" s="6">
        <v>1394</v>
      </c>
      <c r="F1102" s="6">
        <v>7701741</v>
      </c>
      <c r="G1102" s="6">
        <v>7292556</v>
      </c>
      <c r="H1102" s="6">
        <v>4843174</v>
      </c>
      <c r="I1102" s="6">
        <v>231266</v>
      </c>
      <c r="J1102" s="6">
        <v>4132451</v>
      </c>
      <c r="K1102" s="6">
        <v>365405</v>
      </c>
      <c r="L1102" s="6">
        <v>114051</v>
      </c>
      <c r="M1102" s="6">
        <v>59566</v>
      </c>
      <c r="N1102" s="6">
        <v>259110</v>
      </c>
      <c r="O1102" s="6">
        <v>585401</v>
      </c>
      <c r="P1102" s="6">
        <v>1649164</v>
      </c>
      <c r="Q1102" s="6">
        <v>784916</v>
      </c>
      <c r="R1102" s="6">
        <v>1505017</v>
      </c>
      <c r="S1102" s="6">
        <v>2347</v>
      </c>
      <c r="T1102" s="6">
        <v>2447035</v>
      </c>
      <c r="U1102" s="6">
        <v>281760</v>
      </c>
      <c r="V1102" s="6">
        <v>-26483</v>
      </c>
      <c r="W1102" s="6">
        <v>3</v>
      </c>
      <c r="X1102" s="6">
        <v>153906</v>
      </c>
      <c r="Y1102" s="6">
        <v>16598</v>
      </c>
      <c r="Z1102" s="6">
        <v>5604</v>
      </c>
      <c r="AA1102" s="6">
        <v>382</v>
      </c>
      <c r="AB1102" s="6">
        <v>51</v>
      </c>
      <c r="AC1102" s="6">
        <v>432</v>
      </c>
      <c r="AD1102" s="6">
        <v>234</v>
      </c>
      <c r="AE1102" s="6">
        <v>18247</v>
      </c>
      <c r="AF1102" s="6">
        <v>35224</v>
      </c>
    </row>
    <row r="1103" spans="1:32" x14ac:dyDescent="0.35">
      <c r="A1103" s="1">
        <v>45266</v>
      </c>
      <c r="B1103" s="6">
        <v>7737385</v>
      </c>
      <c r="C1103" s="6">
        <v>11037</v>
      </c>
      <c r="D1103" s="6">
        <v>5200</v>
      </c>
      <c r="E1103" s="6">
        <v>1420</v>
      </c>
      <c r="F1103" s="6">
        <v>7644222</v>
      </c>
      <c r="G1103" s="6">
        <v>7262202</v>
      </c>
      <c r="H1103" s="6">
        <v>4812820</v>
      </c>
      <c r="I1103" s="6">
        <v>230408</v>
      </c>
      <c r="J1103" s="6">
        <v>4102776</v>
      </c>
      <c r="K1103" s="6">
        <v>365578</v>
      </c>
      <c r="L1103" s="6">
        <v>114058</v>
      </c>
      <c r="M1103" s="6">
        <v>30008</v>
      </c>
      <c r="N1103" s="6">
        <v>290119</v>
      </c>
      <c r="O1103" s="6">
        <v>572769</v>
      </c>
      <c r="P1103" s="6">
        <v>1635354</v>
      </c>
      <c r="Q1103" s="6">
        <v>779368</v>
      </c>
      <c r="R1103" s="6">
        <v>1505202</v>
      </c>
      <c r="S1103" s="6">
        <v>2347</v>
      </c>
      <c r="T1103" s="6">
        <v>2447035</v>
      </c>
      <c r="U1103" s="6">
        <v>281218</v>
      </c>
      <c r="V1103" s="6">
        <v>-26611</v>
      </c>
      <c r="W1103" s="6">
        <v>6</v>
      </c>
      <c r="X1103" s="6">
        <v>127407</v>
      </c>
      <c r="Y1103" s="6">
        <v>16618</v>
      </c>
      <c r="Z1103" s="6">
        <v>5606</v>
      </c>
      <c r="AA1103" s="6">
        <v>323</v>
      </c>
      <c r="AB1103" s="6">
        <v>55</v>
      </c>
      <c r="AC1103" s="6">
        <v>422</v>
      </c>
      <c r="AD1103" s="6">
        <v>238</v>
      </c>
      <c r="AE1103" s="6">
        <v>18070</v>
      </c>
      <c r="AF1103" s="6">
        <v>34173</v>
      </c>
    </row>
    <row r="1104" spans="1:32" x14ac:dyDescent="0.35">
      <c r="A1104" s="1">
        <v>45273</v>
      </c>
      <c r="B1104" s="6">
        <v>7739566</v>
      </c>
      <c r="C1104" s="6">
        <v>11037</v>
      </c>
      <c r="D1104" s="6">
        <v>5200</v>
      </c>
      <c r="E1104" s="6">
        <v>1439</v>
      </c>
      <c r="F1104" s="6">
        <v>7642869</v>
      </c>
      <c r="G1104" s="6">
        <v>7258982</v>
      </c>
      <c r="H1104" s="6">
        <v>4809734</v>
      </c>
      <c r="I1104" s="6">
        <v>227363</v>
      </c>
      <c r="J1104" s="6">
        <v>4102776</v>
      </c>
      <c r="K1104" s="6">
        <v>365578</v>
      </c>
      <c r="L1104" s="6">
        <v>114017</v>
      </c>
      <c r="M1104" s="6">
        <v>37026</v>
      </c>
      <c r="N1104" s="6">
        <v>280611</v>
      </c>
      <c r="O1104" s="6">
        <v>572212</v>
      </c>
      <c r="P1104" s="6">
        <v>1635336</v>
      </c>
      <c r="Q1104" s="6">
        <v>779358</v>
      </c>
      <c r="R1104" s="6">
        <v>1505191</v>
      </c>
      <c r="S1104" s="6">
        <v>2347</v>
      </c>
      <c r="T1104" s="6">
        <v>2446901</v>
      </c>
      <c r="U1104" s="6">
        <v>280707</v>
      </c>
      <c r="V1104" s="6">
        <v>-26402</v>
      </c>
      <c r="W1104" s="6">
        <v>7</v>
      </c>
      <c r="X1104" s="6">
        <v>129574</v>
      </c>
      <c r="Y1104" s="6">
        <v>16638</v>
      </c>
      <c r="Z1104" s="6">
        <v>5609</v>
      </c>
      <c r="AA1104" s="6">
        <v>324</v>
      </c>
      <c r="AB1104" s="6">
        <v>74</v>
      </c>
      <c r="AC1104" s="6">
        <v>431</v>
      </c>
      <c r="AD1104" s="6">
        <v>340</v>
      </c>
      <c r="AE1104" s="6">
        <v>18165</v>
      </c>
      <c r="AF1104" s="6">
        <v>37440</v>
      </c>
    </row>
    <row r="1105" spans="1:32" x14ac:dyDescent="0.35">
      <c r="A1105" s="1">
        <v>45280</v>
      </c>
      <c r="B1105" s="6">
        <v>7724063</v>
      </c>
      <c r="C1105" s="6">
        <v>11037</v>
      </c>
      <c r="D1105" s="6">
        <v>5200</v>
      </c>
      <c r="E1105" s="6">
        <v>1436</v>
      </c>
      <c r="F1105" s="6">
        <v>7629278</v>
      </c>
      <c r="G1105" s="6">
        <v>7238168</v>
      </c>
      <c r="H1105" s="6">
        <v>4792329</v>
      </c>
      <c r="I1105" s="6">
        <v>224095</v>
      </c>
      <c r="J1105" s="6">
        <v>4088681</v>
      </c>
      <c r="K1105" s="6">
        <v>365578</v>
      </c>
      <c r="L1105" s="6">
        <v>113975</v>
      </c>
      <c r="M1105" s="6">
        <v>58676</v>
      </c>
      <c r="N1105" s="6">
        <v>247297</v>
      </c>
      <c r="O1105" s="6">
        <v>574396</v>
      </c>
      <c r="P1105" s="6">
        <v>1627431</v>
      </c>
      <c r="Q1105" s="6">
        <v>779349</v>
      </c>
      <c r="R1105" s="6">
        <v>1505180</v>
      </c>
      <c r="S1105" s="6">
        <v>2347</v>
      </c>
      <c r="T1105" s="6">
        <v>2443492</v>
      </c>
      <c r="U1105" s="6">
        <v>280036</v>
      </c>
      <c r="V1105" s="6">
        <v>-26189</v>
      </c>
      <c r="W1105" s="6">
        <v>0</v>
      </c>
      <c r="X1105" s="6">
        <v>137262</v>
      </c>
      <c r="Y1105" s="6">
        <v>16136</v>
      </c>
      <c r="Z1105" s="6">
        <v>2695</v>
      </c>
      <c r="AA1105" s="6">
        <v>169</v>
      </c>
      <c r="AB1105" s="6">
        <v>66</v>
      </c>
      <c r="AC1105" s="6">
        <v>441</v>
      </c>
      <c r="AD1105" s="6">
        <v>235</v>
      </c>
      <c r="AE1105" s="6">
        <v>18412</v>
      </c>
      <c r="AF1105" s="6">
        <v>38957</v>
      </c>
    </row>
    <row r="1106" spans="1:32" x14ac:dyDescent="0.35">
      <c r="A1106" s="1">
        <v>45287</v>
      </c>
      <c r="B1106" s="6">
        <v>7712781</v>
      </c>
      <c r="C1106" s="6">
        <v>11037</v>
      </c>
      <c r="D1106" s="6">
        <v>5200</v>
      </c>
      <c r="E1106" s="6">
        <v>1422</v>
      </c>
      <c r="F1106" s="6">
        <v>7619739</v>
      </c>
      <c r="G1106" s="6">
        <v>7224667</v>
      </c>
      <c r="H1106" s="6">
        <v>4790547</v>
      </c>
      <c r="I1106" s="6">
        <v>222354</v>
      </c>
      <c r="J1106" s="6">
        <v>4088681</v>
      </c>
      <c r="K1106" s="6">
        <v>365578</v>
      </c>
      <c r="L1106" s="6">
        <v>113933</v>
      </c>
      <c r="M1106" s="6">
        <v>65252</v>
      </c>
      <c r="N1106" s="6">
        <v>240389</v>
      </c>
      <c r="O1106" s="6">
        <v>572986</v>
      </c>
      <c r="P1106" s="6">
        <v>1627413</v>
      </c>
      <c r="Q1106" s="6">
        <v>779339</v>
      </c>
      <c r="R1106" s="6">
        <v>1505168</v>
      </c>
      <c r="S1106" s="6">
        <v>2347</v>
      </c>
      <c r="T1106" s="6">
        <v>2431773</v>
      </c>
      <c r="U1106" s="6">
        <v>279171</v>
      </c>
      <c r="V1106" s="6">
        <v>-25884</v>
      </c>
      <c r="W1106" s="6">
        <v>0</v>
      </c>
      <c r="X1106" s="6">
        <v>141785</v>
      </c>
      <c r="Y1106" s="6">
        <v>16156</v>
      </c>
      <c r="Z1106" s="6">
        <v>213</v>
      </c>
      <c r="AA1106" s="6">
        <v>46</v>
      </c>
      <c r="AB1106" s="6">
        <v>190</v>
      </c>
      <c r="AC1106" s="6">
        <v>438</v>
      </c>
      <c r="AD1106" s="6">
        <v>1359</v>
      </c>
      <c r="AE1106" s="6">
        <v>18669</v>
      </c>
      <c r="AF1106" s="6">
        <v>38312</v>
      </c>
    </row>
    <row r="1107" spans="1:32" x14ac:dyDescent="0.35">
      <c r="A1107" s="1">
        <v>45294</v>
      </c>
      <c r="B1107" s="6">
        <v>7681024</v>
      </c>
      <c r="C1107" s="6">
        <v>11037</v>
      </c>
      <c r="D1107" s="6">
        <v>5200</v>
      </c>
      <c r="E1107" s="6">
        <v>1426</v>
      </c>
      <c r="F1107" s="6">
        <v>7587100</v>
      </c>
      <c r="G1107" s="6">
        <v>7187450</v>
      </c>
      <c r="H1107" s="6">
        <v>4753330</v>
      </c>
      <c r="I1107" s="6">
        <v>216788</v>
      </c>
      <c r="J1107" s="6">
        <v>4057147</v>
      </c>
      <c r="K1107" s="6">
        <v>365578</v>
      </c>
      <c r="L1107" s="6">
        <v>113816</v>
      </c>
      <c r="M1107" s="6">
        <v>57224</v>
      </c>
      <c r="N1107" s="6">
        <v>249347</v>
      </c>
      <c r="O1107" s="6">
        <v>554981</v>
      </c>
      <c r="P1107" s="6">
        <v>1614938</v>
      </c>
      <c r="Q1107" s="6">
        <v>771704</v>
      </c>
      <c r="R1107" s="6">
        <v>1505136</v>
      </c>
      <c r="S1107" s="6">
        <v>2347</v>
      </c>
      <c r="T1107" s="6">
        <v>2431773</v>
      </c>
      <c r="U1107" s="6">
        <v>278627</v>
      </c>
      <c r="V1107" s="6">
        <v>-25798</v>
      </c>
      <c r="W1107" s="6">
        <v>0</v>
      </c>
      <c r="X1107" s="6">
        <v>146820</v>
      </c>
      <c r="Y1107" s="6">
        <v>16173</v>
      </c>
      <c r="Z1107" s="6">
        <v>213</v>
      </c>
      <c r="AA1107" s="6">
        <v>46</v>
      </c>
      <c r="AB1107" s="6">
        <v>92</v>
      </c>
      <c r="AC1107" s="6">
        <v>429</v>
      </c>
      <c r="AD1107" s="6">
        <v>1357</v>
      </c>
      <c r="AE1107" s="6">
        <v>18385</v>
      </c>
      <c r="AF1107" s="6">
        <v>39567</v>
      </c>
    </row>
    <row r="1108" spans="1:32" x14ac:dyDescent="0.35">
      <c r="A1108" s="1">
        <v>45301</v>
      </c>
      <c r="B1108" s="6">
        <v>7686710</v>
      </c>
      <c r="C1108" s="6">
        <v>11037</v>
      </c>
      <c r="D1108" s="6">
        <v>5200</v>
      </c>
      <c r="E1108" s="6">
        <v>1448</v>
      </c>
      <c r="F1108" s="6">
        <v>7590728</v>
      </c>
      <c r="G1108" s="6">
        <v>7185635</v>
      </c>
      <c r="H1108" s="6">
        <v>4751515</v>
      </c>
      <c r="I1108" s="6">
        <v>215192</v>
      </c>
      <c r="J1108" s="6">
        <v>4057147</v>
      </c>
      <c r="K1108" s="6">
        <v>365578</v>
      </c>
      <c r="L1108" s="6">
        <v>113598</v>
      </c>
      <c r="M1108" s="6">
        <v>59873</v>
      </c>
      <c r="N1108" s="6">
        <v>245629</v>
      </c>
      <c r="O1108" s="6">
        <v>554436</v>
      </c>
      <c r="P1108" s="6">
        <v>1614845</v>
      </c>
      <c r="Q1108" s="6">
        <v>771654</v>
      </c>
      <c r="R1108" s="6">
        <v>1505076</v>
      </c>
      <c r="S1108" s="6">
        <v>2347</v>
      </c>
      <c r="T1108" s="6">
        <v>2431773</v>
      </c>
      <c r="U1108" s="6">
        <v>278115</v>
      </c>
      <c r="V1108" s="6">
        <v>-25717</v>
      </c>
      <c r="W1108" s="6">
        <v>0</v>
      </c>
      <c r="X1108" s="6">
        <v>152694</v>
      </c>
      <c r="Y1108" s="6">
        <v>16192</v>
      </c>
      <c r="Z1108" s="6">
        <v>214</v>
      </c>
      <c r="AA1108" s="6">
        <v>46</v>
      </c>
      <c r="AB1108" s="6">
        <v>60</v>
      </c>
      <c r="AC1108" s="6">
        <v>432</v>
      </c>
      <c r="AD1108" s="6">
        <v>223</v>
      </c>
      <c r="AE1108" s="6">
        <v>18350</v>
      </c>
      <c r="AF1108" s="6">
        <v>42782</v>
      </c>
    </row>
    <row r="1109" spans="1:32" x14ac:dyDescent="0.35">
      <c r="A1109" s="1">
        <v>45308</v>
      </c>
      <c r="B1109" s="6">
        <v>7673741</v>
      </c>
      <c r="C1109" s="6">
        <v>11037</v>
      </c>
      <c r="D1109" s="6">
        <v>5200</v>
      </c>
      <c r="E1109" s="6">
        <v>1462</v>
      </c>
      <c r="F1109" s="6">
        <v>7577191</v>
      </c>
      <c r="G1109" s="6">
        <v>7158081</v>
      </c>
      <c r="H1109" s="6">
        <v>4724025</v>
      </c>
      <c r="I1109" s="6">
        <v>213749</v>
      </c>
      <c r="J1109" s="6">
        <v>4038372</v>
      </c>
      <c r="K1109" s="6">
        <v>360222</v>
      </c>
      <c r="L1109" s="6">
        <v>111681</v>
      </c>
      <c r="M1109" s="6">
        <v>67690</v>
      </c>
      <c r="N1109" s="6">
        <v>250063</v>
      </c>
      <c r="O1109" s="6">
        <v>556572</v>
      </c>
      <c r="P1109" s="6">
        <v>1594890</v>
      </c>
      <c r="Q1109" s="6">
        <v>749792</v>
      </c>
      <c r="R1109" s="6">
        <v>1505016</v>
      </c>
      <c r="S1109" s="6">
        <v>2347</v>
      </c>
      <c r="T1109" s="6">
        <v>2431710</v>
      </c>
      <c r="U1109" s="6">
        <v>277567</v>
      </c>
      <c r="V1109" s="6">
        <v>-25618</v>
      </c>
      <c r="W1109" s="6">
        <v>0</v>
      </c>
      <c r="X1109" s="6">
        <v>167161</v>
      </c>
      <c r="Y1109" s="6">
        <v>15375</v>
      </c>
      <c r="Z1109" s="6">
        <v>214</v>
      </c>
      <c r="AA1109" s="6">
        <v>46</v>
      </c>
      <c r="AB1109" s="6">
        <v>47</v>
      </c>
      <c r="AC1109" s="6">
        <v>434</v>
      </c>
      <c r="AD1109" s="6">
        <v>216</v>
      </c>
      <c r="AE1109" s="6">
        <v>18129</v>
      </c>
      <c r="AF1109" s="6">
        <v>44391</v>
      </c>
    </row>
    <row r="1110" spans="1:32" x14ac:dyDescent="0.35">
      <c r="A1110" s="1">
        <v>45315</v>
      </c>
      <c r="B1110" s="6">
        <v>7677230</v>
      </c>
      <c r="C1110" s="6">
        <v>11037</v>
      </c>
      <c r="D1110" s="6">
        <v>5200</v>
      </c>
      <c r="E1110" s="6">
        <v>1486</v>
      </c>
      <c r="F1110" s="6">
        <v>7578582</v>
      </c>
      <c r="G1110" s="6">
        <v>7153293</v>
      </c>
      <c r="H1110" s="6">
        <v>4722302</v>
      </c>
      <c r="I1110" s="6">
        <v>212242</v>
      </c>
      <c r="J1110" s="6">
        <v>4038372</v>
      </c>
      <c r="K1110" s="6">
        <v>360222</v>
      </c>
      <c r="L1110" s="6">
        <v>111466</v>
      </c>
      <c r="M1110" s="6">
        <v>69991</v>
      </c>
      <c r="N1110" s="6">
        <v>250636</v>
      </c>
      <c r="O1110" s="6">
        <v>552163</v>
      </c>
      <c r="P1110" s="6">
        <v>1594803</v>
      </c>
      <c r="Q1110" s="6">
        <v>749752</v>
      </c>
      <c r="R1110" s="6">
        <v>1504956</v>
      </c>
      <c r="S1110" s="6">
        <v>2347</v>
      </c>
      <c r="T1110" s="6">
        <v>2428644</v>
      </c>
      <c r="U1110" s="6">
        <v>276850</v>
      </c>
      <c r="V1110" s="6">
        <v>-25452</v>
      </c>
      <c r="W1110" s="6">
        <v>0</v>
      </c>
      <c r="X1110" s="6">
        <v>173891</v>
      </c>
      <c r="Y1110" s="6">
        <v>15394</v>
      </c>
      <c r="Z1110" s="6">
        <v>1</v>
      </c>
      <c r="AA1110" s="6">
        <v>0</v>
      </c>
      <c r="AB1110" s="6">
        <v>48</v>
      </c>
      <c r="AC1110" s="6">
        <v>439</v>
      </c>
      <c r="AD1110" s="6">
        <v>224</v>
      </c>
      <c r="AE1110" s="6">
        <v>18227</v>
      </c>
      <c r="AF1110" s="6">
        <v>46593</v>
      </c>
    </row>
    <row r="1111" spans="1:32" x14ac:dyDescent="0.35">
      <c r="A1111" s="1">
        <v>45322</v>
      </c>
      <c r="B1111" s="6">
        <v>7630124</v>
      </c>
      <c r="C1111" s="6">
        <v>11037</v>
      </c>
      <c r="D1111" s="6">
        <v>5200</v>
      </c>
      <c r="E1111" s="6">
        <v>1500</v>
      </c>
      <c r="F1111" s="6">
        <v>7534550</v>
      </c>
      <c r="G1111" s="6">
        <v>7112224</v>
      </c>
      <c r="H1111" s="6">
        <v>4692721</v>
      </c>
      <c r="I1111" s="6">
        <v>210353</v>
      </c>
      <c r="J1111" s="6">
        <v>4010894</v>
      </c>
      <c r="K1111" s="6">
        <v>360222</v>
      </c>
      <c r="L1111" s="6">
        <v>111251</v>
      </c>
      <c r="M1111" s="6">
        <v>83218</v>
      </c>
      <c r="N1111" s="6">
        <v>229458</v>
      </c>
      <c r="O1111" s="6">
        <v>530721</v>
      </c>
      <c r="P1111" s="6">
        <v>1602637</v>
      </c>
      <c r="Q1111" s="6">
        <v>741790</v>
      </c>
      <c r="R1111" s="6">
        <v>1504897</v>
      </c>
      <c r="S1111" s="6">
        <v>2347</v>
      </c>
      <c r="T1111" s="6">
        <v>2417156</v>
      </c>
      <c r="U1111" s="6">
        <v>276055</v>
      </c>
      <c r="V1111" s="6">
        <v>-25476</v>
      </c>
      <c r="W1111" s="6">
        <v>0</v>
      </c>
      <c r="X1111" s="6">
        <v>171747</v>
      </c>
      <c r="Y1111" s="6">
        <v>15083</v>
      </c>
      <c r="Z1111" s="6">
        <v>1</v>
      </c>
      <c r="AA1111" s="6">
        <v>0</v>
      </c>
      <c r="AB1111" s="6">
        <v>50</v>
      </c>
      <c r="AC1111" s="6">
        <v>460</v>
      </c>
      <c r="AD1111" s="6">
        <v>219</v>
      </c>
      <c r="AE1111" s="6">
        <v>18247</v>
      </c>
      <c r="AF1111" s="6">
        <v>43776</v>
      </c>
    </row>
    <row r="1112" spans="1:32" x14ac:dyDescent="0.35">
      <c r="A1112" s="1">
        <v>45329</v>
      </c>
      <c r="B1112" s="6">
        <v>7631300</v>
      </c>
      <c r="C1112" s="6">
        <v>11037</v>
      </c>
      <c r="D1112" s="6">
        <v>5200</v>
      </c>
      <c r="E1112" s="6">
        <v>1517</v>
      </c>
      <c r="F1112" s="6">
        <v>7532645</v>
      </c>
      <c r="G1112" s="6">
        <v>7112112</v>
      </c>
      <c r="H1112" s="6">
        <v>4692608</v>
      </c>
      <c r="I1112" s="6">
        <v>210353</v>
      </c>
      <c r="J1112" s="6">
        <v>4010894</v>
      </c>
      <c r="K1112" s="6">
        <v>360222</v>
      </c>
      <c r="L1112" s="6">
        <v>111138</v>
      </c>
      <c r="M1112" s="6">
        <v>82267</v>
      </c>
      <c r="N1112" s="6">
        <v>230601</v>
      </c>
      <c r="O1112" s="6">
        <v>552753</v>
      </c>
      <c r="P1112" s="6">
        <v>1580352</v>
      </c>
      <c r="Q1112" s="6">
        <v>741769</v>
      </c>
      <c r="R1112" s="6">
        <v>1504865</v>
      </c>
      <c r="S1112" s="6">
        <v>2347</v>
      </c>
      <c r="T1112" s="6">
        <v>2417156</v>
      </c>
      <c r="U1112" s="6">
        <v>275555</v>
      </c>
      <c r="V1112" s="6">
        <v>-25523</v>
      </c>
      <c r="W1112" s="6">
        <v>0</v>
      </c>
      <c r="X1112" s="6">
        <v>170501</v>
      </c>
      <c r="Y1112" s="6">
        <v>15103</v>
      </c>
      <c r="Z1112" s="6">
        <v>1</v>
      </c>
      <c r="AA1112" s="6">
        <v>0</v>
      </c>
      <c r="AB1112" s="6">
        <v>56</v>
      </c>
      <c r="AC1112" s="6">
        <v>446</v>
      </c>
      <c r="AD1112" s="6">
        <v>230</v>
      </c>
      <c r="AE1112" s="6">
        <v>18067</v>
      </c>
      <c r="AF1112" s="6">
        <v>46998</v>
      </c>
    </row>
    <row r="1113" spans="1:32" x14ac:dyDescent="0.35">
      <c r="A1113" s="1">
        <v>45336</v>
      </c>
      <c r="B1113" s="6">
        <v>7633874</v>
      </c>
      <c r="C1113" s="6">
        <v>11037</v>
      </c>
      <c r="D1113" s="6">
        <v>5200</v>
      </c>
      <c r="E1113" s="6">
        <v>1527</v>
      </c>
      <c r="F1113" s="6">
        <v>7532034</v>
      </c>
      <c r="G1113" s="6">
        <v>7112069</v>
      </c>
      <c r="H1113" s="6">
        <v>4692495</v>
      </c>
      <c r="I1113" s="6">
        <v>210353</v>
      </c>
      <c r="J1113" s="6">
        <v>4010894</v>
      </c>
      <c r="K1113" s="6">
        <v>360222</v>
      </c>
      <c r="L1113" s="6">
        <v>111025</v>
      </c>
      <c r="M1113" s="6">
        <v>118167</v>
      </c>
      <c r="N1113" s="6">
        <v>194735</v>
      </c>
      <c r="O1113" s="6">
        <v>552704</v>
      </c>
      <c r="P1113" s="6">
        <v>1580306</v>
      </c>
      <c r="Q1113" s="6">
        <v>741748</v>
      </c>
      <c r="R1113" s="6">
        <v>1504834</v>
      </c>
      <c r="S1113" s="6">
        <v>2347</v>
      </c>
      <c r="T1113" s="6">
        <v>2417227</v>
      </c>
      <c r="U1113" s="6">
        <v>275023</v>
      </c>
      <c r="V1113" s="6">
        <v>-25507</v>
      </c>
      <c r="W1113" s="6">
        <v>0</v>
      </c>
      <c r="X1113" s="6">
        <v>170448</v>
      </c>
      <c r="Y1113" s="6">
        <v>15132</v>
      </c>
      <c r="Z1113" s="6">
        <v>1</v>
      </c>
      <c r="AA1113" s="6">
        <v>0</v>
      </c>
      <c r="AB1113" s="6">
        <v>64</v>
      </c>
      <c r="AC1113" s="6">
        <v>447</v>
      </c>
      <c r="AD1113" s="6">
        <v>227</v>
      </c>
      <c r="AE1113" s="6">
        <v>17932</v>
      </c>
      <c r="AF1113" s="6">
        <v>50272</v>
      </c>
    </row>
    <row r="1114" spans="1:32" x14ac:dyDescent="0.35">
      <c r="A1114" s="1">
        <v>45343</v>
      </c>
      <c r="B1114" s="6">
        <v>7581683</v>
      </c>
      <c r="C1114" s="6">
        <v>11037</v>
      </c>
      <c r="D1114" s="6">
        <v>5200</v>
      </c>
      <c r="E1114" s="6">
        <v>1537</v>
      </c>
      <c r="F1114" s="6">
        <v>7496656</v>
      </c>
      <c r="G1114" s="6">
        <v>7077988</v>
      </c>
      <c r="H1114" s="6">
        <v>4661421</v>
      </c>
      <c r="I1114" s="6">
        <v>210353</v>
      </c>
      <c r="J1114" s="6">
        <v>3979933</v>
      </c>
      <c r="K1114" s="6">
        <v>360222</v>
      </c>
      <c r="L1114" s="6">
        <v>110912</v>
      </c>
      <c r="M1114" s="6">
        <v>67773</v>
      </c>
      <c r="N1114" s="6">
        <v>257083</v>
      </c>
      <c r="O1114" s="6">
        <v>549934</v>
      </c>
      <c r="P1114" s="6">
        <v>1563703</v>
      </c>
      <c r="Q1114" s="6">
        <v>716276</v>
      </c>
      <c r="R1114" s="6">
        <v>1506651</v>
      </c>
      <c r="S1114" s="6">
        <v>2347</v>
      </c>
      <c r="T1114" s="6">
        <v>2414220</v>
      </c>
      <c r="U1114" s="6">
        <v>274368</v>
      </c>
      <c r="V1114" s="6">
        <v>-25568</v>
      </c>
      <c r="W1114" s="6">
        <v>1</v>
      </c>
      <c r="X1114" s="6">
        <v>169867</v>
      </c>
      <c r="Y1114" s="6">
        <v>14809</v>
      </c>
      <c r="Z1114" s="6">
        <v>1</v>
      </c>
      <c r="AA1114" s="6">
        <v>0</v>
      </c>
      <c r="AB1114" s="6">
        <v>61</v>
      </c>
      <c r="AC1114" s="6">
        <v>471</v>
      </c>
      <c r="AD1114" s="6">
        <v>215</v>
      </c>
      <c r="AE1114" s="6">
        <v>18041</v>
      </c>
      <c r="AF1114" s="6">
        <v>33653</v>
      </c>
    </row>
    <row r="1115" spans="1:32" x14ac:dyDescent="0.35">
      <c r="A1115" s="1">
        <v>45350</v>
      </c>
      <c r="B1115" s="6">
        <v>7567807</v>
      </c>
      <c r="C1115" s="6">
        <v>11037</v>
      </c>
      <c r="D1115" s="6">
        <v>5200</v>
      </c>
      <c r="E1115" s="6">
        <v>1526</v>
      </c>
      <c r="F1115" s="6">
        <v>7483515</v>
      </c>
      <c r="G1115" s="6">
        <v>7066839</v>
      </c>
      <c r="H1115" s="6">
        <v>4661257</v>
      </c>
      <c r="I1115" s="6">
        <v>210353</v>
      </c>
      <c r="J1115" s="6">
        <v>3979883</v>
      </c>
      <c r="K1115" s="6">
        <v>360222</v>
      </c>
      <c r="L1115" s="6">
        <v>110799</v>
      </c>
      <c r="M1115" s="6">
        <v>56650</v>
      </c>
      <c r="N1115" s="6">
        <v>264929</v>
      </c>
      <c r="O1115" s="6">
        <v>553197</v>
      </c>
      <c r="P1115" s="6">
        <v>1572206</v>
      </c>
      <c r="Q1115" s="6">
        <v>707656</v>
      </c>
      <c r="R1115" s="6">
        <v>1506619</v>
      </c>
      <c r="S1115" s="6">
        <v>2347</v>
      </c>
      <c r="T1115" s="6">
        <v>2403235</v>
      </c>
      <c r="U1115" s="6">
        <v>273588</v>
      </c>
      <c r="V1115" s="6">
        <v>-25689</v>
      </c>
      <c r="W1115" s="6">
        <v>4</v>
      </c>
      <c r="X1115" s="6">
        <v>168773</v>
      </c>
      <c r="Y1115" s="6">
        <v>14826</v>
      </c>
      <c r="Z1115" s="6">
        <v>0</v>
      </c>
      <c r="AA1115" s="6">
        <v>0</v>
      </c>
      <c r="AB1115" s="6">
        <v>61</v>
      </c>
      <c r="AC1115" s="6">
        <v>477</v>
      </c>
      <c r="AD1115" s="6">
        <v>217</v>
      </c>
      <c r="AE1115" s="6">
        <v>18054</v>
      </c>
      <c r="AF1115" s="6">
        <v>32895</v>
      </c>
    </row>
    <row r="1116" spans="1:32" x14ac:dyDescent="0.35">
      <c r="A1116" s="1">
        <v>45357</v>
      </c>
      <c r="B1116" s="6">
        <v>7538857</v>
      </c>
      <c r="C1116" s="6">
        <v>11037</v>
      </c>
      <c r="D1116" s="6">
        <v>5200</v>
      </c>
      <c r="E1116" s="6">
        <v>1524</v>
      </c>
      <c r="F1116" s="6">
        <v>7453885</v>
      </c>
      <c r="G1116" s="6">
        <v>7037288</v>
      </c>
      <c r="H1116" s="6">
        <v>4631706</v>
      </c>
      <c r="I1116" s="6">
        <v>209312</v>
      </c>
      <c r="J1116" s="6">
        <v>3950503</v>
      </c>
      <c r="K1116" s="6">
        <v>360612</v>
      </c>
      <c r="L1116" s="6">
        <v>111280</v>
      </c>
      <c r="M1116" s="6">
        <v>16450</v>
      </c>
      <c r="N1116" s="6">
        <v>310294</v>
      </c>
      <c r="O1116" s="6">
        <v>543637</v>
      </c>
      <c r="P1116" s="6">
        <v>1543878</v>
      </c>
      <c r="Q1116" s="6">
        <v>709563</v>
      </c>
      <c r="R1116" s="6">
        <v>1507883</v>
      </c>
      <c r="S1116" s="6">
        <v>2347</v>
      </c>
      <c r="T1116" s="6">
        <v>2403235</v>
      </c>
      <c r="U1116" s="6">
        <v>273096</v>
      </c>
      <c r="V1116" s="6">
        <v>-25685</v>
      </c>
      <c r="W1116" s="6">
        <v>5</v>
      </c>
      <c r="X1116" s="6">
        <v>169181</v>
      </c>
      <c r="Y1116" s="6">
        <v>14843</v>
      </c>
      <c r="Z1116" s="6">
        <v>0</v>
      </c>
      <c r="AA1116" s="6">
        <v>0</v>
      </c>
      <c r="AB1116" s="6">
        <v>57</v>
      </c>
      <c r="AC1116" s="6">
        <v>457</v>
      </c>
      <c r="AD1116" s="6">
        <v>183</v>
      </c>
      <c r="AE1116" s="6">
        <v>18202</v>
      </c>
      <c r="AF1116" s="6">
        <v>33468</v>
      </c>
    </row>
    <row r="1117" spans="1:32" x14ac:dyDescent="0.35">
      <c r="A1117" s="1">
        <v>45364</v>
      </c>
      <c r="B1117" s="6">
        <v>7541969</v>
      </c>
      <c r="C1117" s="6">
        <v>11037</v>
      </c>
      <c r="D1117" s="6">
        <v>5200</v>
      </c>
      <c r="E1117" s="6">
        <v>1536</v>
      </c>
      <c r="F1117" s="6">
        <v>7454170</v>
      </c>
      <c r="G1117" s="6">
        <v>7034433</v>
      </c>
      <c r="H1117" s="6">
        <v>4628851</v>
      </c>
      <c r="I1117" s="6">
        <v>205827</v>
      </c>
      <c r="J1117" s="6">
        <v>3950553</v>
      </c>
      <c r="K1117" s="6">
        <v>360612</v>
      </c>
      <c r="L1117" s="6">
        <v>111860</v>
      </c>
      <c r="M1117" s="6">
        <v>18538</v>
      </c>
      <c r="N1117" s="6">
        <v>305941</v>
      </c>
      <c r="O1117" s="6">
        <v>542493</v>
      </c>
      <c r="P1117" s="6">
        <v>1544134</v>
      </c>
      <c r="Q1117" s="6">
        <v>709700</v>
      </c>
      <c r="R1117" s="6">
        <v>1508045</v>
      </c>
      <c r="S1117" s="6">
        <v>2347</v>
      </c>
      <c r="T1117" s="6">
        <v>2403235</v>
      </c>
      <c r="U1117" s="6">
        <v>272651</v>
      </c>
      <c r="V1117" s="6">
        <v>-25458</v>
      </c>
      <c r="W1117" s="6">
        <v>4</v>
      </c>
      <c r="X1117" s="6">
        <v>172541</v>
      </c>
      <c r="Y1117" s="6">
        <v>14855</v>
      </c>
      <c r="Z1117" s="6">
        <v>0</v>
      </c>
      <c r="AA1117" s="6">
        <v>0</v>
      </c>
      <c r="AB1117" s="6">
        <v>50</v>
      </c>
      <c r="AC1117" s="6">
        <v>461</v>
      </c>
      <c r="AD1117" s="6">
        <v>179</v>
      </c>
      <c r="AE1117" s="6">
        <v>18302</v>
      </c>
      <c r="AF1117" s="6">
        <v>36180</v>
      </c>
    </row>
    <row r="1118" spans="1:32" x14ac:dyDescent="0.35">
      <c r="A1118" s="1">
        <v>45371</v>
      </c>
      <c r="B1118" s="6">
        <v>7514348</v>
      </c>
      <c r="C1118" s="6">
        <v>11037</v>
      </c>
      <c r="D1118" s="6">
        <v>5200</v>
      </c>
      <c r="E1118" s="6">
        <v>1549</v>
      </c>
      <c r="F1118" s="6">
        <v>7425581</v>
      </c>
      <c r="G1118" s="6">
        <v>7022774</v>
      </c>
      <c r="H1118" s="6">
        <v>4620435</v>
      </c>
      <c r="I1118" s="6">
        <v>202148</v>
      </c>
      <c r="J1118" s="6">
        <v>3945236</v>
      </c>
      <c r="K1118" s="6">
        <v>360612</v>
      </c>
      <c r="L1118" s="6">
        <v>112439</v>
      </c>
      <c r="M1118" s="6">
        <v>58267</v>
      </c>
      <c r="N1118" s="6">
        <v>273686</v>
      </c>
      <c r="O1118" s="6">
        <v>534164</v>
      </c>
      <c r="P1118" s="6">
        <v>1536304</v>
      </c>
      <c r="Q1118" s="6">
        <v>709808</v>
      </c>
      <c r="R1118" s="6">
        <v>1508207</v>
      </c>
      <c r="S1118" s="6">
        <v>2347</v>
      </c>
      <c r="T1118" s="6">
        <v>2399992</v>
      </c>
      <c r="U1118" s="6">
        <v>272065</v>
      </c>
      <c r="V1118" s="6">
        <v>-25228</v>
      </c>
      <c r="W1118" s="6">
        <v>3</v>
      </c>
      <c r="X1118" s="6">
        <v>155967</v>
      </c>
      <c r="Y1118" s="6">
        <v>14655</v>
      </c>
      <c r="Z1118" s="6">
        <v>0</v>
      </c>
      <c r="AA1118" s="6">
        <v>0</v>
      </c>
      <c r="AB1118" s="6">
        <v>58</v>
      </c>
      <c r="AC1118" s="6">
        <v>467</v>
      </c>
      <c r="AD1118" s="6">
        <v>173</v>
      </c>
      <c r="AE1118" s="6">
        <v>18050</v>
      </c>
      <c r="AF1118" s="6">
        <v>37579</v>
      </c>
    </row>
    <row r="1119" spans="1:32" x14ac:dyDescent="0.35">
      <c r="A1119" s="1">
        <v>45378</v>
      </c>
      <c r="B1119" s="6">
        <v>7484739</v>
      </c>
      <c r="C1119" s="6">
        <v>11037</v>
      </c>
      <c r="D1119" s="6">
        <v>5200</v>
      </c>
      <c r="E1119" s="6">
        <v>1552</v>
      </c>
      <c r="F1119" s="6">
        <v>7397345</v>
      </c>
      <c r="G1119" s="6">
        <v>7008864</v>
      </c>
      <c r="H1119" s="6">
        <v>4618082</v>
      </c>
      <c r="I1119" s="6">
        <v>199215</v>
      </c>
      <c r="J1119" s="6">
        <v>3945236</v>
      </c>
      <c r="K1119" s="6">
        <v>360612</v>
      </c>
      <c r="L1119" s="6">
        <v>113019</v>
      </c>
      <c r="M1119" s="6">
        <v>63612</v>
      </c>
      <c r="N1119" s="6">
        <v>265894</v>
      </c>
      <c r="O1119" s="6">
        <v>533751</v>
      </c>
      <c r="P1119" s="6">
        <v>1536540</v>
      </c>
      <c r="Q1119" s="6">
        <v>709916</v>
      </c>
      <c r="R1119" s="6">
        <v>1508369</v>
      </c>
      <c r="S1119" s="6">
        <v>2347</v>
      </c>
      <c r="T1119" s="6">
        <v>2388435</v>
      </c>
      <c r="U1119" s="6">
        <v>271336</v>
      </c>
      <c r="V1119" s="6">
        <v>-24991</v>
      </c>
      <c r="W1119" s="6">
        <v>0</v>
      </c>
      <c r="X1119" s="6">
        <v>142136</v>
      </c>
      <c r="Y1119" s="6">
        <v>14671</v>
      </c>
      <c r="Z1119" s="6">
        <v>0</v>
      </c>
      <c r="AA1119" s="6">
        <v>0</v>
      </c>
      <c r="AB1119" s="6">
        <v>63</v>
      </c>
      <c r="AC1119" s="6">
        <v>461</v>
      </c>
      <c r="AD1119" s="6">
        <v>179</v>
      </c>
      <c r="AE1119" s="6">
        <v>18030</v>
      </c>
      <c r="AF1119" s="6">
        <v>36201</v>
      </c>
    </row>
    <row r="1120" spans="1:32" x14ac:dyDescent="0.35">
      <c r="A1120" s="1">
        <v>45385</v>
      </c>
      <c r="B1120" s="6">
        <v>7439558</v>
      </c>
      <c r="C1120" s="6">
        <v>11037</v>
      </c>
      <c r="D1120" s="6">
        <v>5200</v>
      </c>
      <c r="E1120" s="6">
        <v>1551</v>
      </c>
      <c r="F1120" s="6">
        <v>7350986</v>
      </c>
      <c r="G1120" s="6">
        <v>6965944</v>
      </c>
      <c r="H1120" s="6">
        <v>4575162</v>
      </c>
      <c r="I1120" s="6">
        <v>195143</v>
      </c>
      <c r="J1120" s="6">
        <v>3905763</v>
      </c>
      <c r="K1120" s="6">
        <v>360612</v>
      </c>
      <c r="L1120" s="6">
        <v>113644</v>
      </c>
      <c r="M1120" s="6">
        <v>70985</v>
      </c>
      <c r="N1120" s="6">
        <v>239513</v>
      </c>
      <c r="O1120" s="6">
        <v>534567</v>
      </c>
      <c r="P1120" s="6">
        <v>1520273</v>
      </c>
      <c r="Q1120" s="6">
        <v>701279</v>
      </c>
      <c r="R1120" s="6">
        <v>1508544</v>
      </c>
      <c r="S1120" s="6">
        <v>2347</v>
      </c>
      <c r="T1120" s="6">
        <v>2388435</v>
      </c>
      <c r="U1120" s="6">
        <v>270865</v>
      </c>
      <c r="V1120" s="6">
        <v>-24784</v>
      </c>
      <c r="W1120" s="6">
        <v>2</v>
      </c>
      <c r="X1120" s="6">
        <v>138960</v>
      </c>
      <c r="Y1120" s="6">
        <v>14688</v>
      </c>
      <c r="Z1120" s="6">
        <v>0</v>
      </c>
      <c r="AA1120" s="6">
        <v>0</v>
      </c>
      <c r="AB1120" s="6">
        <v>48</v>
      </c>
      <c r="AC1120" s="6">
        <v>445</v>
      </c>
      <c r="AD1120" s="6">
        <v>187</v>
      </c>
      <c r="AE1120" s="6">
        <v>18031</v>
      </c>
      <c r="AF1120" s="6">
        <v>37385</v>
      </c>
    </row>
    <row r="1121" spans="1:32" x14ac:dyDescent="0.35">
      <c r="A1121" s="1">
        <v>45392</v>
      </c>
      <c r="B1121" s="6">
        <v>7438176</v>
      </c>
      <c r="C1121" s="6">
        <v>11037</v>
      </c>
      <c r="D1121" s="6">
        <v>5200</v>
      </c>
      <c r="E1121" s="6">
        <v>1545</v>
      </c>
      <c r="F1121" s="6">
        <v>7346750</v>
      </c>
      <c r="G1121" s="6">
        <v>6966629</v>
      </c>
      <c r="H1121" s="6">
        <v>4575846</v>
      </c>
      <c r="I1121" s="6">
        <v>195143</v>
      </c>
      <c r="J1121" s="6">
        <v>3905763</v>
      </c>
      <c r="K1121" s="6">
        <v>360612</v>
      </c>
      <c r="L1121" s="6">
        <v>114328</v>
      </c>
      <c r="M1121" s="6">
        <v>70295</v>
      </c>
      <c r="N1121" s="6">
        <v>239556</v>
      </c>
      <c r="O1121" s="6">
        <v>535303</v>
      </c>
      <c r="P1121" s="6">
        <v>1520551</v>
      </c>
      <c r="Q1121" s="6">
        <v>701407</v>
      </c>
      <c r="R1121" s="6">
        <v>1508735</v>
      </c>
      <c r="S1121" s="6">
        <v>2347</v>
      </c>
      <c r="T1121" s="6">
        <v>2388435</v>
      </c>
      <c r="U1121" s="6">
        <v>270436</v>
      </c>
      <c r="V1121" s="6">
        <v>-24742</v>
      </c>
      <c r="W1121" s="6">
        <v>1</v>
      </c>
      <c r="X1121" s="6">
        <v>134427</v>
      </c>
      <c r="Y1121" s="6">
        <v>14705</v>
      </c>
      <c r="Z1121" s="6">
        <v>0</v>
      </c>
      <c r="AA1121" s="6">
        <v>0</v>
      </c>
      <c r="AB1121" s="6">
        <v>58</v>
      </c>
      <c r="AC1121" s="6">
        <v>448</v>
      </c>
      <c r="AD1121" s="6">
        <v>150</v>
      </c>
      <c r="AE1121" s="6">
        <v>17888</v>
      </c>
      <c r="AF1121" s="6">
        <v>40396</v>
      </c>
    </row>
    <row r="1122" spans="1:32" x14ac:dyDescent="0.35">
      <c r="A1122" s="1">
        <v>45399</v>
      </c>
      <c r="B1122" s="6">
        <v>7405506</v>
      </c>
      <c r="C1122" s="6">
        <v>11037</v>
      </c>
      <c r="D1122" s="6">
        <v>5200</v>
      </c>
      <c r="E1122" s="6">
        <v>1528</v>
      </c>
      <c r="F1122" s="6">
        <v>7312290</v>
      </c>
      <c r="G1122" s="6">
        <v>6929720</v>
      </c>
      <c r="H1122" s="6">
        <v>4539133</v>
      </c>
      <c r="I1122" s="6">
        <v>195143</v>
      </c>
      <c r="J1122" s="6">
        <v>3881355</v>
      </c>
      <c r="K1122" s="6">
        <v>350027</v>
      </c>
      <c r="L1122" s="6">
        <v>112609</v>
      </c>
      <c r="M1122" s="6">
        <v>61999</v>
      </c>
      <c r="N1122" s="6">
        <v>244872</v>
      </c>
      <c r="O1122" s="6">
        <v>521232</v>
      </c>
      <c r="P1122" s="6">
        <v>1517634</v>
      </c>
      <c r="Q1122" s="6">
        <v>684107</v>
      </c>
      <c r="R1122" s="6">
        <v>1509289</v>
      </c>
      <c r="S1122" s="6">
        <v>2347</v>
      </c>
      <c r="T1122" s="6">
        <v>2388241</v>
      </c>
      <c r="U1122" s="6">
        <v>269968</v>
      </c>
      <c r="V1122" s="6">
        <v>-24731</v>
      </c>
      <c r="W1122" s="6">
        <v>7</v>
      </c>
      <c r="X1122" s="6">
        <v>137326</v>
      </c>
      <c r="Y1122" s="6">
        <v>14505</v>
      </c>
      <c r="Z1122" s="6">
        <v>0</v>
      </c>
      <c r="AA1122" s="6">
        <v>0</v>
      </c>
      <c r="AB1122" s="6">
        <v>65</v>
      </c>
      <c r="AC1122" s="6">
        <v>450</v>
      </c>
      <c r="AD1122" s="6">
        <v>174</v>
      </c>
      <c r="AE1122" s="6">
        <v>17724</v>
      </c>
      <c r="AF1122" s="6">
        <v>42533</v>
      </c>
    </row>
    <row r="1123" spans="1:32" x14ac:dyDescent="0.35">
      <c r="A1123" s="1">
        <v>45406</v>
      </c>
      <c r="B1123" s="6">
        <v>7402434</v>
      </c>
      <c r="C1123" s="6">
        <v>11037</v>
      </c>
      <c r="D1123" s="6">
        <v>5200</v>
      </c>
      <c r="E1123" s="6">
        <v>1517</v>
      </c>
      <c r="F1123" s="6">
        <v>7307114</v>
      </c>
      <c r="G1123" s="6">
        <v>6926866</v>
      </c>
      <c r="H1123" s="6">
        <v>4539799</v>
      </c>
      <c r="I1123" s="6">
        <v>195143</v>
      </c>
      <c r="J1123" s="6">
        <v>3881355</v>
      </c>
      <c r="K1123" s="6">
        <v>350027</v>
      </c>
      <c r="L1123" s="6">
        <v>113274</v>
      </c>
      <c r="M1123" s="6">
        <v>61251</v>
      </c>
      <c r="N1123" s="6">
        <v>241502</v>
      </c>
      <c r="O1123" s="6">
        <v>525436</v>
      </c>
      <c r="P1123" s="6">
        <v>1517921</v>
      </c>
      <c r="Q1123" s="6">
        <v>684209</v>
      </c>
      <c r="R1123" s="6">
        <v>1509480</v>
      </c>
      <c r="S1123" s="6">
        <v>2347</v>
      </c>
      <c r="T1123" s="6">
        <v>2384720</v>
      </c>
      <c r="U1123" s="6">
        <v>269384</v>
      </c>
      <c r="V1123" s="6">
        <v>-24833</v>
      </c>
      <c r="W1123" s="6">
        <v>5</v>
      </c>
      <c r="X1123" s="6">
        <v>135693</v>
      </c>
      <c r="Y1123" s="6">
        <v>14518</v>
      </c>
      <c r="Z1123" s="6">
        <v>0</v>
      </c>
      <c r="AA1123" s="6">
        <v>0</v>
      </c>
      <c r="AB1123" s="6">
        <v>52</v>
      </c>
      <c r="AC1123" s="6">
        <v>456</v>
      </c>
      <c r="AD1123" s="6">
        <v>137</v>
      </c>
      <c r="AE1123" s="6">
        <v>17758</v>
      </c>
      <c r="AF1123" s="6">
        <v>44646</v>
      </c>
    </row>
    <row r="1124" spans="1:32" x14ac:dyDescent="0.35">
      <c r="A1124" s="1">
        <v>45413</v>
      </c>
      <c r="B1124" s="6">
        <v>7362474</v>
      </c>
      <c r="C1124" s="6">
        <v>11037</v>
      </c>
      <c r="D1124" s="6">
        <v>5200</v>
      </c>
      <c r="E1124" s="6">
        <v>1515</v>
      </c>
      <c r="F1124" s="6">
        <v>7270070</v>
      </c>
      <c r="G1124" s="6">
        <v>6892302</v>
      </c>
      <c r="H1124" s="6">
        <v>4517906</v>
      </c>
      <c r="I1124" s="6">
        <v>195143</v>
      </c>
      <c r="J1124" s="6">
        <v>3858685</v>
      </c>
      <c r="K1124" s="6">
        <v>350136</v>
      </c>
      <c r="L1124" s="6">
        <v>113942</v>
      </c>
      <c r="M1124" s="6">
        <v>94329</v>
      </c>
      <c r="N1124" s="6">
        <v>184358</v>
      </c>
      <c r="O1124" s="6">
        <v>545252</v>
      </c>
      <c r="P1124" s="6">
        <v>1505775</v>
      </c>
      <c r="Q1124" s="6">
        <v>678459</v>
      </c>
      <c r="R1124" s="6">
        <v>1509733</v>
      </c>
      <c r="S1124" s="6">
        <v>2347</v>
      </c>
      <c r="T1124" s="6">
        <v>2372049</v>
      </c>
      <c r="U1124" s="6">
        <v>268656</v>
      </c>
      <c r="V1124" s="6">
        <v>-24771</v>
      </c>
      <c r="W1124" s="6">
        <v>0</v>
      </c>
      <c r="X1124" s="6">
        <v>133883</v>
      </c>
      <c r="Y1124" s="6">
        <v>14114</v>
      </c>
      <c r="Z1124" s="6">
        <v>0</v>
      </c>
      <c r="AA1124" s="6">
        <v>0</v>
      </c>
      <c r="AB1124" s="6">
        <v>63</v>
      </c>
      <c r="AC1124" s="6">
        <v>438</v>
      </c>
      <c r="AD1124" s="6">
        <v>124</v>
      </c>
      <c r="AE1124" s="6">
        <v>17674</v>
      </c>
      <c r="AF1124" s="6">
        <v>42240</v>
      </c>
    </row>
    <row r="1125" spans="1:32" x14ac:dyDescent="0.35">
      <c r="A1125" s="1">
        <v>45420</v>
      </c>
      <c r="B1125" s="6">
        <v>7353408</v>
      </c>
      <c r="C1125" s="6">
        <v>11037</v>
      </c>
      <c r="D1125" s="6">
        <v>5200</v>
      </c>
      <c r="E1125" s="6">
        <v>1508</v>
      </c>
      <c r="F1125" s="6">
        <v>7258298</v>
      </c>
      <c r="G1125" s="6">
        <v>6893087</v>
      </c>
      <c r="H1125" s="6">
        <v>4518691</v>
      </c>
      <c r="I1125" s="6">
        <v>195218</v>
      </c>
      <c r="J1125" s="6">
        <v>3858685</v>
      </c>
      <c r="K1125" s="6">
        <v>350161</v>
      </c>
      <c r="L1125" s="6">
        <v>114627</v>
      </c>
      <c r="M1125" s="6">
        <v>89940</v>
      </c>
      <c r="N1125" s="6">
        <v>212031</v>
      </c>
      <c r="O1125" s="6">
        <v>522131</v>
      </c>
      <c r="P1125" s="6">
        <v>1506100</v>
      </c>
      <c r="Q1125" s="6">
        <v>678562</v>
      </c>
      <c r="R1125" s="6">
        <v>1509928</v>
      </c>
      <c r="S1125" s="6">
        <v>2347</v>
      </c>
      <c r="T1125" s="6">
        <v>2372049</v>
      </c>
      <c r="U1125" s="6">
        <v>268235</v>
      </c>
      <c r="V1125" s="6">
        <v>-24855</v>
      </c>
      <c r="W1125" s="6">
        <v>1</v>
      </c>
      <c r="X1125" s="6">
        <v>121830</v>
      </c>
      <c r="Y1125" s="6">
        <v>14130</v>
      </c>
      <c r="Z1125" s="6">
        <v>0</v>
      </c>
      <c r="AA1125" s="6">
        <v>0</v>
      </c>
      <c r="AB1125" s="6">
        <v>58</v>
      </c>
      <c r="AC1125" s="6">
        <v>439</v>
      </c>
      <c r="AD1125" s="6">
        <v>125</v>
      </c>
      <c r="AE1125" s="6">
        <v>17835</v>
      </c>
      <c r="AF1125" s="6">
        <v>44778</v>
      </c>
    </row>
    <row r="1126" spans="1:32" x14ac:dyDescent="0.35">
      <c r="A1126" s="1">
        <v>45427</v>
      </c>
      <c r="B1126" s="6">
        <v>7304272</v>
      </c>
      <c r="C1126" s="6">
        <v>11037</v>
      </c>
      <c r="D1126" s="6">
        <v>5200</v>
      </c>
      <c r="E1126" s="6">
        <v>1495</v>
      </c>
      <c r="F1126" s="6">
        <v>7224184</v>
      </c>
      <c r="G1126" s="6">
        <v>6862420</v>
      </c>
      <c r="H1126" s="6">
        <v>4488090</v>
      </c>
      <c r="I1126" s="6">
        <v>195218</v>
      </c>
      <c r="J1126" s="6">
        <v>3827406</v>
      </c>
      <c r="K1126" s="6">
        <v>350161</v>
      </c>
      <c r="L1126" s="6">
        <v>115304</v>
      </c>
      <c r="M1126" s="6">
        <v>41744</v>
      </c>
      <c r="N1126" s="6">
        <v>216735</v>
      </c>
      <c r="O1126" s="6">
        <v>565935</v>
      </c>
      <c r="P1126" s="6">
        <v>1501723</v>
      </c>
      <c r="Q1126" s="6">
        <v>643410</v>
      </c>
      <c r="R1126" s="6">
        <v>1518543</v>
      </c>
      <c r="S1126" s="6">
        <v>2347</v>
      </c>
      <c r="T1126" s="6">
        <v>2371983</v>
      </c>
      <c r="U1126" s="6">
        <v>267778</v>
      </c>
      <c r="V1126" s="6">
        <v>-24936</v>
      </c>
      <c r="W1126" s="6">
        <v>0</v>
      </c>
      <c r="X1126" s="6">
        <v>118922</v>
      </c>
      <c r="Y1126" s="6">
        <v>13773</v>
      </c>
      <c r="Z1126" s="6">
        <v>0</v>
      </c>
      <c r="AA1126" s="6">
        <v>0</v>
      </c>
      <c r="AB1126" s="6">
        <v>53</v>
      </c>
      <c r="AC1126" s="6">
        <v>447</v>
      </c>
      <c r="AD1126" s="6">
        <v>130</v>
      </c>
      <c r="AE1126" s="6">
        <v>17972</v>
      </c>
      <c r="AF1126" s="6">
        <v>29982</v>
      </c>
    </row>
    <row r="1127" spans="1:32" x14ac:dyDescent="0.35">
      <c r="A1127" s="1">
        <v>45434</v>
      </c>
      <c r="B1127" s="6">
        <v>7299566</v>
      </c>
      <c r="C1127" s="6">
        <v>11037</v>
      </c>
      <c r="D1127" s="6">
        <v>5200</v>
      </c>
      <c r="E1127" s="6">
        <v>1484</v>
      </c>
      <c r="F1127" s="6">
        <v>7219965</v>
      </c>
      <c r="G1127" s="6">
        <v>6859354</v>
      </c>
      <c r="H1127" s="6">
        <v>4488767</v>
      </c>
      <c r="I1127" s="6">
        <v>195218</v>
      </c>
      <c r="J1127" s="6">
        <v>3827406</v>
      </c>
      <c r="K1127" s="6">
        <v>350161</v>
      </c>
      <c r="L1127" s="6">
        <v>115982</v>
      </c>
      <c r="M1127" s="6">
        <v>68095</v>
      </c>
      <c r="N1127" s="6">
        <v>224099</v>
      </c>
      <c r="O1127" s="6">
        <v>532306</v>
      </c>
      <c r="P1127" s="6">
        <v>1502016</v>
      </c>
      <c r="Q1127" s="6">
        <v>648792</v>
      </c>
      <c r="R1127" s="6">
        <v>1513459</v>
      </c>
      <c r="S1127" s="6">
        <v>2347</v>
      </c>
      <c r="T1127" s="6">
        <v>2368240</v>
      </c>
      <c r="U1127" s="6">
        <v>267198</v>
      </c>
      <c r="V1127" s="6">
        <v>-25208</v>
      </c>
      <c r="W1127" s="6">
        <v>1</v>
      </c>
      <c r="X1127" s="6">
        <v>118619</v>
      </c>
      <c r="Y1127" s="6">
        <v>11304</v>
      </c>
      <c r="Z1127" s="6">
        <v>0</v>
      </c>
      <c r="AA1127" s="6">
        <v>0</v>
      </c>
      <c r="AB1127" s="6">
        <v>46</v>
      </c>
      <c r="AC1127" s="6">
        <v>449</v>
      </c>
      <c r="AD1127" s="6">
        <v>123</v>
      </c>
      <c r="AE1127" s="6">
        <v>17895</v>
      </c>
      <c r="AF1127" s="6">
        <v>32062</v>
      </c>
    </row>
    <row r="1128" spans="1:32" x14ac:dyDescent="0.35">
      <c r="A1128" s="1">
        <v>45441</v>
      </c>
      <c r="B1128" s="6">
        <v>7284319</v>
      </c>
      <c r="C1128" s="6">
        <v>11037</v>
      </c>
      <c r="D1128" s="6">
        <v>5200</v>
      </c>
      <c r="E1128" s="6">
        <v>1478</v>
      </c>
      <c r="F1128" s="6">
        <v>7205480</v>
      </c>
      <c r="G1128" s="6">
        <v>6846434</v>
      </c>
      <c r="H1128" s="6">
        <v>4489444</v>
      </c>
      <c r="I1128" s="6">
        <v>195218</v>
      </c>
      <c r="J1128" s="6">
        <v>3827406</v>
      </c>
      <c r="K1128" s="6">
        <v>350161</v>
      </c>
      <c r="L1128" s="6">
        <v>116659</v>
      </c>
      <c r="M1128" s="6">
        <v>60920</v>
      </c>
      <c r="N1128" s="6">
        <v>230860</v>
      </c>
      <c r="O1128" s="6">
        <v>532808</v>
      </c>
      <c r="P1128" s="6">
        <v>1502308</v>
      </c>
      <c r="Q1128" s="6">
        <v>648895</v>
      </c>
      <c r="R1128" s="6">
        <v>1513653</v>
      </c>
      <c r="S1128" s="6">
        <v>2347</v>
      </c>
      <c r="T1128" s="6">
        <v>2354642</v>
      </c>
      <c r="U1128" s="6">
        <v>266456</v>
      </c>
      <c r="V1128" s="6">
        <v>-25191</v>
      </c>
      <c r="W1128" s="6">
        <v>5</v>
      </c>
      <c r="X1128" s="6">
        <v>117775</v>
      </c>
      <c r="Y1128" s="6">
        <v>11360</v>
      </c>
      <c r="Z1128" s="6">
        <v>0</v>
      </c>
      <c r="AA1128" s="6">
        <v>0</v>
      </c>
      <c r="AB1128" s="6">
        <v>53</v>
      </c>
      <c r="AC1128" s="6">
        <v>445</v>
      </c>
      <c r="AD1128" s="6">
        <v>112</v>
      </c>
      <c r="AE1128" s="6">
        <v>17833</v>
      </c>
      <c r="AF1128" s="6">
        <v>31323</v>
      </c>
    </row>
    <row r="1129" spans="1:32" x14ac:dyDescent="0.35">
      <c r="A1129" s="1">
        <v>45448</v>
      </c>
      <c r="B1129" s="6">
        <v>7255687</v>
      </c>
      <c r="C1129" s="6">
        <v>11037</v>
      </c>
      <c r="D1129" s="6">
        <v>5200</v>
      </c>
      <c r="E1129" s="6">
        <v>1476</v>
      </c>
      <c r="F1129" s="6">
        <v>7176061</v>
      </c>
      <c r="G1129" s="6">
        <v>6818225</v>
      </c>
      <c r="H1129" s="6">
        <v>4461236</v>
      </c>
      <c r="I1129" s="6">
        <v>195218</v>
      </c>
      <c r="J1129" s="6">
        <v>3797735</v>
      </c>
      <c r="K1129" s="6">
        <v>351111</v>
      </c>
      <c r="L1129" s="6">
        <v>117172</v>
      </c>
      <c r="M1129" s="6">
        <v>20735</v>
      </c>
      <c r="N1129" s="6">
        <v>253236</v>
      </c>
      <c r="O1129" s="6">
        <v>536685</v>
      </c>
      <c r="P1129" s="6">
        <v>1489600</v>
      </c>
      <c r="Q1129" s="6">
        <v>646234</v>
      </c>
      <c r="R1129" s="6">
        <v>1514746</v>
      </c>
      <c r="S1129" s="6">
        <v>2347</v>
      </c>
      <c r="T1129" s="6">
        <v>2354642</v>
      </c>
      <c r="U1129" s="6">
        <v>265994</v>
      </c>
      <c r="V1129" s="6">
        <v>-25233</v>
      </c>
      <c r="W1129" s="6">
        <v>106</v>
      </c>
      <c r="X1129" s="6">
        <v>116968</v>
      </c>
      <c r="Y1129" s="6">
        <v>11373</v>
      </c>
      <c r="Z1129" s="6">
        <v>0</v>
      </c>
      <c r="AA1129" s="6">
        <v>0</v>
      </c>
      <c r="AB1129" s="6">
        <v>47</v>
      </c>
      <c r="AC1129" s="6">
        <v>432</v>
      </c>
      <c r="AD1129" s="6">
        <v>129</v>
      </c>
      <c r="AE1129" s="6">
        <v>17953</v>
      </c>
      <c r="AF1129" s="6">
        <v>31980</v>
      </c>
    </row>
    <row r="1130" spans="1:32" x14ac:dyDescent="0.35">
      <c r="A1130" s="1">
        <v>45455</v>
      </c>
      <c r="B1130" s="6">
        <v>7258974</v>
      </c>
      <c r="C1130" s="6">
        <v>11037</v>
      </c>
      <c r="D1130" s="6">
        <v>5200</v>
      </c>
      <c r="E1130" s="6">
        <v>1473</v>
      </c>
      <c r="F1130" s="6">
        <v>7176257</v>
      </c>
      <c r="G1130" s="6">
        <v>6818650</v>
      </c>
      <c r="H1130" s="6">
        <v>4461661</v>
      </c>
      <c r="I1130" s="6">
        <v>195218</v>
      </c>
      <c r="J1130" s="6">
        <v>3797735</v>
      </c>
      <c r="K1130" s="6">
        <v>351111</v>
      </c>
      <c r="L1130" s="6">
        <v>117596</v>
      </c>
      <c r="M1130" s="6">
        <v>22030</v>
      </c>
      <c r="N1130" s="6">
        <v>252515</v>
      </c>
      <c r="O1130" s="6">
        <v>536167</v>
      </c>
      <c r="P1130" s="6">
        <v>1489783</v>
      </c>
      <c r="Q1130" s="6">
        <v>646300</v>
      </c>
      <c r="R1130" s="6">
        <v>1514867</v>
      </c>
      <c r="S1130" s="6">
        <v>2347</v>
      </c>
      <c r="T1130" s="6">
        <v>2354642</v>
      </c>
      <c r="U1130" s="6">
        <v>265565</v>
      </c>
      <c r="V1130" s="6">
        <v>-25042</v>
      </c>
      <c r="W1130" s="6">
        <v>5</v>
      </c>
      <c r="X1130" s="6">
        <v>117079</v>
      </c>
      <c r="Y1130" s="6">
        <v>11386</v>
      </c>
      <c r="Z1130" s="6">
        <v>0</v>
      </c>
      <c r="AA1130" s="6">
        <v>0</v>
      </c>
      <c r="AB1130" s="6">
        <v>43</v>
      </c>
      <c r="AC1130" s="6">
        <v>431</v>
      </c>
      <c r="AD1130" s="6">
        <v>114</v>
      </c>
      <c r="AE1130" s="6">
        <v>17947</v>
      </c>
      <c r="AF1130" s="6">
        <v>35086</v>
      </c>
    </row>
    <row r="1131" spans="1:32" x14ac:dyDescent="0.35">
      <c r="A1131" s="1">
        <v>45462</v>
      </c>
      <c r="B1131" s="6">
        <v>7252542</v>
      </c>
      <c r="C1131" s="6">
        <v>11037</v>
      </c>
      <c r="D1131" s="6">
        <v>5200</v>
      </c>
      <c r="E1131" s="6">
        <v>1449</v>
      </c>
      <c r="F1131" s="6">
        <v>7167169</v>
      </c>
      <c r="G1131" s="6">
        <v>6810058</v>
      </c>
      <c r="H1131" s="6">
        <v>4453071</v>
      </c>
      <c r="I1131" s="6">
        <v>195218</v>
      </c>
      <c r="J1131" s="6">
        <v>3788720</v>
      </c>
      <c r="K1131" s="6">
        <v>351111</v>
      </c>
      <c r="L1131" s="6">
        <v>118022</v>
      </c>
      <c r="M1131" s="6">
        <v>27742</v>
      </c>
      <c r="N1131" s="6">
        <v>237783</v>
      </c>
      <c r="O1131" s="6">
        <v>534963</v>
      </c>
      <c r="P1131" s="6">
        <v>1489256</v>
      </c>
      <c r="Q1131" s="6">
        <v>647626</v>
      </c>
      <c r="R1131" s="6">
        <v>1515701</v>
      </c>
      <c r="S1131" s="6">
        <v>2347</v>
      </c>
      <c r="T1131" s="6">
        <v>2354640</v>
      </c>
      <c r="U1131" s="6">
        <v>265119</v>
      </c>
      <c r="V1131" s="6">
        <v>-24930</v>
      </c>
      <c r="W1131" s="6">
        <v>1</v>
      </c>
      <c r="X1131" s="6">
        <v>116922</v>
      </c>
      <c r="Y1131" s="6">
        <v>11159</v>
      </c>
      <c r="Z1131" s="6">
        <v>0</v>
      </c>
      <c r="AA1131" s="6">
        <v>0</v>
      </c>
      <c r="AB1131" s="6">
        <v>52</v>
      </c>
      <c r="AC1131" s="6">
        <v>434</v>
      </c>
      <c r="AD1131" s="6">
        <v>120</v>
      </c>
      <c r="AE1131" s="6">
        <v>17765</v>
      </c>
      <c r="AF1131" s="6">
        <v>38156</v>
      </c>
    </row>
    <row r="1132" spans="1:32" x14ac:dyDescent="0.35">
      <c r="A1132" s="1">
        <v>45469</v>
      </c>
      <c r="B1132" s="6">
        <v>7231163</v>
      </c>
      <c r="C1132" s="6">
        <v>11037</v>
      </c>
      <c r="D1132" s="6">
        <v>5200</v>
      </c>
      <c r="E1132" s="6">
        <v>1447</v>
      </c>
      <c r="F1132" s="6">
        <v>7147910</v>
      </c>
      <c r="G1132" s="6">
        <v>6791915</v>
      </c>
      <c r="H1132" s="6">
        <v>4453571</v>
      </c>
      <c r="I1132" s="6">
        <v>195293</v>
      </c>
      <c r="J1132" s="6">
        <v>3788720</v>
      </c>
      <c r="K1132" s="6">
        <v>351111</v>
      </c>
      <c r="L1132" s="6">
        <v>118447</v>
      </c>
      <c r="M1132" s="6">
        <v>46454</v>
      </c>
      <c r="N1132" s="6">
        <v>219055</v>
      </c>
      <c r="O1132" s="6">
        <v>535109</v>
      </c>
      <c r="P1132" s="6">
        <v>1489439</v>
      </c>
      <c r="Q1132" s="6">
        <v>647692</v>
      </c>
      <c r="R1132" s="6">
        <v>1515822</v>
      </c>
      <c r="S1132" s="6">
        <v>2347</v>
      </c>
      <c r="T1132" s="6">
        <v>2335997</v>
      </c>
      <c r="U1132" s="6">
        <v>264205</v>
      </c>
      <c r="V1132" s="6">
        <v>-24692</v>
      </c>
      <c r="W1132" s="6">
        <v>1</v>
      </c>
      <c r="X1132" s="6">
        <v>116481</v>
      </c>
      <c r="Y1132" s="6">
        <v>11173</v>
      </c>
      <c r="Z1132" s="6">
        <v>0</v>
      </c>
      <c r="AA1132" s="6">
        <v>0</v>
      </c>
      <c r="AB1132" s="6">
        <v>45</v>
      </c>
      <c r="AC1132" s="6">
        <v>432</v>
      </c>
      <c r="AD1132" s="6">
        <v>124</v>
      </c>
      <c r="AE1132" s="6">
        <v>17603</v>
      </c>
      <c r="AF1132" s="6">
        <v>36192</v>
      </c>
    </row>
    <row r="1133" spans="1:32" x14ac:dyDescent="0.35">
      <c r="A1133" s="1">
        <v>45476</v>
      </c>
      <c r="B1133" s="6">
        <v>7221520</v>
      </c>
      <c r="C1133" s="6">
        <v>11037</v>
      </c>
      <c r="D1133" s="6">
        <v>10200</v>
      </c>
      <c r="E1133" s="6">
        <v>1424</v>
      </c>
      <c r="F1133" s="6">
        <v>7130965</v>
      </c>
      <c r="G1133" s="6">
        <v>6776238</v>
      </c>
      <c r="H1133" s="6">
        <v>4437894</v>
      </c>
      <c r="I1133" s="6">
        <v>195293</v>
      </c>
      <c r="J1133" s="6">
        <v>3772735</v>
      </c>
      <c r="K1133" s="6">
        <v>351086</v>
      </c>
      <c r="L1133" s="6">
        <v>118780</v>
      </c>
      <c r="M1133" s="6">
        <v>63469</v>
      </c>
      <c r="N1133" s="6">
        <v>202631</v>
      </c>
      <c r="O1133" s="6">
        <v>538099</v>
      </c>
      <c r="P1133" s="6">
        <v>1471141</v>
      </c>
      <c r="Q1133" s="6">
        <v>646217</v>
      </c>
      <c r="R1133" s="6">
        <v>1516338</v>
      </c>
      <c r="S1133" s="6">
        <v>2347</v>
      </c>
      <c r="T1133" s="6">
        <v>2335997</v>
      </c>
      <c r="U1133" s="6">
        <v>263669</v>
      </c>
      <c r="V1133" s="6">
        <v>-24501</v>
      </c>
      <c r="W1133" s="6">
        <v>4</v>
      </c>
      <c r="X1133" s="6">
        <v>115555</v>
      </c>
      <c r="Y1133" s="6">
        <v>11186</v>
      </c>
      <c r="Z1133" s="6">
        <v>0</v>
      </c>
      <c r="AA1133" s="6">
        <v>0</v>
      </c>
      <c r="AB1133" s="6">
        <v>56</v>
      </c>
      <c r="AC1133" s="6">
        <v>422</v>
      </c>
      <c r="AD1133" s="6">
        <v>211</v>
      </c>
      <c r="AE1133" s="6">
        <v>17713</v>
      </c>
      <c r="AF1133" s="6">
        <v>38306</v>
      </c>
    </row>
    <row r="1134" spans="1:32" x14ac:dyDescent="0.35">
      <c r="A1134" s="1">
        <v>45483</v>
      </c>
      <c r="B1134" s="6">
        <v>7224079</v>
      </c>
      <c r="C1134" s="6">
        <v>11037</v>
      </c>
      <c r="D1134" s="6">
        <v>10200</v>
      </c>
      <c r="E1134" s="6">
        <v>1419</v>
      </c>
      <c r="F1134" s="6">
        <v>7130900</v>
      </c>
      <c r="G1134" s="6">
        <v>6776438</v>
      </c>
      <c r="H1134" s="6">
        <v>4438095</v>
      </c>
      <c r="I1134" s="6">
        <v>195293</v>
      </c>
      <c r="J1134" s="6">
        <v>3772785</v>
      </c>
      <c r="K1134" s="6">
        <v>351086</v>
      </c>
      <c r="L1134" s="6">
        <v>118931</v>
      </c>
      <c r="M1134" s="6">
        <v>62997</v>
      </c>
      <c r="N1134" s="6">
        <v>206784</v>
      </c>
      <c r="O1134" s="6">
        <v>534437</v>
      </c>
      <c r="P1134" s="6">
        <v>1471206</v>
      </c>
      <c r="Q1134" s="6">
        <v>646240</v>
      </c>
      <c r="R1134" s="6">
        <v>1516431</v>
      </c>
      <c r="S1134" s="6">
        <v>2347</v>
      </c>
      <c r="T1134" s="6">
        <v>2335997</v>
      </c>
      <c r="U1134" s="6">
        <v>263287</v>
      </c>
      <c r="V1134" s="6">
        <v>-24484</v>
      </c>
      <c r="W1134" s="6">
        <v>1</v>
      </c>
      <c r="X1134" s="6">
        <v>115657</v>
      </c>
      <c r="Y1134" s="6">
        <v>11199</v>
      </c>
      <c r="Z1134" s="6">
        <v>0</v>
      </c>
      <c r="AA1134" s="6">
        <v>0</v>
      </c>
      <c r="AB1134" s="6">
        <v>53</v>
      </c>
      <c r="AC1134" s="6">
        <v>424</v>
      </c>
      <c r="AD1134" s="6">
        <v>122</v>
      </c>
      <c r="AE1134" s="6">
        <v>17735</v>
      </c>
      <c r="AF1134" s="6">
        <v>40991</v>
      </c>
    </row>
    <row r="1135" spans="1:32" x14ac:dyDescent="0.35">
      <c r="A1135" s="1">
        <v>45490</v>
      </c>
      <c r="B1135" s="6">
        <v>7208247</v>
      </c>
      <c r="C1135" s="6">
        <v>11037</v>
      </c>
      <c r="D1135" s="6">
        <v>10200</v>
      </c>
      <c r="E1135" s="6">
        <v>1427</v>
      </c>
      <c r="F1135" s="6">
        <v>7113061</v>
      </c>
      <c r="G1135" s="6">
        <v>6761831</v>
      </c>
      <c r="H1135" s="6">
        <v>4423552</v>
      </c>
      <c r="I1135" s="6">
        <v>195293</v>
      </c>
      <c r="J1135" s="6">
        <v>3768759</v>
      </c>
      <c r="K1135" s="6">
        <v>342996</v>
      </c>
      <c r="L1135" s="6">
        <v>116505</v>
      </c>
      <c r="M1135" s="6">
        <v>57058</v>
      </c>
      <c r="N1135" s="6">
        <v>184932</v>
      </c>
      <c r="O1135" s="6">
        <v>544310</v>
      </c>
      <c r="P1135" s="6">
        <v>1479567</v>
      </c>
      <c r="Q1135" s="6">
        <v>637630</v>
      </c>
      <c r="R1135" s="6">
        <v>1520056</v>
      </c>
      <c r="S1135" s="6">
        <v>2347</v>
      </c>
      <c r="T1135" s="6">
        <v>2335932</v>
      </c>
      <c r="U1135" s="6">
        <v>262938</v>
      </c>
      <c r="V1135" s="6">
        <v>-24496</v>
      </c>
      <c r="W1135" s="6">
        <v>100</v>
      </c>
      <c r="X1135" s="6">
        <v>112687</v>
      </c>
      <c r="Y1135" s="6">
        <v>10869</v>
      </c>
      <c r="Z1135" s="6">
        <v>0</v>
      </c>
      <c r="AA1135" s="6">
        <v>0</v>
      </c>
      <c r="AB1135" s="6">
        <v>78</v>
      </c>
      <c r="AC1135" s="6">
        <v>429</v>
      </c>
      <c r="AD1135" s="6">
        <v>163</v>
      </c>
      <c r="AE1135" s="6">
        <v>18053</v>
      </c>
      <c r="AF1135" s="6">
        <v>42931</v>
      </c>
    </row>
    <row r="1136" spans="1:32" x14ac:dyDescent="0.35">
      <c r="A1136" s="1">
        <v>45497</v>
      </c>
      <c r="B1136" s="6">
        <v>7205455</v>
      </c>
      <c r="C1136" s="6">
        <v>11037</v>
      </c>
      <c r="D1136" s="6">
        <v>10200</v>
      </c>
      <c r="E1136" s="6">
        <v>1428</v>
      </c>
      <c r="F1136" s="6">
        <v>7108147</v>
      </c>
      <c r="G1136" s="6">
        <v>6758287</v>
      </c>
      <c r="H1136" s="6">
        <v>4423725</v>
      </c>
      <c r="I1136" s="6">
        <v>195293</v>
      </c>
      <c r="J1136" s="6">
        <v>3768759</v>
      </c>
      <c r="K1136" s="6">
        <v>342996</v>
      </c>
      <c r="L1136" s="6">
        <v>116677</v>
      </c>
      <c r="M1136" s="6">
        <v>63939</v>
      </c>
      <c r="N1136" s="6">
        <v>178740</v>
      </c>
      <c r="O1136" s="6">
        <v>543643</v>
      </c>
      <c r="P1136" s="6">
        <v>1479645</v>
      </c>
      <c r="Q1136" s="6">
        <v>637651</v>
      </c>
      <c r="R1136" s="6">
        <v>1520107</v>
      </c>
      <c r="S1136" s="6">
        <v>2347</v>
      </c>
      <c r="T1136" s="6">
        <v>2332216</v>
      </c>
      <c r="U1136" s="6">
        <v>262340</v>
      </c>
      <c r="V1136" s="6">
        <v>-24424</v>
      </c>
      <c r="W1136" s="6">
        <v>0</v>
      </c>
      <c r="X1136" s="6">
        <v>111944</v>
      </c>
      <c r="Y1136" s="6">
        <v>10880</v>
      </c>
      <c r="Z1136" s="6">
        <v>0</v>
      </c>
      <c r="AA1136" s="6">
        <v>0</v>
      </c>
      <c r="AB1136" s="6">
        <v>60</v>
      </c>
      <c r="AC1136" s="6">
        <v>432</v>
      </c>
      <c r="AD1136" s="6">
        <v>159</v>
      </c>
      <c r="AE1136" s="6">
        <v>18093</v>
      </c>
      <c r="AF1136" s="6">
        <v>45019</v>
      </c>
    </row>
    <row r="1137" spans="1:32" x14ac:dyDescent="0.35">
      <c r="A1137" s="1">
        <v>45504</v>
      </c>
      <c r="B1137" s="6">
        <v>7178391</v>
      </c>
      <c r="C1137" s="6">
        <v>11037</v>
      </c>
      <c r="D1137" s="6">
        <v>10200</v>
      </c>
      <c r="E1137" s="6">
        <v>1434</v>
      </c>
      <c r="F1137" s="6">
        <v>7083132</v>
      </c>
      <c r="G1137" s="6">
        <v>6734152</v>
      </c>
      <c r="H1137" s="6">
        <v>4413615</v>
      </c>
      <c r="I1137" s="6">
        <v>195293</v>
      </c>
      <c r="J1137" s="6">
        <v>3757428</v>
      </c>
      <c r="K1137" s="6">
        <v>344044</v>
      </c>
      <c r="L1137" s="6">
        <v>116850</v>
      </c>
      <c r="M1137" s="6">
        <v>84041</v>
      </c>
      <c r="N1137" s="6">
        <v>135154</v>
      </c>
      <c r="O1137" s="6">
        <v>562900</v>
      </c>
      <c r="P1137" s="6">
        <v>1472796</v>
      </c>
      <c r="Q1137" s="6">
        <v>637850</v>
      </c>
      <c r="R1137" s="6">
        <v>1520874</v>
      </c>
      <c r="S1137" s="6">
        <v>2347</v>
      </c>
      <c r="T1137" s="6">
        <v>2318190</v>
      </c>
      <c r="U1137" s="6">
        <v>261590</v>
      </c>
      <c r="V1137" s="6">
        <v>-24370</v>
      </c>
      <c r="W1137" s="6">
        <v>5</v>
      </c>
      <c r="X1137" s="6">
        <v>111755</v>
      </c>
      <c r="Y1137" s="6">
        <v>10878</v>
      </c>
      <c r="Z1137" s="6">
        <v>0</v>
      </c>
      <c r="AA1137" s="6">
        <v>0</v>
      </c>
      <c r="AB1137" s="6">
        <v>55</v>
      </c>
      <c r="AC1137" s="6">
        <v>438</v>
      </c>
      <c r="AD1137" s="6">
        <v>155</v>
      </c>
      <c r="AE1137" s="6">
        <v>18210</v>
      </c>
      <c r="AF1137" s="6">
        <v>42850</v>
      </c>
    </row>
    <row r="1138" spans="1:32" x14ac:dyDescent="0.35">
      <c r="A1138" s="1">
        <v>45511</v>
      </c>
      <c r="B1138" s="6">
        <v>7175256</v>
      </c>
      <c r="C1138" s="6">
        <v>11037</v>
      </c>
      <c r="D1138" s="6">
        <v>10200</v>
      </c>
      <c r="E1138" s="6">
        <v>1447</v>
      </c>
      <c r="F1138" s="6">
        <v>7076692</v>
      </c>
      <c r="G1138" s="6">
        <v>6734187</v>
      </c>
      <c r="H1138" s="6">
        <v>4413650</v>
      </c>
      <c r="I1138" s="6">
        <v>195293</v>
      </c>
      <c r="J1138" s="6">
        <v>3757428</v>
      </c>
      <c r="K1138" s="6">
        <v>344044</v>
      </c>
      <c r="L1138" s="6">
        <v>116885</v>
      </c>
      <c r="M1138" s="6">
        <v>79828</v>
      </c>
      <c r="N1138" s="6">
        <v>166965</v>
      </c>
      <c r="O1138" s="6">
        <v>535307</v>
      </c>
      <c r="P1138" s="6">
        <v>1472812</v>
      </c>
      <c r="Q1138" s="6">
        <v>637854</v>
      </c>
      <c r="R1138" s="6">
        <v>1520884</v>
      </c>
      <c r="S1138" s="6">
        <v>2347</v>
      </c>
      <c r="T1138" s="6">
        <v>2318190</v>
      </c>
      <c r="U1138" s="6">
        <v>261148</v>
      </c>
      <c r="V1138" s="6">
        <v>-24425</v>
      </c>
      <c r="W1138" s="6">
        <v>10</v>
      </c>
      <c r="X1138" s="6">
        <v>105772</v>
      </c>
      <c r="Y1138" s="6">
        <v>10891</v>
      </c>
      <c r="Z1138" s="6">
        <v>0</v>
      </c>
      <c r="AA1138" s="6">
        <v>0</v>
      </c>
      <c r="AB1138" s="6">
        <v>50</v>
      </c>
      <c r="AC1138" s="6">
        <v>431</v>
      </c>
      <c r="AD1138" s="6">
        <v>149</v>
      </c>
      <c r="AE1138" s="6">
        <v>18434</v>
      </c>
      <c r="AF1138" s="6">
        <v>45926</v>
      </c>
    </row>
    <row r="1139" spans="1:32" x14ac:dyDescent="0.35">
      <c r="A1139" s="1">
        <v>45518</v>
      </c>
      <c r="B1139" s="6">
        <v>7177688</v>
      </c>
      <c r="C1139" s="6">
        <v>11037</v>
      </c>
      <c r="D1139" s="6">
        <v>10200</v>
      </c>
      <c r="E1139" s="6">
        <v>1462</v>
      </c>
      <c r="F1139" s="6">
        <v>7075788</v>
      </c>
      <c r="G1139" s="6">
        <v>6734156</v>
      </c>
      <c r="H1139" s="6">
        <v>4413685</v>
      </c>
      <c r="I1139" s="6">
        <v>195293</v>
      </c>
      <c r="J1139" s="6">
        <v>3757428</v>
      </c>
      <c r="K1139" s="6">
        <v>344044</v>
      </c>
      <c r="L1139" s="6">
        <v>116920</v>
      </c>
      <c r="M1139" s="6">
        <v>74521</v>
      </c>
      <c r="N1139" s="6">
        <v>168923</v>
      </c>
      <c r="O1139" s="6">
        <v>538661</v>
      </c>
      <c r="P1139" s="6">
        <v>1527128</v>
      </c>
      <c r="Q1139" s="6">
        <v>583558</v>
      </c>
      <c r="R1139" s="6">
        <v>1520894</v>
      </c>
      <c r="S1139" s="6">
        <v>2347</v>
      </c>
      <c r="T1139" s="6">
        <v>2318124</v>
      </c>
      <c r="U1139" s="6">
        <v>260671</v>
      </c>
      <c r="V1139" s="6">
        <v>-24570</v>
      </c>
      <c r="W1139" s="6">
        <v>0</v>
      </c>
      <c r="X1139" s="6">
        <v>105531</v>
      </c>
      <c r="Y1139" s="6">
        <v>10905</v>
      </c>
      <c r="Z1139" s="6">
        <v>0</v>
      </c>
      <c r="AA1139" s="6">
        <v>0</v>
      </c>
      <c r="AB1139" s="6">
        <v>41</v>
      </c>
      <c r="AC1139" s="6">
        <v>424</v>
      </c>
      <c r="AD1139" s="6">
        <v>151</v>
      </c>
      <c r="AE1139" s="6">
        <v>18573</v>
      </c>
      <c r="AF1139" s="6">
        <v>49107</v>
      </c>
    </row>
    <row r="1140" spans="1:32" x14ac:dyDescent="0.35">
      <c r="A1140" s="1">
        <v>45525</v>
      </c>
      <c r="B1140" s="6">
        <v>7139952</v>
      </c>
      <c r="C1140" s="6">
        <v>11037</v>
      </c>
      <c r="D1140" s="6">
        <v>10200</v>
      </c>
      <c r="E1140" s="6">
        <v>1481</v>
      </c>
      <c r="F1140" s="6">
        <v>7054723</v>
      </c>
      <c r="G1140" s="6">
        <v>6715162</v>
      </c>
      <c r="H1140" s="6">
        <v>4398736</v>
      </c>
      <c r="I1140" s="6">
        <v>195293</v>
      </c>
      <c r="J1140" s="6">
        <v>3742444</v>
      </c>
      <c r="K1140" s="6">
        <v>344044</v>
      </c>
      <c r="L1140" s="6">
        <v>116956</v>
      </c>
      <c r="M1140" s="6">
        <v>50292</v>
      </c>
      <c r="N1140" s="6">
        <v>202574</v>
      </c>
      <c r="O1140" s="6">
        <v>536076</v>
      </c>
      <c r="P1140" s="6">
        <v>1492585</v>
      </c>
      <c r="Q1140" s="6">
        <v>591550</v>
      </c>
      <c r="R1140" s="6">
        <v>1525659</v>
      </c>
      <c r="S1140" s="6">
        <v>2347</v>
      </c>
      <c r="T1140" s="6">
        <v>2314079</v>
      </c>
      <c r="U1140" s="6">
        <v>260059</v>
      </c>
      <c r="V1140" s="6">
        <v>-24712</v>
      </c>
      <c r="W1140" s="6">
        <v>1</v>
      </c>
      <c r="X1140" s="6">
        <v>104212</v>
      </c>
      <c r="Y1140" s="6">
        <v>10635</v>
      </c>
      <c r="Z1140" s="6">
        <v>0</v>
      </c>
      <c r="AA1140" s="6">
        <v>0</v>
      </c>
      <c r="AB1140" s="6">
        <v>44</v>
      </c>
      <c r="AC1140" s="6">
        <v>428</v>
      </c>
      <c r="AD1140" s="6">
        <v>151</v>
      </c>
      <c r="AE1140" s="6">
        <v>18785</v>
      </c>
      <c r="AF1140" s="6">
        <v>32468</v>
      </c>
    </row>
    <row r="1141" spans="1:32" x14ac:dyDescent="0.35">
      <c r="A1141" s="1">
        <v>45532</v>
      </c>
      <c r="B1141" s="6">
        <v>7123238</v>
      </c>
      <c r="C1141" s="6">
        <v>11037</v>
      </c>
      <c r="D1141" s="6">
        <v>10200</v>
      </c>
      <c r="E1141" s="6">
        <v>1496</v>
      </c>
      <c r="F1141" s="6">
        <v>7038651</v>
      </c>
      <c r="G1141" s="6">
        <v>6700866</v>
      </c>
      <c r="H1141" s="6">
        <v>4398721</v>
      </c>
      <c r="I1141" s="6">
        <v>195293</v>
      </c>
      <c r="J1141" s="6">
        <v>3742394</v>
      </c>
      <c r="K1141" s="6">
        <v>344044</v>
      </c>
      <c r="L1141" s="6">
        <v>116991</v>
      </c>
      <c r="M1141" s="6">
        <v>41339</v>
      </c>
      <c r="N1141" s="6">
        <v>211970</v>
      </c>
      <c r="O1141" s="6">
        <v>535637</v>
      </c>
      <c r="P1141" s="6">
        <v>1492601</v>
      </c>
      <c r="Q1141" s="6">
        <v>591554</v>
      </c>
      <c r="R1141" s="6">
        <v>1525619</v>
      </c>
      <c r="S1141" s="6">
        <v>2347</v>
      </c>
      <c r="T1141" s="6">
        <v>2299798</v>
      </c>
      <c r="U1141" s="6">
        <v>259282</v>
      </c>
      <c r="V1141" s="6">
        <v>-24669</v>
      </c>
      <c r="W1141" s="6">
        <v>0</v>
      </c>
      <c r="X1141" s="6">
        <v>103172</v>
      </c>
      <c r="Y1141" s="6">
        <v>10647</v>
      </c>
      <c r="Z1141" s="6">
        <v>0</v>
      </c>
      <c r="AA1141" s="6">
        <v>0</v>
      </c>
      <c r="AB1141" s="6">
        <v>46</v>
      </c>
      <c r="AC1141" s="6">
        <v>432</v>
      </c>
      <c r="AD1141" s="6">
        <v>145</v>
      </c>
      <c r="AE1141" s="6">
        <v>18806</v>
      </c>
      <c r="AF1141" s="6">
        <v>31778</v>
      </c>
    </row>
    <row r="1142" spans="1:32" x14ac:dyDescent="0.35">
      <c r="A1142" s="1">
        <v>45539</v>
      </c>
      <c r="B1142" s="6">
        <v>7112567</v>
      </c>
      <c r="C1142" s="6">
        <v>11037</v>
      </c>
      <c r="D1142" s="6">
        <v>10200</v>
      </c>
      <c r="E1142" s="6">
        <v>1496</v>
      </c>
      <c r="F1142" s="6">
        <v>7027557</v>
      </c>
      <c r="G1142" s="6">
        <v>6690962</v>
      </c>
      <c r="H1142" s="6">
        <v>4388817</v>
      </c>
      <c r="I1142" s="6">
        <v>195293</v>
      </c>
      <c r="J1142" s="6">
        <v>3732403</v>
      </c>
      <c r="K1142" s="6">
        <v>344044</v>
      </c>
      <c r="L1142" s="6">
        <v>117077</v>
      </c>
      <c r="M1142" s="6">
        <v>12163</v>
      </c>
      <c r="N1142" s="6">
        <v>240316</v>
      </c>
      <c r="O1142" s="6">
        <v>536489</v>
      </c>
      <c r="P1142" s="6">
        <v>1482687</v>
      </c>
      <c r="Q1142" s="6">
        <v>590245</v>
      </c>
      <c r="R1142" s="6">
        <v>1526917</v>
      </c>
      <c r="S1142" s="6">
        <v>2347</v>
      </c>
      <c r="T1142" s="6">
        <v>2299798</v>
      </c>
      <c r="U1142" s="6">
        <v>258808</v>
      </c>
      <c r="V1142" s="6">
        <v>-24660</v>
      </c>
      <c r="W1142" s="6">
        <v>0</v>
      </c>
      <c r="X1142" s="6">
        <v>102447</v>
      </c>
      <c r="Y1142" s="6">
        <v>10663</v>
      </c>
      <c r="Z1142" s="6">
        <v>0</v>
      </c>
      <c r="AA1142" s="6">
        <v>0</v>
      </c>
      <c r="AB1142" s="6">
        <v>58</v>
      </c>
      <c r="AC1142" s="6">
        <v>422</v>
      </c>
      <c r="AD1142" s="6">
        <v>137</v>
      </c>
      <c r="AE1142" s="6">
        <v>18771</v>
      </c>
      <c r="AF1142" s="6">
        <v>32226</v>
      </c>
    </row>
    <row r="1143" spans="1:32" x14ac:dyDescent="0.35">
      <c r="A1143" s="1">
        <v>45546</v>
      </c>
      <c r="B1143" s="6">
        <v>7115001</v>
      </c>
      <c r="C1143" s="6">
        <v>11037</v>
      </c>
      <c r="D1143" s="6">
        <v>10200</v>
      </c>
      <c r="E1143" s="6">
        <v>1504</v>
      </c>
      <c r="F1143" s="6">
        <v>7026847</v>
      </c>
      <c r="G1143" s="6">
        <v>6691162</v>
      </c>
      <c r="H1143" s="6">
        <v>4389017</v>
      </c>
      <c r="I1143" s="6">
        <v>195293</v>
      </c>
      <c r="J1143" s="6">
        <v>3732478</v>
      </c>
      <c r="K1143" s="6">
        <v>344044</v>
      </c>
      <c r="L1143" s="6">
        <v>117202</v>
      </c>
      <c r="M1143" s="6">
        <v>11920</v>
      </c>
      <c r="N1143" s="6">
        <v>240015</v>
      </c>
      <c r="O1143" s="6">
        <v>537050</v>
      </c>
      <c r="P1143" s="6">
        <v>1482818</v>
      </c>
      <c r="Q1143" s="6">
        <v>590261</v>
      </c>
      <c r="R1143" s="6">
        <v>1526953</v>
      </c>
      <c r="S1143" s="6">
        <v>2347</v>
      </c>
      <c r="T1143" s="6">
        <v>2299798</v>
      </c>
      <c r="U1143" s="6">
        <v>258370</v>
      </c>
      <c r="V1143" s="6">
        <v>-24491</v>
      </c>
      <c r="W1143" s="6">
        <v>9</v>
      </c>
      <c r="X1143" s="6">
        <v>101798</v>
      </c>
      <c r="Y1143" s="6">
        <v>10674</v>
      </c>
      <c r="Z1143" s="6">
        <v>0</v>
      </c>
      <c r="AA1143" s="6">
        <v>0</v>
      </c>
      <c r="AB1143" s="6">
        <v>44</v>
      </c>
      <c r="AC1143" s="6">
        <v>422</v>
      </c>
      <c r="AD1143" s="6">
        <v>137</v>
      </c>
      <c r="AE1143" s="6">
        <v>18818</v>
      </c>
      <c r="AF1143" s="6">
        <v>35317</v>
      </c>
    </row>
    <row r="1144" spans="1:32" x14ac:dyDescent="0.35">
      <c r="A1144" s="1">
        <v>45553</v>
      </c>
      <c r="B1144" s="6">
        <v>7109137</v>
      </c>
      <c r="C1144" s="6">
        <v>11037</v>
      </c>
      <c r="D1144" s="6">
        <v>10200</v>
      </c>
      <c r="E1144" s="6">
        <v>1516</v>
      </c>
      <c r="F1144" s="6">
        <v>7018378</v>
      </c>
      <c r="G1144" s="6">
        <v>6686082</v>
      </c>
      <c r="H1144" s="6">
        <v>4384005</v>
      </c>
      <c r="I1144" s="6">
        <v>195293</v>
      </c>
      <c r="J1144" s="6">
        <v>3727342</v>
      </c>
      <c r="K1144" s="6">
        <v>344044</v>
      </c>
      <c r="L1144" s="6">
        <v>117327</v>
      </c>
      <c r="M1144" s="6">
        <v>40573</v>
      </c>
      <c r="N1144" s="6">
        <v>213704</v>
      </c>
      <c r="O1144" s="6">
        <v>528450</v>
      </c>
      <c r="P1144" s="6">
        <v>1483428</v>
      </c>
      <c r="Q1144" s="6">
        <v>590649</v>
      </c>
      <c r="R1144" s="6">
        <v>1527200</v>
      </c>
      <c r="S1144" s="6">
        <v>2347</v>
      </c>
      <c r="T1144" s="6">
        <v>2299730</v>
      </c>
      <c r="U1144" s="6">
        <v>257898</v>
      </c>
      <c r="V1144" s="6">
        <v>-24287</v>
      </c>
      <c r="W1144" s="6">
        <v>0</v>
      </c>
      <c r="X1144" s="6">
        <v>98685</v>
      </c>
      <c r="Y1144" s="6">
        <v>10385</v>
      </c>
      <c r="Z1144" s="6">
        <v>0</v>
      </c>
      <c r="AA1144" s="6">
        <v>0</v>
      </c>
      <c r="AB1144" s="6">
        <v>47</v>
      </c>
      <c r="AC1144" s="6">
        <v>426</v>
      </c>
      <c r="AD1144" s="6">
        <v>157</v>
      </c>
      <c r="AE1144" s="6">
        <v>18931</v>
      </c>
      <c r="AF1144" s="6">
        <v>38060</v>
      </c>
    </row>
    <row r="1145" spans="1:32" x14ac:dyDescent="0.35">
      <c r="A1145" s="1">
        <v>45560</v>
      </c>
      <c r="B1145" s="6">
        <v>7080059</v>
      </c>
      <c r="C1145" s="6">
        <v>11037</v>
      </c>
      <c r="D1145" s="6">
        <v>10200</v>
      </c>
      <c r="E1145" s="6">
        <v>1521</v>
      </c>
      <c r="F1145" s="6">
        <v>6991308</v>
      </c>
      <c r="G1145" s="6">
        <v>6668555</v>
      </c>
      <c r="H1145" s="6">
        <v>4384130</v>
      </c>
      <c r="I1145" s="6">
        <v>195293</v>
      </c>
      <c r="J1145" s="6">
        <v>3727342</v>
      </c>
      <c r="K1145" s="6">
        <v>344044</v>
      </c>
      <c r="L1145" s="6">
        <v>117452</v>
      </c>
      <c r="M1145" s="6">
        <v>48479</v>
      </c>
      <c r="N1145" s="6">
        <v>205862</v>
      </c>
      <c r="O1145" s="6">
        <v>528403</v>
      </c>
      <c r="P1145" s="6">
        <v>1483485</v>
      </c>
      <c r="Q1145" s="6">
        <v>590665</v>
      </c>
      <c r="R1145" s="6">
        <v>1527237</v>
      </c>
      <c r="S1145" s="6">
        <v>2347</v>
      </c>
      <c r="T1145" s="6">
        <v>2282078</v>
      </c>
      <c r="U1145" s="6">
        <v>257018</v>
      </c>
      <c r="V1145" s="6">
        <v>-24054</v>
      </c>
      <c r="W1145" s="6">
        <v>61</v>
      </c>
      <c r="X1145" s="6">
        <v>89727</v>
      </c>
      <c r="Y1145" s="6">
        <v>10396</v>
      </c>
      <c r="Z1145" s="6">
        <v>0</v>
      </c>
      <c r="AA1145" s="6">
        <v>0</v>
      </c>
      <c r="AB1145" s="6">
        <v>44</v>
      </c>
      <c r="AC1145" s="6">
        <v>434</v>
      </c>
      <c r="AD1145" s="6">
        <v>153</v>
      </c>
      <c r="AE1145" s="6">
        <v>18853</v>
      </c>
      <c r="AF1145" s="6">
        <v>36114</v>
      </c>
    </row>
    <row r="1146" spans="1:32" x14ac:dyDescent="0.35">
      <c r="A1146" s="1">
        <v>45567</v>
      </c>
      <c r="B1146" s="6">
        <v>7046925</v>
      </c>
      <c r="C1146" s="6">
        <v>11037</v>
      </c>
      <c r="D1146" s="6">
        <v>10200</v>
      </c>
      <c r="E1146" s="6">
        <v>1514</v>
      </c>
      <c r="F1146" s="6">
        <v>6956978</v>
      </c>
      <c r="G1146" s="6">
        <v>6648807</v>
      </c>
      <c r="H1146" s="6">
        <v>4364382</v>
      </c>
      <c r="I1146" s="6">
        <v>195293</v>
      </c>
      <c r="J1146" s="6">
        <v>3707128</v>
      </c>
      <c r="K1146" s="6">
        <v>344395</v>
      </c>
      <c r="L1146" s="6">
        <v>117566</v>
      </c>
      <c r="M1146" s="6">
        <v>40177</v>
      </c>
      <c r="N1146" s="6">
        <v>211961</v>
      </c>
      <c r="O1146" s="6">
        <v>523232</v>
      </c>
      <c r="P1146" s="6">
        <v>1469539</v>
      </c>
      <c r="Q1146" s="6">
        <v>591934</v>
      </c>
      <c r="R1146" s="6">
        <v>1527538</v>
      </c>
      <c r="S1146" s="6">
        <v>2347</v>
      </c>
      <c r="T1146" s="6">
        <v>2282078</v>
      </c>
      <c r="U1146" s="6">
        <v>256558</v>
      </c>
      <c r="V1146" s="6">
        <v>-23863</v>
      </c>
      <c r="W1146" s="6">
        <v>2</v>
      </c>
      <c r="X1146" s="6">
        <v>75475</v>
      </c>
      <c r="Y1146" s="6">
        <v>10407</v>
      </c>
      <c r="Z1146" s="6">
        <v>0</v>
      </c>
      <c r="AA1146" s="6">
        <v>0</v>
      </c>
      <c r="AB1146" s="6">
        <v>50</v>
      </c>
      <c r="AC1146" s="6">
        <v>413</v>
      </c>
      <c r="AD1146" s="6">
        <v>157</v>
      </c>
      <c r="AE1146" s="6">
        <v>18806</v>
      </c>
      <c r="AF1146" s="6">
        <v>37363</v>
      </c>
    </row>
    <row r="1147" spans="1:32" x14ac:dyDescent="0.35">
      <c r="A1147" s="1">
        <v>45574</v>
      </c>
      <c r="B1147" s="6">
        <v>7046840</v>
      </c>
      <c r="C1147" s="6">
        <v>11037</v>
      </c>
      <c r="D1147" s="6">
        <v>10200</v>
      </c>
      <c r="E1147" s="6">
        <v>1519</v>
      </c>
      <c r="F1147" s="6">
        <v>6954033</v>
      </c>
      <c r="G1147" s="6">
        <v>6648891</v>
      </c>
      <c r="H1147" s="6">
        <v>4364466</v>
      </c>
      <c r="I1147" s="6">
        <v>195293</v>
      </c>
      <c r="J1147" s="6">
        <v>3707128</v>
      </c>
      <c r="K1147" s="6">
        <v>344395</v>
      </c>
      <c r="L1147" s="6">
        <v>117651</v>
      </c>
      <c r="M1147" s="6">
        <v>36365</v>
      </c>
      <c r="N1147" s="6">
        <v>212598</v>
      </c>
      <c r="O1147" s="6">
        <v>526419</v>
      </c>
      <c r="P1147" s="6">
        <v>1469577</v>
      </c>
      <c r="Q1147" s="6">
        <v>591944</v>
      </c>
      <c r="R1147" s="6">
        <v>1527563</v>
      </c>
      <c r="S1147" s="6">
        <v>2347</v>
      </c>
      <c r="T1147" s="6">
        <v>2282078</v>
      </c>
      <c r="U1147" s="6">
        <v>256120</v>
      </c>
      <c r="V1147" s="6">
        <v>-23910</v>
      </c>
      <c r="W1147" s="6">
        <v>1</v>
      </c>
      <c r="X1147" s="6">
        <v>72931</v>
      </c>
      <c r="Y1147" s="6">
        <v>10419</v>
      </c>
      <c r="Z1147" s="6">
        <v>0</v>
      </c>
      <c r="AA1147" s="6">
        <v>0</v>
      </c>
      <c r="AB1147" s="6">
        <v>314</v>
      </c>
      <c r="AC1147" s="6">
        <v>419</v>
      </c>
      <c r="AD1147" s="6">
        <v>155</v>
      </c>
      <c r="AE1147" s="6">
        <v>18397</v>
      </c>
      <c r="AF1147" s="6">
        <v>40347</v>
      </c>
    </row>
    <row r="1148" spans="1:32" x14ac:dyDescent="0.35">
      <c r="A1148" s="1">
        <v>45581</v>
      </c>
      <c r="B1148" s="6">
        <v>7039284</v>
      </c>
      <c r="C1148" s="6">
        <v>11037</v>
      </c>
      <c r="D1148" s="6">
        <v>10200</v>
      </c>
      <c r="E1148" s="6">
        <v>1504</v>
      </c>
      <c r="F1148" s="6">
        <v>6944792</v>
      </c>
      <c r="G1148" s="6">
        <v>6642007</v>
      </c>
      <c r="H1148" s="6">
        <v>4357572</v>
      </c>
      <c r="I1148" s="6">
        <v>195293</v>
      </c>
      <c r="J1148" s="6">
        <v>3704397</v>
      </c>
      <c r="K1148" s="6">
        <v>340931</v>
      </c>
      <c r="L1148" s="6">
        <v>116951</v>
      </c>
      <c r="M1148" s="6">
        <v>61915</v>
      </c>
      <c r="N1148" s="6">
        <v>178430</v>
      </c>
      <c r="O1148" s="6">
        <v>529229</v>
      </c>
      <c r="P1148" s="6">
        <v>1467618</v>
      </c>
      <c r="Q1148" s="6">
        <v>592491</v>
      </c>
      <c r="R1148" s="6">
        <v>1527890</v>
      </c>
      <c r="S1148" s="6">
        <v>2347</v>
      </c>
      <c r="T1148" s="6">
        <v>2282088</v>
      </c>
      <c r="U1148" s="6">
        <v>255652</v>
      </c>
      <c r="V1148" s="6">
        <v>-23844</v>
      </c>
      <c r="W1148" s="6">
        <v>1</v>
      </c>
      <c r="X1148" s="6">
        <v>70976</v>
      </c>
      <c r="Y1148" s="6">
        <v>10135</v>
      </c>
      <c r="Z1148" s="6">
        <v>0</v>
      </c>
      <c r="AA1148" s="6">
        <v>0</v>
      </c>
      <c r="AB1148" s="6">
        <v>313</v>
      </c>
      <c r="AC1148" s="6">
        <v>424</v>
      </c>
      <c r="AD1148" s="6">
        <v>159</v>
      </c>
      <c r="AE1148" s="6">
        <v>18295</v>
      </c>
      <c r="AF1148" s="6">
        <v>42424</v>
      </c>
    </row>
    <row r="1149" spans="1:32" x14ac:dyDescent="0.35">
      <c r="A1149" s="1">
        <v>45588</v>
      </c>
      <c r="B1149" s="6">
        <v>7029408</v>
      </c>
      <c r="C1149" s="6">
        <v>11037</v>
      </c>
      <c r="D1149" s="6">
        <v>10200</v>
      </c>
      <c r="E1149" s="6">
        <v>1503</v>
      </c>
      <c r="F1149" s="6">
        <v>6933589</v>
      </c>
      <c r="G1149" s="6">
        <v>6638619</v>
      </c>
      <c r="H1149" s="6">
        <v>4357656</v>
      </c>
      <c r="I1149" s="6">
        <v>195293</v>
      </c>
      <c r="J1149" s="6">
        <v>3704397</v>
      </c>
      <c r="K1149" s="6">
        <v>340931</v>
      </c>
      <c r="L1149" s="6">
        <v>117036</v>
      </c>
      <c r="M1149" s="6">
        <v>64724</v>
      </c>
      <c r="N1149" s="6">
        <v>217895</v>
      </c>
      <c r="O1149" s="6">
        <v>486965</v>
      </c>
      <c r="P1149" s="6">
        <v>1467656</v>
      </c>
      <c r="Q1149" s="6">
        <v>592501</v>
      </c>
      <c r="R1149" s="6">
        <v>1527915</v>
      </c>
      <c r="S1149" s="6">
        <v>2347</v>
      </c>
      <c r="T1149" s="6">
        <v>2278616</v>
      </c>
      <c r="U1149" s="6">
        <v>255068</v>
      </c>
      <c r="V1149" s="6">
        <v>-23767</v>
      </c>
      <c r="W1149" s="6">
        <v>0</v>
      </c>
      <c r="X1149" s="6">
        <v>63669</v>
      </c>
      <c r="Y1149" s="6">
        <v>10145</v>
      </c>
      <c r="Z1149" s="6">
        <v>0</v>
      </c>
      <c r="AA1149" s="6">
        <v>0</v>
      </c>
      <c r="AB1149" s="6">
        <v>46</v>
      </c>
      <c r="AC1149" s="6">
        <v>426</v>
      </c>
      <c r="AD1149" s="6">
        <v>163</v>
      </c>
      <c r="AE1149" s="6">
        <v>18069</v>
      </c>
      <c r="AF1149" s="6">
        <v>44230</v>
      </c>
    </row>
    <row r="1150" spans="1:32" x14ac:dyDescent="0.35">
      <c r="A1150" s="1">
        <v>45595</v>
      </c>
      <c r="B1150" s="6">
        <v>7013490</v>
      </c>
      <c r="C1150" s="6">
        <v>11037</v>
      </c>
      <c r="D1150" s="6">
        <v>10200</v>
      </c>
      <c r="E1150" s="6">
        <v>1495</v>
      </c>
      <c r="F1150" s="6">
        <v>6918299</v>
      </c>
      <c r="G1150" s="6">
        <v>6626135</v>
      </c>
      <c r="H1150" s="6">
        <v>4357825</v>
      </c>
      <c r="I1150" s="6">
        <v>195293</v>
      </c>
      <c r="J1150" s="6">
        <v>3704447</v>
      </c>
      <c r="K1150" s="6">
        <v>340956</v>
      </c>
      <c r="L1150" s="6">
        <v>117130</v>
      </c>
      <c r="M1150" s="6">
        <v>70055</v>
      </c>
      <c r="N1150" s="6">
        <v>215127</v>
      </c>
      <c r="O1150" s="6">
        <v>484413</v>
      </c>
      <c r="P1150" s="6">
        <v>1467694</v>
      </c>
      <c r="Q1150" s="6">
        <v>592512</v>
      </c>
      <c r="R1150" s="6">
        <v>1528024</v>
      </c>
      <c r="S1150" s="6">
        <v>2347</v>
      </c>
      <c r="T1150" s="6">
        <v>2265963</v>
      </c>
      <c r="U1150" s="6">
        <v>254329</v>
      </c>
      <c r="V1150" s="6">
        <v>-23681</v>
      </c>
      <c r="W1150" s="6">
        <v>31</v>
      </c>
      <c r="X1150" s="6">
        <v>61485</v>
      </c>
      <c r="Y1150" s="6">
        <v>10158</v>
      </c>
      <c r="Z1150" s="6">
        <v>0</v>
      </c>
      <c r="AA1150" s="6">
        <v>0</v>
      </c>
      <c r="AB1150" s="6">
        <v>70</v>
      </c>
      <c r="AC1150" s="6">
        <v>430</v>
      </c>
      <c r="AD1150" s="6">
        <v>157</v>
      </c>
      <c r="AE1150" s="6">
        <v>18155</v>
      </c>
      <c r="AF1150" s="6">
        <v>43488</v>
      </c>
    </row>
    <row r="1151" spans="1:32" x14ac:dyDescent="0.35">
      <c r="A1151" s="1">
        <v>45602</v>
      </c>
      <c r="B1151" s="6">
        <v>6994299</v>
      </c>
      <c r="C1151" s="6">
        <v>11037</v>
      </c>
      <c r="D1151" s="6">
        <v>10200</v>
      </c>
      <c r="E1151" s="6">
        <v>1480</v>
      </c>
      <c r="F1151" s="6">
        <v>6898061</v>
      </c>
      <c r="G1151" s="6">
        <v>6608273</v>
      </c>
      <c r="H1151" s="6">
        <v>4339963</v>
      </c>
      <c r="I1151" s="6">
        <v>195293</v>
      </c>
      <c r="J1151" s="6">
        <v>3686021</v>
      </c>
      <c r="K1151" s="6">
        <v>341360</v>
      </c>
      <c r="L1151" s="6">
        <v>117289</v>
      </c>
      <c r="M1151" s="6">
        <v>86296</v>
      </c>
      <c r="N1151" s="6">
        <v>193934</v>
      </c>
      <c r="O1151" s="6">
        <v>485953</v>
      </c>
      <c r="P1151" s="6">
        <v>1452216</v>
      </c>
      <c r="Q1151" s="6">
        <v>593275</v>
      </c>
      <c r="R1151" s="6">
        <v>1528291</v>
      </c>
      <c r="S1151" s="6">
        <v>2347</v>
      </c>
      <c r="T1151" s="6">
        <v>2265963</v>
      </c>
      <c r="U1151" s="6">
        <v>253870</v>
      </c>
      <c r="V1151" s="6">
        <v>-23941</v>
      </c>
      <c r="W1151" s="6">
        <v>101</v>
      </c>
      <c r="X1151" s="6">
        <v>59758</v>
      </c>
      <c r="Y1151" s="6">
        <v>10143</v>
      </c>
      <c r="Z1151" s="6">
        <v>0</v>
      </c>
      <c r="AA1151" s="6">
        <v>0</v>
      </c>
      <c r="AB1151" s="6">
        <v>70</v>
      </c>
      <c r="AC1151" s="6">
        <v>419</v>
      </c>
      <c r="AD1151" s="6">
        <v>151</v>
      </c>
      <c r="AE1151" s="6">
        <v>17964</v>
      </c>
      <c r="AF1151" s="6">
        <v>44774</v>
      </c>
    </row>
    <row r="1152" spans="1:32" x14ac:dyDescent="0.35">
      <c r="A1152" s="1">
        <v>45609</v>
      </c>
      <c r="B1152" s="6">
        <v>6967108</v>
      </c>
      <c r="C1152" s="6">
        <v>11037</v>
      </c>
      <c r="D1152" s="6">
        <v>10200</v>
      </c>
      <c r="E1152" s="6">
        <v>1467</v>
      </c>
      <c r="F1152" s="6">
        <v>6869215</v>
      </c>
      <c r="G1152" s="6">
        <v>6608370</v>
      </c>
      <c r="H1152" s="6">
        <v>4340060</v>
      </c>
      <c r="I1152" s="6">
        <v>195293</v>
      </c>
      <c r="J1152" s="6">
        <v>3685946</v>
      </c>
      <c r="K1152" s="6">
        <v>341360</v>
      </c>
      <c r="L1152" s="6">
        <v>117461</v>
      </c>
      <c r="M1152" s="6">
        <v>74216</v>
      </c>
      <c r="N1152" s="6">
        <v>205975</v>
      </c>
      <c r="O1152" s="6">
        <v>486014</v>
      </c>
      <c r="P1152" s="6">
        <v>1452218</v>
      </c>
      <c r="Q1152" s="6">
        <v>593297</v>
      </c>
      <c r="R1152" s="6">
        <v>1528341</v>
      </c>
      <c r="S1152" s="6">
        <v>2347</v>
      </c>
      <c r="T1152" s="6">
        <v>2265963</v>
      </c>
      <c r="U1152" s="6">
        <v>253442</v>
      </c>
      <c r="V1152" s="6">
        <v>-23924</v>
      </c>
      <c r="W1152" s="6">
        <v>6</v>
      </c>
      <c r="X1152" s="6">
        <v>31321</v>
      </c>
      <c r="Y1152" s="6">
        <v>10153</v>
      </c>
      <c r="Z1152" s="6">
        <v>0</v>
      </c>
      <c r="AA1152" s="6">
        <v>0</v>
      </c>
      <c r="AB1152" s="6">
        <v>77</v>
      </c>
      <c r="AC1152" s="6">
        <v>422</v>
      </c>
      <c r="AD1152" s="6">
        <v>128</v>
      </c>
      <c r="AE1152" s="6">
        <v>17754</v>
      </c>
      <c r="AF1152" s="6">
        <v>46655</v>
      </c>
    </row>
    <row r="1153" spans="1:32" x14ac:dyDescent="0.35">
      <c r="A1153" s="1">
        <v>45616</v>
      </c>
      <c r="B1153" s="6">
        <v>6923731</v>
      </c>
      <c r="C1153" s="6">
        <v>11037</v>
      </c>
      <c r="D1153" s="6">
        <v>10200</v>
      </c>
      <c r="E1153" s="6">
        <v>1450</v>
      </c>
      <c r="F1153" s="6">
        <v>6842540</v>
      </c>
      <c r="G1153" s="6">
        <v>6587564</v>
      </c>
      <c r="H1153" s="6">
        <v>4322938</v>
      </c>
      <c r="I1153" s="6">
        <v>195293</v>
      </c>
      <c r="J1153" s="6">
        <v>3668652</v>
      </c>
      <c r="K1153" s="6">
        <v>341360</v>
      </c>
      <c r="L1153" s="6">
        <v>117632</v>
      </c>
      <c r="M1153" s="6">
        <v>49439</v>
      </c>
      <c r="N1153" s="6">
        <v>232067</v>
      </c>
      <c r="O1153" s="6">
        <v>458822</v>
      </c>
      <c r="P1153" s="6">
        <v>1499158</v>
      </c>
      <c r="Q1153" s="6">
        <v>548983</v>
      </c>
      <c r="R1153" s="6">
        <v>1534468</v>
      </c>
      <c r="S1153" s="6">
        <v>2347</v>
      </c>
      <c r="T1153" s="6">
        <v>2262279</v>
      </c>
      <c r="U1153" s="6">
        <v>252815</v>
      </c>
      <c r="V1153" s="6">
        <v>-24085</v>
      </c>
      <c r="W1153" s="6">
        <v>11</v>
      </c>
      <c r="X1153" s="6">
        <v>26234</v>
      </c>
      <c r="Y1153" s="6">
        <v>9945</v>
      </c>
      <c r="Z1153" s="6">
        <v>0</v>
      </c>
      <c r="AA1153" s="6">
        <v>0</v>
      </c>
      <c r="AB1153" s="6">
        <v>84</v>
      </c>
      <c r="AC1153" s="6">
        <v>496</v>
      </c>
      <c r="AD1153" s="6">
        <v>132</v>
      </c>
      <c r="AE1153" s="6">
        <v>17704</v>
      </c>
      <c r="AF1153" s="6">
        <v>30143</v>
      </c>
    </row>
    <row r="1154" spans="1:32" x14ac:dyDescent="0.35">
      <c r="A1154" s="1">
        <v>45623</v>
      </c>
      <c r="B1154" s="6">
        <v>6905140</v>
      </c>
      <c r="C1154" s="6">
        <v>11037</v>
      </c>
      <c r="D1154" s="6">
        <v>10200</v>
      </c>
      <c r="E1154" s="6">
        <v>1454</v>
      </c>
      <c r="F1154" s="6">
        <v>6825525</v>
      </c>
      <c r="G1154" s="6">
        <v>6574462</v>
      </c>
      <c r="H1154" s="6">
        <v>4323134</v>
      </c>
      <c r="I1154" s="6">
        <v>195293</v>
      </c>
      <c r="J1154" s="6">
        <v>3668652</v>
      </c>
      <c r="K1154" s="6">
        <v>341360</v>
      </c>
      <c r="L1154" s="6">
        <v>117828</v>
      </c>
      <c r="M1154" s="6">
        <v>40733</v>
      </c>
      <c r="N1154" s="6">
        <v>244124</v>
      </c>
      <c r="O1154" s="6">
        <v>455496</v>
      </c>
      <c r="P1154" s="6">
        <v>1499246</v>
      </c>
      <c r="Q1154" s="6">
        <v>549009</v>
      </c>
      <c r="R1154" s="6">
        <v>1534525</v>
      </c>
      <c r="S1154" s="6">
        <v>2347</v>
      </c>
      <c r="T1154" s="6">
        <v>2248982</v>
      </c>
      <c r="U1154" s="6">
        <v>252020</v>
      </c>
      <c r="V1154" s="6">
        <v>-24016</v>
      </c>
      <c r="W1154" s="6">
        <v>0</v>
      </c>
      <c r="X1154" s="6">
        <v>23059</v>
      </c>
      <c r="Y1154" s="6">
        <v>8457</v>
      </c>
      <c r="Z1154" s="6">
        <v>0</v>
      </c>
      <c r="AA1154" s="6">
        <v>0</v>
      </c>
      <c r="AB1154" s="6">
        <v>80</v>
      </c>
      <c r="AC1154" s="6">
        <v>512</v>
      </c>
      <c r="AD1154" s="6">
        <v>128</v>
      </c>
      <c r="AE1154" s="6">
        <v>17968</v>
      </c>
      <c r="AF1154" s="6">
        <v>29779</v>
      </c>
    </row>
    <row r="1155" spans="1:32" x14ac:dyDescent="0.35">
      <c r="A1155" s="1">
        <v>45630</v>
      </c>
      <c r="B1155" s="6">
        <v>6895827</v>
      </c>
      <c r="C1155" s="6">
        <v>11037</v>
      </c>
      <c r="D1155" s="6">
        <v>10200</v>
      </c>
      <c r="E1155" s="6">
        <v>1453</v>
      </c>
      <c r="F1155" s="6">
        <v>6815921</v>
      </c>
      <c r="G1155" s="6">
        <v>6566874</v>
      </c>
      <c r="H1155" s="6">
        <v>4315545</v>
      </c>
      <c r="I1155" s="6">
        <v>195293</v>
      </c>
      <c r="J1155" s="6">
        <v>3660946</v>
      </c>
      <c r="K1155" s="6">
        <v>341360</v>
      </c>
      <c r="L1155" s="6">
        <v>117945</v>
      </c>
      <c r="M1155" s="6">
        <v>14153</v>
      </c>
      <c r="N1155" s="6">
        <v>280053</v>
      </c>
      <c r="O1155" s="6">
        <v>450372</v>
      </c>
      <c r="P1155" s="6">
        <v>1487098</v>
      </c>
      <c r="Q1155" s="6">
        <v>548221</v>
      </c>
      <c r="R1155" s="6">
        <v>1535648</v>
      </c>
      <c r="S1155" s="6">
        <v>2347</v>
      </c>
      <c r="T1155" s="6">
        <v>2248982</v>
      </c>
      <c r="U1155" s="6">
        <v>251628</v>
      </c>
      <c r="V1155" s="6">
        <v>-24190</v>
      </c>
      <c r="W1155" s="6">
        <v>7</v>
      </c>
      <c r="X1155" s="6">
        <v>21602</v>
      </c>
      <c r="Y1155" s="6">
        <v>8468</v>
      </c>
      <c r="Z1155" s="6">
        <v>0</v>
      </c>
      <c r="AA1155" s="6">
        <v>0</v>
      </c>
      <c r="AB1155" s="6">
        <v>69</v>
      </c>
      <c r="AC1155" s="6">
        <v>493</v>
      </c>
      <c r="AD1155" s="6">
        <v>101</v>
      </c>
      <c r="AE1155" s="6">
        <v>17931</v>
      </c>
      <c r="AF1155" s="6">
        <v>30154</v>
      </c>
    </row>
    <row r="1156" spans="1:32" x14ac:dyDescent="0.35">
      <c r="A1156" s="1">
        <v>45637</v>
      </c>
      <c r="B1156" s="6">
        <v>6897485</v>
      </c>
      <c r="C1156" s="6">
        <v>11037</v>
      </c>
      <c r="D1156" s="6">
        <v>10200</v>
      </c>
      <c r="E1156" s="6">
        <v>1468</v>
      </c>
      <c r="F1156" s="6">
        <v>6814432</v>
      </c>
      <c r="G1156" s="6">
        <v>6566993</v>
      </c>
      <c r="H1156" s="6">
        <v>4315665</v>
      </c>
      <c r="I1156" s="6">
        <v>195293</v>
      </c>
      <c r="J1156" s="6">
        <v>3660946</v>
      </c>
      <c r="K1156" s="6">
        <v>341360</v>
      </c>
      <c r="L1156" s="6">
        <v>118065</v>
      </c>
      <c r="M1156" s="6">
        <v>16383</v>
      </c>
      <c r="N1156" s="6">
        <v>277832</v>
      </c>
      <c r="O1156" s="6">
        <v>450379</v>
      </c>
      <c r="P1156" s="6">
        <v>1487151</v>
      </c>
      <c r="Q1156" s="6">
        <v>548237</v>
      </c>
      <c r="R1156" s="6">
        <v>1535683</v>
      </c>
      <c r="S1156" s="6">
        <v>2347</v>
      </c>
      <c r="T1156" s="6">
        <v>2248982</v>
      </c>
      <c r="U1156" s="6">
        <v>251198</v>
      </c>
      <c r="V1156" s="6">
        <v>-24014</v>
      </c>
      <c r="W1156" s="6">
        <v>7</v>
      </c>
      <c r="X1156" s="6">
        <v>20247</v>
      </c>
      <c r="Y1156" s="6">
        <v>8479</v>
      </c>
      <c r="Z1156" s="6">
        <v>0</v>
      </c>
      <c r="AA1156" s="6">
        <v>0</v>
      </c>
      <c r="AB1156" s="6">
        <v>64</v>
      </c>
      <c r="AC1156" s="6">
        <v>521</v>
      </c>
      <c r="AD1156" s="6">
        <v>97</v>
      </c>
      <c r="AE1156" s="6">
        <v>17827</v>
      </c>
      <c r="AF1156" s="6">
        <v>33361</v>
      </c>
    </row>
    <row r="1157" spans="1:32" x14ac:dyDescent="0.35">
      <c r="A1157" s="1">
        <v>45644</v>
      </c>
      <c r="B1157" s="6">
        <v>6889332</v>
      </c>
      <c r="C1157" s="6">
        <v>11037</v>
      </c>
      <c r="D1157" s="6">
        <v>10200</v>
      </c>
      <c r="E1157" s="6">
        <v>1485</v>
      </c>
      <c r="F1157" s="6">
        <v>6803883</v>
      </c>
      <c r="G1157" s="6">
        <v>6559858</v>
      </c>
      <c r="H1157" s="6">
        <v>4308724</v>
      </c>
      <c r="I1157" s="6">
        <v>195343</v>
      </c>
      <c r="J1157" s="6">
        <v>3653836</v>
      </c>
      <c r="K1157" s="6">
        <v>341360</v>
      </c>
      <c r="L1157" s="6">
        <v>118184</v>
      </c>
      <c r="M1157" s="6">
        <v>35222</v>
      </c>
      <c r="N1157" s="6">
        <v>258779</v>
      </c>
      <c r="O1157" s="6">
        <v>442695</v>
      </c>
      <c r="P1157" s="6">
        <v>1487620</v>
      </c>
      <c r="Q1157" s="6">
        <v>548531</v>
      </c>
      <c r="R1157" s="6">
        <v>1535876</v>
      </c>
      <c r="S1157" s="6">
        <v>2347</v>
      </c>
      <c r="T1157" s="6">
        <v>2248787</v>
      </c>
      <c r="U1157" s="6">
        <v>250735</v>
      </c>
      <c r="V1157" s="6">
        <v>-23851</v>
      </c>
      <c r="W1157" s="6">
        <v>2</v>
      </c>
      <c r="X1157" s="6">
        <v>17139</v>
      </c>
      <c r="Y1157" s="6">
        <v>8245</v>
      </c>
      <c r="Z1157" s="6">
        <v>0</v>
      </c>
      <c r="AA1157" s="6">
        <v>0</v>
      </c>
      <c r="AB1157" s="6">
        <v>68</v>
      </c>
      <c r="AC1157" s="6">
        <v>583</v>
      </c>
      <c r="AD1157" s="6">
        <v>84</v>
      </c>
      <c r="AE1157" s="6">
        <v>17721</v>
      </c>
      <c r="AF1157" s="6">
        <v>36026</v>
      </c>
    </row>
    <row r="1158" spans="1:32" x14ac:dyDescent="0.35">
      <c r="A1158" s="1">
        <v>45651</v>
      </c>
      <c r="B1158" s="6">
        <v>6885963</v>
      </c>
      <c r="C1158" s="6">
        <v>11037</v>
      </c>
      <c r="D1158" s="6">
        <v>15200</v>
      </c>
      <c r="E1158" s="6">
        <v>1486</v>
      </c>
      <c r="F1158" s="6">
        <v>6793105</v>
      </c>
      <c r="G1158" s="6">
        <v>6556719</v>
      </c>
      <c r="H1158" s="6">
        <v>4308893</v>
      </c>
      <c r="I1158" s="6">
        <v>195343</v>
      </c>
      <c r="J1158" s="6">
        <v>3653886</v>
      </c>
      <c r="K1158" s="6">
        <v>341360</v>
      </c>
      <c r="L1158" s="6">
        <v>118304</v>
      </c>
      <c r="M1158" s="6">
        <v>34657</v>
      </c>
      <c r="N1158" s="6">
        <v>259288</v>
      </c>
      <c r="O1158" s="6">
        <v>442817</v>
      </c>
      <c r="P1158" s="6">
        <v>1487674</v>
      </c>
      <c r="Q1158" s="6">
        <v>548547</v>
      </c>
      <c r="R1158" s="6">
        <v>1535911</v>
      </c>
      <c r="S1158" s="6">
        <v>2347</v>
      </c>
      <c r="T1158" s="6">
        <v>2245479</v>
      </c>
      <c r="U1158" s="6">
        <v>250156</v>
      </c>
      <c r="V1158" s="6">
        <v>-23637</v>
      </c>
      <c r="W1158" s="6">
        <v>1</v>
      </c>
      <c r="X1158" s="6">
        <v>9866</v>
      </c>
      <c r="Y1158" s="6">
        <v>8253</v>
      </c>
      <c r="Z1158" s="6">
        <v>0</v>
      </c>
      <c r="AA1158" s="6">
        <v>0</v>
      </c>
      <c r="AB1158" s="6">
        <v>67</v>
      </c>
      <c r="AC1158" s="6">
        <v>597</v>
      </c>
      <c r="AD1158" s="6">
        <v>1121</v>
      </c>
      <c r="AE1158" s="6">
        <v>17511</v>
      </c>
      <c r="AF1158" s="6">
        <v>37588</v>
      </c>
    </row>
    <row r="1159" spans="1:32" x14ac:dyDescent="0.35">
      <c r="A1159" s="1">
        <v>45658</v>
      </c>
      <c r="B1159" s="6">
        <v>6852491</v>
      </c>
      <c r="C1159" s="6">
        <v>11037</v>
      </c>
      <c r="D1159" s="6">
        <v>15200</v>
      </c>
      <c r="E1159" s="6">
        <v>1478</v>
      </c>
      <c r="F1159" s="6">
        <v>6762319</v>
      </c>
      <c r="G1159" s="6">
        <v>6526716</v>
      </c>
      <c r="H1159" s="6">
        <v>4291106</v>
      </c>
      <c r="I1159" s="6">
        <v>195343</v>
      </c>
      <c r="J1159" s="6">
        <v>3635780</v>
      </c>
      <c r="K1159" s="6">
        <v>341577</v>
      </c>
      <c r="L1159" s="6">
        <v>118407</v>
      </c>
      <c r="M1159" s="6">
        <v>61662</v>
      </c>
      <c r="N1159" s="6">
        <v>236055</v>
      </c>
      <c r="O1159" s="6">
        <v>442471</v>
      </c>
      <c r="P1159" s="6">
        <v>1465857</v>
      </c>
      <c r="Q1159" s="6">
        <v>548993</v>
      </c>
      <c r="R1159" s="6">
        <v>1536069</v>
      </c>
      <c r="S1159" s="6">
        <v>2347</v>
      </c>
      <c r="T1159" s="6">
        <v>2233262</v>
      </c>
      <c r="U1159" s="6">
        <v>249522</v>
      </c>
      <c r="V1159" s="6">
        <v>-23547</v>
      </c>
      <c r="W1159" s="6">
        <v>0</v>
      </c>
      <c r="X1159" s="6">
        <v>9629</v>
      </c>
      <c r="Y1159" s="6">
        <v>8260</v>
      </c>
      <c r="Z1159" s="6">
        <v>0</v>
      </c>
      <c r="AA1159" s="6">
        <v>0</v>
      </c>
      <c r="AB1159" s="6">
        <v>88</v>
      </c>
      <c r="AC1159" s="6">
        <v>587</v>
      </c>
      <c r="AD1159" s="6">
        <v>1120</v>
      </c>
      <c r="AE1159" s="6">
        <v>17481</v>
      </c>
      <c r="AF1159" s="6">
        <v>34921</v>
      </c>
    </row>
    <row r="1160" spans="1:32" x14ac:dyDescent="0.35">
      <c r="A1160" s="1">
        <v>45665</v>
      </c>
      <c r="B1160" s="6">
        <v>6853554</v>
      </c>
      <c r="C1160" s="6">
        <v>11037</v>
      </c>
      <c r="D1160" s="6">
        <v>15200</v>
      </c>
      <c r="E1160" s="6">
        <v>1492</v>
      </c>
      <c r="F1160" s="6">
        <v>6759945</v>
      </c>
      <c r="G1160" s="6">
        <v>6526676</v>
      </c>
      <c r="H1160" s="6">
        <v>4291067</v>
      </c>
      <c r="I1160" s="6">
        <v>195343</v>
      </c>
      <c r="J1160" s="6">
        <v>3635805</v>
      </c>
      <c r="K1160" s="6">
        <v>341577</v>
      </c>
      <c r="L1160" s="6">
        <v>118342</v>
      </c>
      <c r="M1160" s="6">
        <v>72540</v>
      </c>
      <c r="N1160" s="6">
        <v>225590</v>
      </c>
      <c r="O1160" s="6">
        <v>442049</v>
      </c>
      <c r="P1160" s="6">
        <v>1465828</v>
      </c>
      <c r="Q1160" s="6">
        <v>549009</v>
      </c>
      <c r="R1160" s="6">
        <v>1536050</v>
      </c>
      <c r="S1160" s="6">
        <v>2347</v>
      </c>
      <c r="T1160" s="6">
        <v>2233262</v>
      </c>
      <c r="U1160" s="6">
        <v>249012</v>
      </c>
      <c r="V1160" s="6">
        <v>-23456</v>
      </c>
      <c r="W1160" s="6">
        <v>0</v>
      </c>
      <c r="X1160" s="6">
        <v>7713</v>
      </c>
      <c r="Y1160" s="6">
        <v>8270</v>
      </c>
      <c r="Z1160" s="6">
        <v>0</v>
      </c>
      <c r="AA1160" s="6">
        <v>0</v>
      </c>
      <c r="AB1160" s="6">
        <v>62</v>
      </c>
      <c r="AC1160" s="6">
        <v>580</v>
      </c>
      <c r="AD1160" s="6">
        <v>1120</v>
      </c>
      <c r="AE1160" s="6">
        <v>17398</v>
      </c>
      <c r="AF1160" s="6">
        <v>38451</v>
      </c>
    </row>
    <row r="1161" spans="1:32" x14ac:dyDescent="0.35">
      <c r="A1161" s="1">
        <v>45672</v>
      </c>
      <c r="B1161" s="6">
        <v>6834070</v>
      </c>
      <c r="C1161" s="6">
        <v>11037</v>
      </c>
      <c r="D1161" s="6">
        <v>15200</v>
      </c>
      <c r="E1161" s="6">
        <v>1502</v>
      </c>
      <c r="F1161" s="6">
        <v>6740656</v>
      </c>
      <c r="G1161" s="6">
        <v>6510166</v>
      </c>
      <c r="H1161" s="6">
        <v>4274615</v>
      </c>
      <c r="I1161" s="6">
        <v>195343</v>
      </c>
      <c r="J1161" s="6">
        <v>3653635</v>
      </c>
      <c r="K1161" s="6">
        <v>318894</v>
      </c>
      <c r="L1161" s="6">
        <v>106743</v>
      </c>
      <c r="M1161" s="6">
        <v>36997</v>
      </c>
      <c r="N1161" s="6">
        <v>241106</v>
      </c>
      <c r="O1161" s="6">
        <v>453140</v>
      </c>
      <c r="P1161" s="6">
        <v>1456834</v>
      </c>
      <c r="Q1161" s="6">
        <v>545670</v>
      </c>
      <c r="R1161" s="6">
        <v>1540868</v>
      </c>
      <c r="S1161" s="6">
        <v>2347</v>
      </c>
      <c r="T1161" s="6">
        <v>2233205</v>
      </c>
      <c r="U1161" s="6">
        <v>248552</v>
      </c>
      <c r="V1161" s="6">
        <v>-24011</v>
      </c>
      <c r="W1161" s="6">
        <v>0</v>
      </c>
      <c r="X1161" s="6">
        <v>5948</v>
      </c>
      <c r="Y1161" s="6">
        <v>7649</v>
      </c>
      <c r="Z1161" s="6">
        <v>0</v>
      </c>
      <c r="AA1161" s="6">
        <v>0</v>
      </c>
      <c r="AB1161" s="6">
        <v>52</v>
      </c>
      <c r="AC1161" s="6">
        <v>587</v>
      </c>
      <c r="AD1161" s="6">
        <v>98</v>
      </c>
      <c r="AE1161" s="6">
        <v>17434</v>
      </c>
      <c r="AF1161" s="6">
        <v>39856</v>
      </c>
    </row>
    <row r="1162" spans="1:32" x14ac:dyDescent="0.35">
      <c r="A1162" s="1">
        <v>45679</v>
      </c>
      <c r="B1162" s="6">
        <v>6831760</v>
      </c>
      <c r="C1162" s="6">
        <v>11037</v>
      </c>
      <c r="D1162" s="6">
        <v>15200</v>
      </c>
      <c r="E1162" s="6">
        <v>1525</v>
      </c>
      <c r="F1162" s="6">
        <v>6736078</v>
      </c>
      <c r="G1162" s="6">
        <v>6506748</v>
      </c>
      <c r="H1162" s="6">
        <v>4274563</v>
      </c>
      <c r="I1162" s="6">
        <v>195343</v>
      </c>
      <c r="J1162" s="6">
        <v>3653635</v>
      </c>
      <c r="K1162" s="6">
        <v>318894</v>
      </c>
      <c r="L1162" s="6">
        <v>106691</v>
      </c>
      <c r="M1162" s="6">
        <v>62262</v>
      </c>
      <c r="N1162" s="6">
        <v>219145</v>
      </c>
      <c r="O1162" s="6">
        <v>449828</v>
      </c>
      <c r="P1162" s="6">
        <v>1456811</v>
      </c>
      <c r="Q1162" s="6">
        <v>545665</v>
      </c>
      <c r="R1162" s="6">
        <v>1540851</v>
      </c>
      <c r="S1162" s="6">
        <v>2347</v>
      </c>
      <c r="T1162" s="6">
        <v>2229838</v>
      </c>
      <c r="U1162" s="6">
        <v>247992</v>
      </c>
      <c r="V1162" s="6">
        <v>-23942</v>
      </c>
      <c r="W1162" s="6">
        <v>1</v>
      </c>
      <c r="X1162" s="6">
        <v>5279</v>
      </c>
      <c r="Y1162" s="6">
        <v>7641</v>
      </c>
      <c r="Z1162" s="6">
        <v>0</v>
      </c>
      <c r="AA1162" s="6">
        <v>0</v>
      </c>
      <c r="AB1162" s="6">
        <v>80</v>
      </c>
      <c r="AC1162" s="6">
        <v>591</v>
      </c>
      <c r="AD1162" s="6">
        <v>105</v>
      </c>
      <c r="AE1162" s="6">
        <v>17592</v>
      </c>
      <c r="AF1162" s="6">
        <v>41912</v>
      </c>
    </row>
    <row r="1163" spans="1:32" x14ac:dyDescent="0.35">
      <c r="A1163" s="1">
        <v>45686</v>
      </c>
      <c r="B1163" s="6">
        <v>6818186</v>
      </c>
      <c r="C1163" s="6">
        <v>11037</v>
      </c>
      <c r="D1163" s="6">
        <v>15200</v>
      </c>
      <c r="E1163" s="6">
        <v>1541</v>
      </c>
      <c r="F1163" s="6">
        <v>6723090</v>
      </c>
      <c r="G1163" s="6">
        <v>6494417</v>
      </c>
      <c r="H1163" s="6">
        <v>4274511</v>
      </c>
      <c r="I1163" s="6">
        <v>195343</v>
      </c>
      <c r="J1163" s="6">
        <v>3653635</v>
      </c>
      <c r="K1163" s="6">
        <v>318894</v>
      </c>
      <c r="L1163" s="6">
        <v>106639</v>
      </c>
      <c r="M1163" s="6">
        <v>64908</v>
      </c>
      <c r="N1163" s="6">
        <v>214028</v>
      </c>
      <c r="O1163" s="6">
        <v>452293</v>
      </c>
      <c r="P1163" s="6">
        <v>1456789</v>
      </c>
      <c r="Q1163" s="6">
        <v>545659</v>
      </c>
      <c r="R1163" s="6">
        <v>1540835</v>
      </c>
      <c r="S1163" s="6">
        <v>2347</v>
      </c>
      <c r="T1163" s="6">
        <v>2217559</v>
      </c>
      <c r="U1163" s="6">
        <v>247297</v>
      </c>
      <c r="V1163" s="6">
        <v>-23966</v>
      </c>
      <c r="W1163" s="6">
        <v>3</v>
      </c>
      <c r="X1163" s="6">
        <v>5339</v>
      </c>
      <c r="Y1163" s="6">
        <v>7648</v>
      </c>
      <c r="Z1163" s="6">
        <v>0</v>
      </c>
      <c r="AA1163" s="6">
        <v>0</v>
      </c>
      <c r="AB1163" s="6">
        <v>85</v>
      </c>
      <c r="AC1163" s="6">
        <v>593</v>
      </c>
      <c r="AD1163" s="6">
        <v>78</v>
      </c>
      <c r="AE1163" s="6">
        <v>17645</v>
      </c>
      <c r="AF1163" s="6">
        <v>41270</v>
      </c>
    </row>
    <row r="1164" spans="1:32" x14ac:dyDescent="0.35">
      <c r="A1164" s="1">
        <v>45693</v>
      </c>
      <c r="B1164" s="6">
        <v>6810935</v>
      </c>
      <c r="C1164" s="6">
        <v>11037</v>
      </c>
      <c r="D1164" s="6">
        <v>15200</v>
      </c>
      <c r="E1164" s="6">
        <v>1565</v>
      </c>
      <c r="F1164" s="6">
        <v>6713841</v>
      </c>
      <c r="G1164" s="6">
        <v>6485850</v>
      </c>
      <c r="H1164" s="6">
        <v>4265944</v>
      </c>
      <c r="I1164" s="6">
        <v>195343</v>
      </c>
      <c r="J1164" s="6">
        <v>3643946</v>
      </c>
      <c r="K1164" s="6">
        <v>320005</v>
      </c>
      <c r="L1164" s="6">
        <v>106650</v>
      </c>
      <c r="M1164" s="6">
        <v>90859</v>
      </c>
      <c r="N1164" s="6">
        <v>185553</v>
      </c>
      <c r="O1164" s="6">
        <v>448505</v>
      </c>
      <c r="P1164" s="6">
        <v>1450261</v>
      </c>
      <c r="Q1164" s="6">
        <v>549206</v>
      </c>
      <c r="R1164" s="6">
        <v>1541561</v>
      </c>
      <c r="S1164" s="6">
        <v>2347</v>
      </c>
      <c r="T1164" s="6">
        <v>2217559</v>
      </c>
      <c r="U1164" s="6">
        <v>246850</v>
      </c>
      <c r="V1164" s="6">
        <v>-24071</v>
      </c>
      <c r="W1164" s="6">
        <v>0</v>
      </c>
      <c r="X1164" s="6">
        <v>5212</v>
      </c>
      <c r="Y1164" s="6">
        <v>7394</v>
      </c>
      <c r="Z1164" s="6">
        <v>0</v>
      </c>
      <c r="AA1164" s="6">
        <v>0</v>
      </c>
      <c r="AB1164" s="6">
        <v>52</v>
      </c>
      <c r="AC1164" s="6">
        <v>589</v>
      </c>
      <c r="AD1164" s="6">
        <v>76</v>
      </c>
      <c r="AE1164" s="6">
        <v>17769</v>
      </c>
      <c r="AF1164" s="6">
        <v>43412</v>
      </c>
    </row>
    <row r="1165" spans="1:32" x14ac:dyDescent="0.35">
      <c r="A1165" s="1">
        <v>45700</v>
      </c>
      <c r="B1165" s="6">
        <v>6813513</v>
      </c>
      <c r="C1165" s="6">
        <v>11037</v>
      </c>
      <c r="D1165" s="6">
        <v>15200</v>
      </c>
      <c r="E1165" s="6">
        <v>1577</v>
      </c>
      <c r="F1165" s="6">
        <v>6713499</v>
      </c>
      <c r="G1165" s="6">
        <v>6485888</v>
      </c>
      <c r="H1165" s="6">
        <v>4265982</v>
      </c>
      <c r="I1165" s="6">
        <v>195343</v>
      </c>
      <c r="J1165" s="6">
        <v>3643946</v>
      </c>
      <c r="K1165" s="6">
        <v>320005</v>
      </c>
      <c r="L1165" s="6">
        <v>106689</v>
      </c>
      <c r="M1165" s="6">
        <v>89286</v>
      </c>
      <c r="N1165" s="6">
        <v>187267</v>
      </c>
      <c r="O1165" s="6">
        <v>448369</v>
      </c>
      <c r="P1165" s="6">
        <v>1450277</v>
      </c>
      <c r="Q1165" s="6">
        <v>549210</v>
      </c>
      <c r="R1165" s="6">
        <v>1541573</v>
      </c>
      <c r="S1165" s="6">
        <v>2347</v>
      </c>
      <c r="T1165" s="6">
        <v>2217559</v>
      </c>
      <c r="U1165" s="6">
        <v>246426</v>
      </c>
      <c r="V1165" s="6">
        <v>-24057</v>
      </c>
      <c r="W1165" s="6">
        <v>100</v>
      </c>
      <c r="X1165" s="6">
        <v>5142</v>
      </c>
      <c r="Y1165" s="6">
        <v>7402</v>
      </c>
      <c r="Z1165" s="6">
        <v>0</v>
      </c>
      <c r="AA1165" s="6">
        <v>0</v>
      </c>
      <c r="AB1165" s="6">
        <v>47</v>
      </c>
      <c r="AC1165" s="6">
        <v>594</v>
      </c>
      <c r="AD1165" s="6">
        <v>73</v>
      </c>
      <c r="AE1165" s="6">
        <v>17655</v>
      </c>
      <c r="AF1165" s="6">
        <v>46430</v>
      </c>
    </row>
    <row r="1166" spans="1:32" x14ac:dyDescent="0.35">
      <c r="A1166" s="1">
        <v>45707</v>
      </c>
      <c r="B1166" s="6">
        <v>6782332</v>
      </c>
      <c r="C1166" s="6">
        <v>11037</v>
      </c>
      <c r="D1166" s="6">
        <v>15200</v>
      </c>
      <c r="E1166" s="6">
        <v>1583</v>
      </c>
      <c r="F1166" s="6">
        <v>6698241</v>
      </c>
      <c r="G1166" s="6">
        <v>6471169</v>
      </c>
      <c r="H1166" s="6">
        <v>4251251</v>
      </c>
      <c r="I1166" s="6">
        <v>195343</v>
      </c>
      <c r="J1166" s="6">
        <v>3629177</v>
      </c>
      <c r="K1166" s="6">
        <v>320005</v>
      </c>
      <c r="L1166" s="6">
        <v>106726</v>
      </c>
      <c r="M1166" s="6">
        <v>62103</v>
      </c>
      <c r="N1166" s="6">
        <v>217322</v>
      </c>
      <c r="O1166" s="6">
        <v>431813</v>
      </c>
      <c r="P1166" s="6">
        <v>1460303</v>
      </c>
      <c r="Q1166" s="6">
        <v>531257</v>
      </c>
      <c r="R1166" s="6">
        <v>1548452</v>
      </c>
      <c r="S1166" s="6">
        <v>2347</v>
      </c>
      <c r="T1166" s="6">
        <v>2217572</v>
      </c>
      <c r="U1166" s="6">
        <v>245980</v>
      </c>
      <c r="V1166" s="6">
        <v>-24238</v>
      </c>
      <c r="W1166" s="6">
        <v>0</v>
      </c>
      <c r="X1166" s="6">
        <v>5330</v>
      </c>
      <c r="Y1166" s="6">
        <v>7324</v>
      </c>
      <c r="Z1166" s="6">
        <v>0</v>
      </c>
      <c r="AA1166" s="6">
        <v>0</v>
      </c>
      <c r="AB1166" s="6">
        <v>71</v>
      </c>
      <c r="AC1166" s="6">
        <v>597</v>
      </c>
      <c r="AD1166" s="6">
        <v>91</v>
      </c>
      <c r="AE1166" s="6">
        <v>17791</v>
      </c>
      <c r="AF1166" s="6">
        <v>30399</v>
      </c>
    </row>
    <row r="1167" spans="1:32" x14ac:dyDescent="0.35">
      <c r="A1167" s="1">
        <v>45714</v>
      </c>
      <c r="B1167" s="6">
        <v>6766101</v>
      </c>
      <c r="C1167" s="6">
        <v>11037</v>
      </c>
      <c r="D1167" s="6">
        <v>15200</v>
      </c>
      <c r="E1167" s="6">
        <v>1585</v>
      </c>
      <c r="F1167" s="6">
        <v>6683360</v>
      </c>
      <c r="G1167" s="6">
        <v>6456994</v>
      </c>
      <c r="H1167" s="6">
        <v>4251338</v>
      </c>
      <c r="I1167" s="6">
        <v>195343</v>
      </c>
      <c r="J1167" s="6">
        <v>3629227</v>
      </c>
      <c r="K1167" s="6">
        <v>320005</v>
      </c>
      <c r="L1167" s="6">
        <v>106764</v>
      </c>
      <c r="M1167" s="6">
        <v>49773</v>
      </c>
      <c r="N1167" s="6">
        <v>228750</v>
      </c>
      <c r="O1167" s="6">
        <v>432720</v>
      </c>
      <c r="P1167" s="6">
        <v>1460319</v>
      </c>
      <c r="Q1167" s="6">
        <v>531262</v>
      </c>
      <c r="R1167" s="6">
        <v>1548514</v>
      </c>
      <c r="S1167" s="6">
        <v>2347</v>
      </c>
      <c r="T1167" s="6">
        <v>2203309</v>
      </c>
      <c r="U1167" s="6">
        <v>245203</v>
      </c>
      <c r="V1167" s="6">
        <v>-24276</v>
      </c>
      <c r="W1167" s="6">
        <v>97</v>
      </c>
      <c r="X1167" s="6">
        <v>5341</v>
      </c>
      <c r="Y1167" s="6">
        <v>7331</v>
      </c>
      <c r="Z1167" s="6">
        <v>0</v>
      </c>
      <c r="AA1167" s="6">
        <v>0</v>
      </c>
      <c r="AB1167" s="6">
        <v>52</v>
      </c>
      <c r="AC1167" s="6">
        <v>593</v>
      </c>
      <c r="AD1167" s="6">
        <v>96</v>
      </c>
      <c r="AE1167" s="6">
        <v>18023</v>
      </c>
      <c r="AF1167" s="6">
        <v>28823</v>
      </c>
    </row>
    <row r="1168" spans="1:32" x14ac:dyDescent="0.35">
      <c r="A1168" s="1">
        <v>45721</v>
      </c>
      <c r="B1168" s="6">
        <v>6756764</v>
      </c>
      <c r="C1168" s="6">
        <v>11037</v>
      </c>
      <c r="D1168" s="6">
        <v>15200</v>
      </c>
      <c r="E1168" s="6">
        <v>1596</v>
      </c>
      <c r="F1168" s="6">
        <v>6672865</v>
      </c>
      <c r="G1168" s="6">
        <v>6447226</v>
      </c>
      <c r="H1168" s="6">
        <v>4241570</v>
      </c>
      <c r="I1168" s="6">
        <v>195343</v>
      </c>
      <c r="J1168" s="6">
        <v>3618089</v>
      </c>
      <c r="K1168" s="6">
        <v>320912</v>
      </c>
      <c r="L1168" s="6">
        <v>107227</v>
      </c>
      <c r="M1168" s="6">
        <v>14074</v>
      </c>
      <c r="N1168" s="6">
        <v>261313</v>
      </c>
      <c r="O1168" s="6">
        <v>425742</v>
      </c>
      <c r="P1168" s="6">
        <v>1461448</v>
      </c>
      <c r="Q1168" s="6">
        <v>527811</v>
      </c>
      <c r="R1168" s="6">
        <v>1551182</v>
      </c>
      <c r="S1168" s="6">
        <v>2347</v>
      </c>
      <c r="T1168" s="6">
        <v>2203309</v>
      </c>
      <c r="U1168" s="6">
        <v>244789</v>
      </c>
      <c r="V1168" s="6">
        <v>-24294</v>
      </c>
      <c r="W1168" s="6">
        <v>84</v>
      </c>
      <c r="X1168" s="6">
        <v>5059</v>
      </c>
      <c r="Y1168" s="6">
        <v>7339</v>
      </c>
      <c r="Z1168" s="6">
        <v>0</v>
      </c>
      <c r="AA1168" s="6">
        <v>0</v>
      </c>
      <c r="AB1168" s="6">
        <v>60</v>
      </c>
      <c r="AC1168" s="6">
        <v>584</v>
      </c>
      <c r="AD1168" s="6">
        <v>133</v>
      </c>
      <c r="AE1168" s="6">
        <v>18326</v>
      </c>
      <c r="AF1168" s="6">
        <v>29625</v>
      </c>
    </row>
    <row r="1169" spans="1:32" x14ac:dyDescent="0.35">
      <c r="A1169" s="1">
        <v>45728</v>
      </c>
      <c r="B1169" s="6">
        <v>6759571</v>
      </c>
      <c r="C1169" s="6">
        <v>11037</v>
      </c>
      <c r="D1169" s="6">
        <v>15200</v>
      </c>
      <c r="E1169" s="6">
        <v>1590</v>
      </c>
      <c r="F1169" s="6">
        <v>6672446</v>
      </c>
      <c r="G1169" s="6">
        <v>6447858</v>
      </c>
      <c r="H1169" s="6">
        <v>4242202</v>
      </c>
      <c r="I1169" s="6">
        <v>195343</v>
      </c>
      <c r="J1169" s="6">
        <v>3618089</v>
      </c>
      <c r="K1169" s="6">
        <v>320912</v>
      </c>
      <c r="L1169" s="6">
        <v>107859</v>
      </c>
      <c r="M1169" s="6">
        <v>14872</v>
      </c>
      <c r="N1169" s="6">
        <v>260757</v>
      </c>
      <c r="O1169" s="6">
        <v>425586</v>
      </c>
      <c r="P1169" s="6">
        <v>1461721</v>
      </c>
      <c r="Q1169" s="6">
        <v>527883</v>
      </c>
      <c r="R1169" s="6">
        <v>1551383</v>
      </c>
      <c r="S1169" s="6">
        <v>2347</v>
      </c>
      <c r="T1169" s="6">
        <v>2203309</v>
      </c>
      <c r="U1169" s="6">
        <v>244412</v>
      </c>
      <c r="V1169" s="6">
        <v>-24123</v>
      </c>
      <c r="W1169" s="6">
        <v>1</v>
      </c>
      <c r="X1169" s="6">
        <v>4298</v>
      </c>
      <c r="Y1169" s="6">
        <v>7346</v>
      </c>
      <c r="Z1169" s="6">
        <v>0</v>
      </c>
      <c r="AA1169" s="6">
        <v>0</v>
      </c>
      <c r="AB1169" s="6">
        <v>49</v>
      </c>
      <c r="AC1169" s="6">
        <v>586</v>
      </c>
      <c r="AD1169" s="6">
        <v>142</v>
      </c>
      <c r="AE1169" s="6">
        <v>18529</v>
      </c>
      <c r="AF1169" s="6">
        <v>32645</v>
      </c>
    </row>
    <row r="1170" spans="1:32" x14ac:dyDescent="0.35">
      <c r="A1170" s="1">
        <v>45735</v>
      </c>
      <c r="B1170" s="6">
        <v>6755982</v>
      </c>
      <c r="C1170" s="6">
        <v>11037</v>
      </c>
      <c r="D1170" s="6">
        <v>15200</v>
      </c>
      <c r="E1170" s="6">
        <v>1574</v>
      </c>
      <c r="F1170" s="6">
        <v>6666459</v>
      </c>
      <c r="G1170" s="6">
        <v>6442391</v>
      </c>
      <c r="H1170" s="6">
        <v>4236787</v>
      </c>
      <c r="I1170" s="6">
        <v>195343</v>
      </c>
      <c r="J1170" s="6">
        <v>3612041</v>
      </c>
      <c r="K1170" s="6">
        <v>320912</v>
      </c>
      <c r="L1170" s="6">
        <v>108491</v>
      </c>
      <c r="M1170" s="6">
        <v>43578</v>
      </c>
      <c r="N1170" s="6">
        <v>228023</v>
      </c>
      <c r="O1170" s="6">
        <v>421666</v>
      </c>
      <c r="P1170" s="6">
        <v>1462947</v>
      </c>
      <c r="Q1170" s="6">
        <v>528615</v>
      </c>
      <c r="R1170" s="6">
        <v>1551958</v>
      </c>
      <c r="S1170" s="6">
        <v>2347</v>
      </c>
      <c r="T1170" s="6">
        <v>2203257</v>
      </c>
      <c r="U1170" s="6">
        <v>244020</v>
      </c>
      <c r="V1170" s="6">
        <v>-23951</v>
      </c>
      <c r="W1170" s="6">
        <v>1</v>
      </c>
      <c r="X1170" s="6">
        <v>3998</v>
      </c>
      <c r="Y1170" s="6">
        <v>7276</v>
      </c>
      <c r="Z1170" s="6">
        <v>0</v>
      </c>
      <c r="AA1170" s="6">
        <v>0</v>
      </c>
      <c r="AB1170" s="6">
        <v>44</v>
      </c>
      <c r="AC1170" s="6">
        <v>595</v>
      </c>
      <c r="AD1170" s="6">
        <v>113</v>
      </c>
      <c r="AE1170" s="6">
        <v>18409</v>
      </c>
      <c r="AF1170" s="6">
        <v>35274</v>
      </c>
    </row>
    <row r="1171" spans="1:32" x14ac:dyDescent="0.35">
      <c r="A1171" s="1">
        <v>45742</v>
      </c>
      <c r="B1171" s="6">
        <v>6740253</v>
      </c>
      <c r="C1171" s="6">
        <v>11037</v>
      </c>
      <c r="D1171" s="6">
        <v>15200</v>
      </c>
      <c r="E1171" s="6">
        <v>1569</v>
      </c>
      <c r="F1171" s="6">
        <v>6652403</v>
      </c>
      <c r="G1171" s="6">
        <v>6428765</v>
      </c>
      <c r="H1171" s="6">
        <v>4237419</v>
      </c>
      <c r="I1171" s="6">
        <v>195343</v>
      </c>
      <c r="J1171" s="6">
        <v>3612041</v>
      </c>
      <c r="K1171" s="6">
        <v>320912</v>
      </c>
      <c r="L1171" s="6">
        <v>109123</v>
      </c>
      <c r="M1171" s="6">
        <v>54915</v>
      </c>
      <c r="N1171" s="6">
        <v>216641</v>
      </c>
      <c r="O1171" s="6">
        <v>421797</v>
      </c>
      <c r="P1171" s="6">
        <v>1463220</v>
      </c>
      <c r="Q1171" s="6">
        <v>528686</v>
      </c>
      <c r="R1171" s="6">
        <v>1552159</v>
      </c>
      <c r="S1171" s="6">
        <v>2347</v>
      </c>
      <c r="T1171" s="6">
        <v>2188999</v>
      </c>
      <c r="U1171" s="6">
        <v>243307</v>
      </c>
      <c r="V1171" s="6">
        <v>-23757</v>
      </c>
      <c r="W1171" s="6">
        <v>0</v>
      </c>
      <c r="X1171" s="6">
        <v>4089</v>
      </c>
      <c r="Y1171" s="6">
        <v>7285</v>
      </c>
      <c r="Z1171" s="6">
        <v>0</v>
      </c>
      <c r="AA1171" s="6">
        <v>0</v>
      </c>
      <c r="AB1171" s="6">
        <v>72</v>
      </c>
      <c r="AC1171" s="6">
        <v>596</v>
      </c>
      <c r="AD1171" s="6">
        <v>86</v>
      </c>
      <c r="AE1171" s="6">
        <v>18279</v>
      </c>
      <c r="AF1171" s="6">
        <v>33727</v>
      </c>
    </row>
    <row r="1172" spans="1:32" x14ac:dyDescent="0.35">
      <c r="A1172" s="1">
        <v>45749</v>
      </c>
      <c r="B1172" s="6">
        <v>6723452</v>
      </c>
      <c r="C1172" s="6">
        <v>11037</v>
      </c>
      <c r="D1172" s="6">
        <v>15200</v>
      </c>
      <c r="E1172" s="6">
        <v>1552</v>
      </c>
      <c r="F1172" s="6">
        <v>6633702</v>
      </c>
      <c r="G1172" s="6">
        <v>6410395</v>
      </c>
      <c r="H1172" s="6">
        <v>4219049</v>
      </c>
      <c r="I1172" s="6">
        <v>195343</v>
      </c>
      <c r="J1172" s="6">
        <v>3592557</v>
      </c>
      <c r="K1172" s="6">
        <v>321443</v>
      </c>
      <c r="L1172" s="6">
        <v>109706</v>
      </c>
      <c r="M1172" s="6">
        <v>62513</v>
      </c>
      <c r="N1172" s="6">
        <v>210743</v>
      </c>
      <c r="O1172" s="6">
        <v>417119</v>
      </c>
      <c r="P1172" s="6">
        <v>1445359</v>
      </c>
      <c r="Q1172" s="6">
        <v>530587</v>
      </c>
      <c r="R1172" s="6">
        <v>1552728</v>
      </c>
      <c r="S1172" s="6">
        <v>2347</v>
      </c>
      <c r="T1172" s="6">
        <v>2188999</v>
      </c>
      <c r="U1172" s="6">
        <v>242906</v>
      </c>
      <c r="V1172" s="6">
        <v>-23601</v>
      </c>
      <c r="W1172" s="6">
        <v>0</v>
      </c>
      <c r="X1172" s="6">
        <v>4001</v>
      </c>
      <c r="Y1172" s="6">
        <v>7294</v>
      </c>
      <c r="Z1172" s="6"/>
      <c r="AA1172" s="6"/>
      <c r="AB1172" s="6">
        <v>53</v>
      </c>
      <c r="AC1172" s="6">
        <v>583</v>
      </c>
      <c r="AD1172" s="6">
        <v>95</v>
      </c>
      <c r="AE1172" s="6">
        <v>18543</v>
      </c>
      <c r="AF1172" s="6">
        <v>35393</v>
      </c>
    </row>
    <row r="1173" spans="1:32" x14ac:dyDescent="0.35">
      <c r="A1173" s="1">
        <v>45756</v>
      </c>
      <c r="B1173" s="6">
        <v>6727416</v>
      </c>
      <c r="C1173" s="6">
        <v>11037</v>
      </c>
      <c r="D1173" s="6">
        <v>15200</v>
      </c>
      <c r="E1173" s="6">
        <v>1552</v>
      </c>
      <c r="F1173" s="6">
        <v>6634362</v>
      </c>
      <c r="G1173" s="6">
        <v>6410842</v>
      </c>
      <c r="H1173" s="6">
        <v>4219496</v>
      </c>
      <c r="I1173" s="6">
        <v>195343</v>
      </c>
      <c r="J1173" s="6">
        <v>3592557</v>
      </c>
      <c r="K1173" s="6">
        <v>321443</v>
      </c>
      <c r="L1173" s="6">
        <v>110153</v>
      </c>
      <c r="M1173" s="6">
        <v>58181</v>
      </c>
      <c r="N1173" s="6">
        <v>215022</v>
      </c>
      <c r="O1173" s="6">
        <v>417235</v>
      </c>
      <c r="P1173" s="6">
        <v>1445551</v>
      </c>
      <c r="Q1173" s="6">
        <v>530638</v>
      </c>
      <c r="R1173" s="6">
        <v>1552870</v>
      </c>
      <c r="S1173" s="6">
        <v>2347</v>
      </c>
      <c r="T1173" s="6">
        <v>2188999</v>
      </c>
      <c r="U1173" s="6">
        <v>242525</v>
      </c>
      <c r="V1173" s="6">
        <v>-23571</v>
      </c>
      <c r="W1173" s="6">
        <v>0</v>
      </c>
      <c r="X1173" s="6">
        <v>4566</v>
      </c>
      <c r="Y1173" s="6">
        <v>7301</v>
      </c>
      <c r="Z1173" s="6"/>
      <c r="AA1173" s="6"/>
      <c r="AB1173" s="6">
        <v>54</v>
      </c>
      <c r="AC1173" s="6">
        <v>586</v>
      </c>
      <c r="AD1173" s="6">
        <v>94</v>
      </c>
      <c r="AE1173" s="6">
        <v>18820</v>
      </c>
      <c r="AF1173" s="6">
        <v>38411</v>
      </c>
    </row>
    <row r="1174" spans="1:32" x14ac:dyDescent="0.35">
      <c r="A1174" s="1">
        <v>45763</v>
      </c>
      <c r="B1174" s="6">
        <v>6727113</v>
      </c>
      <c r="C1174" s="6">
        <v>11037</v>
      </c>
      <c r="D1174" s="6">
        <v>15200</v>
      </c>
      <c r="E1174" s="6">
        <v>1544</v>
      </c>
      <c r="F1174" s="6">
        <v>6631602</v>
      </c>
      <c r="G1174" s="6">
        <v>6408479</v>
      </c>
      <c r="H1174" s="6">
        <v>4217259</v>
      </c>
      <c r="I1174" s="6">
        <v>195343</v>
      </c>
      <c r="J1174" s="6">
        <v>3601447</v>
      </c>
      <c r="K1174" s="6">
        <v>312055</v>
      </c>
      <c r="L1174" s="6">
        <v>108414</v>
      </c>
      <c r="M1174" s="6">
        <v>58916</v>
      </c>
      <c r="N1174" s="6">
        <v>210658</v>
      </c>
      <c r="O1174" s="6">
        <v>419053</v>
      </c>
      <c r="P1174" s="6">
        <v>1434751</v>
      </c>
      <c r="Q1174" s="6">
        <v>537198</v>
      </c>
      <c r="R1174" s="6">
        <v>1556684</v>
      </c>
      <c r="S1174" s="6">
        <v>2347</v>
      </c>
      <c r="T1174" s="6">
        <v>2188873</v>
      </c>
      <c r="U1174" s="6">
        <v>242212</v>
      </c>
      <c r="V1174" s="6">
        <v>-23636</v>
      </c>
      <c r="W1174" s="6">
        <v>3</v>
      </c>
      <c r="X1174" s="6">
        <v>4544</v>
      </c>
      <c r="Y1174" s="6">
        <v>7063</v>
      </c>
      <c r="Z1174" s="6"/>
      <c r="AA1174" s="6"/>
      <c r="AB1174" s="6">
        <v>57</v>
      </c>
      <c r="AC1174" s="6">
        <v>573</v>
      </c>
      <c r="AD1174" s="6">
        <v>103</v>
      </c>
      <c r="AE1174" s="6">
        <v>19324</v>
      </c>
      <c r="AF1174" s="6">
        <v>40611</v>
      </c>
    </row>
    <row r="1175" spans="1:32" x14ac:dyDescent="0.35">
      <c r="A1175" s="1">
        <v>45770</v>
      </c>
      <c r="B1175" s="6">
        <v>6726930</v>
      </c>
      <c r="C1175" s="6">
        <v>11037</v>
      </c>
      <c r="D1175" s="6">
        <v>15200</v>
      </c>
      <c r="E1175" s="6">
        <v>1525</v>
      </c>
      <c r="F1175" s="6">
        <v>6629422</v>
      </c>
      <c r="G1175" s="6">
        <v>6405447</v>
      </c>
      <c r="H1175" s="6">
        <v>4217694</v>
      </c>
      <c r="I1175" s="6">
        <v>195343</v>
      </c>
      <c r="J1175" s="6">
        <v>3601447</v>
      </c>
      <c r="K1175" s="6">
        <v>312055</v>
      </c>
      <c r="L1175" s="6">
        <v>108849</v>
      </c>
      <c r="M1175" s="6">
        <v>59090</v>
      </c>
      <c r="N1175" s="6">
        <v>208978</v>
      </c>
      <c r="O1175" s="6">
        <v>420627</v>
      </c>
      <c r="P1175" s="6">
        <v>1434924</v>
      </c>
      <c r="Q1175" s="6">
        <v>537249</v>
      </c>
      <c r="R1175" s="6">
        <v>1556827</v>
      </c>
      <c r="S1175" s="6">
        <v>2347</v>
      </c>
      <c r="T1175" s="6">
        <v>2185406</v>
      </c>
      <c r="U1175" s="6">
        <v>241699</v>
      </c>
      <c r="V1175" s="6">
        <v>-23656</v>
      </c>
      <c r="W1175" s="6">
        <v>1000</v>
      </c>
      <c r="X1175" s="6">
        <v>4931</v>
      </c>
      <c r="Y1175" s="6">
        <v>7072</v>
      </c>
      <c r="Z1175" s="6"/>
      <c r="AA1175" s="6"/>
      <c r="AB1175" s="6">
        <v>59</v>
      </c>
      <c r="AC1175" s="6">
        <v>574</v>
      </c>
      <c r="AD1175" s="6">
        <v>73</v>
      </c>
      <c r="AE1175" s="6">
        <v>19290</v>
      </c>
      <c r="AF1175" s="6">
        <v>42678</v>
      </c>
    </row>
    <row r="1176" spans="1:32" x14ac:dyDescent="0.35">
      <c r="A1176" s="1">
        <v>45777</v>
      </c>
      <c r="B1176" s="6">
        <v>6709277</v>
      </c>
      <c r="C1176" s="6">
        <v>11037</v>
      </c>
      <c r="D1176" s="6">
        <v>15200</v>
      </c>
      <c r="E1176" s="6">
        <v>1511</v>
      </c>
      <c r="F1176" s="6">
        <v>6613947</v>
      </c>
      <c r="G1176" s="6">
        <v>6391105</v>
      </c>
      <c r="H1176" s="6">
        <v>4215813</v>
      </c>
      <c r="I1176" s="6">
        <v>195343</v>
      </c>
      <c r="J1176" s="6">
        <v>3597415</v>
      </c>
      <c r="K1176" s="6">
        <v>313767</v>
      </c>
      <c r="L1176" s="6">
        <v>109288</v>
      </c>
      <c r="M1176" s="6">
        <v>100454</v>
      </c>
      <c r="N1176" s="6">
        <v>149087</v>
      </c>
      <c r="O1176" s="6">
        <v>451428</v>
      </c>
      <c r="P1176" s="6">
        <v>1420087</v>
      </c>
      <c r="Q1176" s="6">
        <v>536897</v>
      </c>
      <c r="R1176" s="6">
        <v>1557859</v>
      </c>
      <c r="S1176" s="6">
        <v>2347</v>
      </c>
      <c r="T1176" s="6">
        <v>2172945</v>
      </c>
      <c r="U1176" s="6">
        <v>241054</v>
      </c>
      <c r="V1176" s="6">
        <v>-23625</v>
      </c>
      <c r="W1176" s="6">
        <v>111</v>
      </c>
      <c r="X1176" s="6">
        <v>5303</v>
      </c>
      <c r="Y1176" s="6">
        <v>6812</v>
      </c>
      <c r="Z1176" s="6"/>
      <c r="AA1176" s="6"/>
      <c r="AB1176" s="6">
        <v>76</v>
      </c>
      <c r="AC1176" s="6">
        <v>578</v>
      </c>
      <c r="AD1176" s="6">
        <v>62</v>
      </c>
      <c r="AE1176" s="6">
        <v>19402</v>
      </c>
      <c r="AF1176" s="6">
        <v>40652</v>
      </c>
    </row>
    <row r="1177" spans="1:32" x14ac:dyDescent="0.35">
      <c r="A1177" s="1">
        <v>45784</v>
      </c>
      <c r="B1177" s="6">
        <v>6710889</v>
      </c>
      <c r="C1177" s="6">
        <v>11037</v>
      </c>
      <c r="D1177" s="6">
        <v>15200</v>
      </c>
      <c r="E1177" s="6">
        <v>1490</v>
      </c>
      <c r="F1177" s="6">
        <v>6612716</v>
      </c>
      <c r="G1177" s="6">
        <v>6391395</v>
      </c>
      <c r="H1177" s="6">
        <v>4216103</v>
      </c>
      <c r="I1177" s="6">
        <v>195418</v>
      </c>
      <c r="J1177" s="6">
        <v>3597415</v>
      </c>
      <c r="K1177" s="6">
        <v>313767</v>
      </c>
      <c r="L1177" s="6">
        <v>109502</v>
      </c>
      <c r="M1177" s="6">
        <v>97996</v>
      </c>
      <c r="N1177" s="6">
        <v>173191</v>
      </c>
      <c r="O1177" s="6">
        <v>429892</v>
      </c>
      <c r="P1177" s="6">
        <v>1420173</v>
      </c>
      <c r="Q1177" s="6">
        <v>536922</v>
      </c>
      <c r="R1177" s="6">
        <v>1557929</v>
      </c>
      <c r="S1177" s="6">
        <v>2347</v>
      </c>
      <c r="T1177" s="6">
        <v>2172945</v>
      </c>
      <c r="U1177" s="6">
        <v>240666</v>
      </c>
      <c r="V1177" s="6">
        <v>-23621</v>
      </c>
      <c r="W1177" s="6">
        <v>7</v>
      </c>
      <c r="X1177" s="6">
        <v>4269</v>
      </c>
      <c r="Y1177" s="6">
        <v>6822</v>
      </c>
      <c r="Z1177" s="6"/>
      <c r="AA1177" s="6"/>
      <c r="AB1177" s="6">
        <v>77</v>
      </c>
      <c r="AC1177" s="6">
        <v>566</v>
      </c>
      <c r="AD1177" s="6">
        <v>60</v>
      </c>
      <c r="AE1177" s="6">
        <v>19261</v>
      </c>
      <c r="AF1177" s="6">
        <v>43659</v>
      </c>
    </row>
    <row r="1178" spans="1:32" x14ac:dyDescent="0.35">
      <c r="A1178" s="1">
        <v>45791</v>
      </c>
      <c r="B1178" s="6">
        <v>6713270</v>
      </c>
      <c r="C1178" s="6">
        <v>11037</v>
      </c>
      <c r="D1178" s="6">
        <v>15200</v>
      </c>
      <c r="E1178" s="6">
        <v>1474</v>
      </c>
      <c r="F1178" s="6">
        <v>6612356</v>
      </c>
      <c r="G1178" s="6">
        <v>6391684</v>
      </c>
      <c r="H1178" s="6">
        <v>4216393</v>
      </c>
      <c r="I1178" s="6">
        <v>195418</v>
      </c>
      <c r="J1178" s="6">
        <v>3597490</v>
      </c>
      <c r="K1178" s="6">
        <v>313767</v>
      </c>
      <c r="L1178" s="6">
        <v>109717</v>
      </c>
      <c r="M1178" s="6">
        <v>97073</v>
      </c>
      <c r="N1178" s="6">
        <v>179232</v>
      </c>
      <c r="O1178" s="6">
        <v>424807</v>
      </c>
      <c r="P1178" s="6">
        <v>1460872</v>
      </c>
      <c r="Q1178" s="6">
        <v>496410</v>
      </c>
      <c r="R1178" s="6">
        <v>1557999</v>
      </c>
      <c r="S1178" s="6">
        <v>2347</v>
      </c>
      <c r="T1178" s="6">
        <v>2172945</v>
      </c>
      <c r="U1178" s="6">
        <v>240254</v>
      </c>
      <c r="V1178" s="6">
        <v>-23582</v>
      </c>
      <c r="W1178" s="6">
        <v>1</v>
      </c>
      <c r="X1178" s="6">
        <v>3999</v>
      </c>
      <c r="Y1178" s="6">
        <v>6829</v>
      </c>
      <c r="Z1178" s="6"/>
      <c r="AA1178" s="6"/>
      <c r="AB1178" s="6">
        <v>52</v>
      </c>
      <c r="AC1178" s="6">
        <v>575</v>
      </c>
      <c r="AD1178" s="6">
        <v>30</v>
      </c>
      <c r="AE1178" s="6">
        <v>18971</v>
      </c>
      <c r="AF1178" s="6">
        <v>46747</v>
      </c>
    </row>
    <row r="1179" spans="1:32" x14ac:dyDescent="0.35">
      <c r="A1179" s="1">
        <v>45798</v>
      </c>
      <c r="B1179" s="6">
        <v>6688726</v>
      </c>
      <c r="C1179" s="6">
        <v>11037</v>
      </c>
      <c r="D1179" s="6">
        <v>15200</v>
      </c>
      <c r="E1179" s="6">
        <v>1462</v>
      </c>
      <c r="F1179" s="6">
        <v>6604507</v>
      </c>
      <c r="G1179" s="6">
        <v>6385159</v>
      </c>
      <c r="H1179" s="6">
        <v>4213515</v>
      </c>
      <c r="I1179" s="6">
        <v>195418</v>
      </c>
      <c r="J1179" s="6">
        <v>3594399</v>
      </c>
      <c r="K1179" s="6">
        <v>313767</v>
      </c>
      <c r="L1179" s="6">
        <v>109931</v>
      </c>
      <c r="M1179" s="6">
        <v>60460</v>
      </c>
      <c r="N1179" s="6">
        <v>210420</v>
      </c>
      <c r="O1179" s="6">
        <v>412731</v>
      </c>
      <c r="P1179" s="6">
        <v>1451750</v>
      </c>
      <c r="Q1179" s="6">
        <v>511261</v>
      </c>
      <c r="R1179" s="6">
        <v>1566894</v>
      </c>
      <c r="S1179" s="6">
        <v>2347</v>
      </c>
      <c r="T1179" s="6">
        <v>2169296</v>
      </c>
      <c r="U1179" s="6">
        <v>239726</v>
      </c>
      <c r="V1179" s="6">
        <v>-24032</v>
      </c>
      <c r="W1179" s="6">
        <v>1</v>
      </c>
      <c r="X1179" s="6">
        <v>3653</v>
      </c>
      <c r="Y1179" s="6">
        <v>6715</v>
      </c>
      <c r="Z1179" s="6"/>
      <c r="AA1179" s="6"/>
      <c r="AB1179" s="6">
        <v>75</v>
      </c>
      <c r="AC1179" s="6">
        <v>576</v>
      </c>
      <c r="AD1179" s="6">
        <v>15</v>
      </c>
      <c r="AE1179" s="6">
        <v>19258</v>
      </c>
      <c r="AF1179" s="6">
        <v>29882</v>
      </c>
    </row>
    <row r="1180" spans="1:32" x14ac:dyDescent="0.35">
      <c r="A1180" s="1">
        <v>45805</v>
      </c>
      <c r="B1180" s="6">
        <v>6673244</v>
      </c>
      <c r="C1180" s="6">
        <v>11037</v>
      </c>
      <c r="D1180" s="6">
        <v>15200</v>
      </c>
      <c r="E1180" s="6">
        <v>1452</v>
      </c>
      <c r="F1180" s="6">
        <v>6591121</v>
      </c>
      <c r="G1180" s="6">
        <v>6372239</v>
      </c>
      <c r="H1180" s="6">
        <v>4213730</v>
      </c>
      <c r="I1180" s="6">
        <v>195418</v>
      </c>
      <c r="J1180" s="6">
        <v>3594399</v>
      </c>
      <c r="K1180" s="6">
        <v>313767</v>
      </c>
      <c r="L1180" s="6">
        <v>110146</v>
      </c>
      <c r="M1180" s="6">
        <v>55149</v>
      </c>
      <c r="N1180" s="6">
        <v>215142</v>
      </c>
      <c r="O1180" s="6">
        <v>413353</v>
      </c>
      <c r="P1180" s="6">
        <v>1451837</v>
      </c>
      <c r="Q1180" s="6">
        <v>511286</v>
      </c>
      <c r="R1180" s="6">
        <v>1566964</v>
      </c>
      <c r="S1180" s="6">
        <v>2347</v>
      </c>
      <c r="T1180" s="6">
        <v>2156161</v>
      </c>
      <c r="U1180" s="6">
        <v>239060</v>
      </c>
      <c r="V1180" s="6">
        <v>-23990</v>
      </c>
      <c r="W1180" s="6">
        <v>1</v>
      </c>
      <c r="X1180" s="6">
        <v>3811</v>
      </c>
      <c r="Y1180" s="6">
        <v>5291</v>
      </c>
      <c r="Z1180" s="6"/>
      <c r="AA1180" s="6"/>
      <c r="AB1180" s="6">
        <v>72</v>
      </c>
      <c r="AC1180" s="6">
        <v>570</v>
      </c>
      <c r="AD1180" s="6">
        <v>17</v>
      </c>
      <c r="AE1180" s="6">
        <v>19138</v>
      </c>
      <c r="AF1180" s="6">
        <v>29348</v>
      </c>
    </row>
    <row r="1181" spans="1:32" x14ac:dyDescent="0.35">
      <c r="A1181" s="1">
        <v>45812</v>
      </c>
      <c r="B1181" s="6">
        <v>6672885</v>
      </c>
      <c r="C1181" s="6">
        <v>11037</v>
      </c>
      <c r="D1181" s="6">
        <v>15200</v>
      </c>
      <c r="E1181" s="6">
        <v>1449</v>
      </c>
      <c r="F1181" s="6">
        <v>6589890</v>
      </c>
      <c r="G1181" s="6">
        <v>6370598</v>
      </c>
      <c r="H1181" s="6">
        <v>4212090</v>
      </c>
      <c r="I1181" s="6">
        <v>195418</v>
      </c>
      <c r="J1181" s="6">
        <v>3592490</v>
      </c>
      <c r="K1181" s="6">
        <v>313767</v>
      </c>
      <c r="L1181" s="6">
        <v>110414</v>
      </c>
      <c r="M1181" s="6">
        <v>16501</v>
      </c>
      <c r="N1181" s="6">
        <v>249879</v>
      </c>
      <c r="O1181" s="6">
        <v>417515</v>
      </c>
      <c r="P1181" s="6">
        <v>1448186</v>
      </c>
      <c r="Q1181" s="6">
        <v>510768</v>
      </c>
      <c r="R1181" s="6">
        <v>1569242</v>
      </c>
      <c r="S1181" s="6">
        <v>2347</v>
      </c>
      <c r="T1181" s="6">
        <v>2156161</v>
      </c>
      <c r="U1181" s="6">
        <v>238653</v>
      </c>
      <c r="V1181" s="6">
        <v>-24031</v>
      </c>
      <c r="W1181" s="6">
        <v>1</v>
      </c>
      <c r="X1181" s="6">
        <v>4668</v>
      </c>
      <c r="Y1181" s="6">
        <v>5297</v>
      </c>
      <c r="Z1181" s="6"/>
      <c r="AA1181" s="6"/>
      <c r="AB1181" s="6">
        <v>43</v>
      </c>
      <c r="AC1181" s="6">
        <v>558</v>
      </c>
      <c r="AD1181" s="6">
        <v>16</v>
      </c>
      <c r="AE1181" s="6">
        <v>19396</v>
      </c>
      <c r="AF1181" s="6">
        <v>30000</v>
      </c>
    </row>
    <row r="1182" spans="1:32" x14ac:dyDescent="0.35">
      <c r="A1182" s="1">
        <v>45819</v>
      </c>
      <c r="B1182" s="6">
        <v>6677155</v>
      </c>
      <c r="C1182" s="6">
        <v>11037</v>
      </c>
      <c r="D1182" s="6">
        <v>15200</v>
      </c>
      <c r="E1182" s="6">
        <v>1463</v>
      </c>
      <c r="F1182" s="6">
        <v>6591053</v>
      </c>
      <c r="G1182" s="6">
        <v>6370906</v>
      </c>
      <c r="H1182" s="6">
        <v>4212398</v>
      </c>
      <c r="I1182" s="6">
        <v>195418</v>
      </c>
      <c r="J1182" s="6">
        <v>3592490</v>
      </c>
      <c r="K1182" s="6">
        <v>313767</v>
      </c>
      <c r="L1182" s="6">
        <v>110723</v>
      </c>
      <c r="M1182" s="6">
        <v>25244</v>
      </c>
      <c r="N1182" s="6">
        <v>240733</v>
      </c>
      <c r="O1182" s="6">
        <v>417965</v>
      </c>
      <c r="P1182" s="6">
        <v>1448310</v>
      </c>
      <c r="Q1182" s="6">
        <v>510804</v>
      </c>
      <c r="R1182" s="6">
        <v>1569342</v>
      </c>
      <c r="S1182" s="6">
        <v>2347</v>
      </c>
      <c r="T1182" s="6">
        <v>2156161</v>
      </c>
      <c r="U1182" s="6">
        <v>238280</v>
      </c>
      <c r="V1182" s="6">
        <v>-23897</v>
      </c>
      <c r="W1182" s="6">
        <v>0</v>
      </c>
      <c r="X1182" s="6">
        <v>5763</v>
      </c>
      <c r="Y1182" s="6">
        <v>5319</v>
      </c>
      <c r="Z1182" s="6"/>
      <c r="AA1182" s="6"/>
      <c r="AB1182" s="6">
        <v>55</v>
      </c>
      <c r="AC1182" s="6">
        <v>562</v>
      </c>
      <c r="AD1182" s="6">
        <v>45</v>
      </c>
      <c r="AE1182" s="6">
        <v>19404</v>
      </c>
      <c r="AF1182" s="6">
        <v>33016</v>
      </c>
    </row>
    <row r="1183" spans="1:32" x14ac:dyDescent="0.35">
      <c r="A1183" s="1">
        <v>45826</v>
      </c>
      <c r="B1183" s="6">
        <v>6681056</v>
      </c>
      <c r="C1183" s="6">
        <v>11037</v>
      </c>
      <c r="D1183" s="6">
        <v>15200</v>
      </c>
      <c r="E1183" s="6">
        <v>1457</v>
      </c>
      <c r="F1183" s="6">
        <v>6591935</v>
      </c>
      <c r="G1183" s="6">
        <v>6370818</v>
      </c>
      <c r="H1183" s="6">
        <v>4212303</v>
      </c>
      <c r="I1183" s="6">
        <v>195418</v>
      </c>
      <c r="J1183" s="6">
        <v>3592043</v>
      </c>
      <c r="K1183" s="6">
        <v>313767</v>
      </c>
      <c r="L1183" s="6">
        <v>111075</v>
      </c>
      <c r="M1183" s="6">
        <v>54451</v>
      </c>
      <c r="N1183" s="6">
        <v>205803</v>
      </c>
      <c r="O1183" s="6">
        <v>421157</v>
      </c>
      <c r="P1183" s="6">
        <v>1449494</v>
      </c>
      <c r="Q1183" s="6">
        <v>511546</v>
      </c>
      <c r="R1183" s="6">
        <v>1569852</v>
      </c>
      <c r="S1183" s="6">
        <v>2347</v>
      </c>
      <c r="T1183" s="6">
        <v>2156168</v>
      </c>
      <c r="U1183" s="6">
        <v>237817</v>
      </c>
      <c r="V1183" s="6">
        <v>-23844</v>
      </c>
      <c r="W1183" s="6">
        <v>0</v>
      </c>
      <c r="X1183" s="6">
        <v>7143</v>
      </c>
      <c r="Y1183" s="6">
        <v>5174</v>
      </c>
      <c r="Z1183" s="6"/>
      <c r="AA1183" s="6"/>
      <c r="AB1183" s="6">
        <v>51</v>
      </c>
      <c r="AC1183" s="6">
        <v>571</v>
      </c>
      <c r="AD1183" s="6">
        <v>21</v>
      </c>
      <c r="AE1183" s="6">
        <v>19441</v>
      </c>
      <c r="AF1183" s="6">
        <v>36170</v>
      </c>
    </row>
    <row r="1184" spans="1:32" x14ac:dyDescent="0.35">
      <c r="A1184" s="1">
        <v>45833</v>
      </c>
      <c r="B1184" s="6">
        <v>6662200</v>
      </c>
      <c r="C1184" s="6">
        <v>11037</v>
      </c>
      <c r="D1184" s="6">
        <v>15200</v>
      </c>
      <c r="E1184" s="6">
        <v>1455</v>
      </c>
      <c r="F1184" s="6">
        <v>6574833</v>
      </c>
      <c r="G1184" s="6">
        <v>6353460</v>
      </c>
      <c r="H1184" s="6">
        <v>4212617</v>
      </c>
      <c r="I1184" s="6">
        <v>195418</v>
      </c>
      <c r="J1184" s="6">
        <v>3592093</v>
      </c>
      <c r="K1184" s="6">
        <v>313767</v>
      </c>
      <c r="L1184" s="6">
        <v>111339</v>
      </c>
      <c r="M1184" s="6">
        <v>64395</v>
      </c>
      <c r="N1184" s="6">
        <v>194397</v>
      </c>
      <c r="O1184" s="6">
        <v>422659</v>
      </c>
      <c r="P1184" s="6">
        <v>1449600</v>
      </c>
      <c r="Q1184" s="6">
        <v>511577</v>
      </c>
      <c r="R1184" s="6">
        <v>1569988</v>
      </c>
      <c r="S1184" s="6">
        <v>2347</v>
      </c>
      <c r="T1184" s="6">
        <v>2138496</v>
      </c>
      <c r="U1184" s="6">
        <v>237082</v>
      </c>
      <c r="V1184" s="6">
        <v>-23734</v>
      </c>
      <c r="W1184" s="6">
        <v>16</v>
      </c>
      <c r="X1184" s="6">
        <v>8009</v>
      </c>
      <c r="Y1184" s="6">
        <v>5179</v>
      </c>
      <c r="Z1184" s="6"/>
      <c r="AA1184" s="6"/>
      <c r="AB1184" s="6">
        <v>60</v>
      </c>
      <c r="AC1184" s="6">
        <v>585</v>
      </c>
      <c r="AD1184" s="6">
        <v>19</v>
      </c>
      <c r="AE1184" s="6">
        <v>19513</v>
      </c>
      <c r="AF1184" s="6">
        <v>34321</v>
      </c>
    </row>
    <row r="1185" spans="1:32" x14ac:dyDescent="0.35">
      <c r="A1185" s="1">
        <v>45840</v>
      </c>
      <c r="B1185" s="6">
        <v>6659598</v>
      </c>
      <c r="C1185" s="6">
        <v>11037</v>
      </c>
      <c r="D1185" s="6">
        <v>15200</v>
      </c>
      <c r="E1185" s="6">
        <v>1438</v>
      </c>
      <c r="F1185" s="6">
        <v>6570028</v>
      </c>
      <c r="G1185" s="6">
        <v>6349167</v>
      </c>
      <c r="H1185" s="6">
        <v>4208325</v>
      </c>
      <c r="I1185" s="6">
        <v>195418</v>
      </c>
      <c r="J1185" s="6">
        <v>3585251</v>
      </c>
      <c r="K1185" s="6">
        <v>316031</v>
      </c>
      <c r="L1185" s="6">
        <v>111624</v>
      </c>
      <c r="M1185" s="6">
        <v>55110</v>
      </c>
      <c r="N1185" s="6">
        <v>192079</v>
      </c>
      <c r="O1185" s="6">
        <v>438945</v>
      </c>
      <c r="P1185" s="6">
        <v>1434865</v>
      </c>
      <c r="Q1185" s="6">
        <v>515988</v>
      </c>
      <c r="R1185" s="6">
        <v>1571338</v>
      </c>
      <c r="S1185" s="6">
        <v>2347</v>
      </c>
      <c r="T1185" s="6">
        <v>2138496</v>
      </c>
      <c r="U1185" s="6">
        <v>236679</v>
      </c>
      <c r="V1185" s="6">
        <v>-23654</v>
      </c>
      <c r="W1185" s="6">
        <v>0</v>
      </c>
      <c r="X1185" s="6">
        <v>7836</v>
      </c>
      <c r="Y1185" s="6">
        <v>5184</v>
      </c>
      <c r="Z1185" s="6"/>
      <c r="AA1185" s="6"/>
      <c r="AB1185" s="6">
        <v>59</v>
      </c>
      <c r="AC1185" s="6">
        <v>558</v>
      </c>
      <c r="AD1185" s="6">
        <v>37</v>
      </c>
      <c r="AE1185" s="6">
        <v>19926</v>
      </c>
      <c r="AF1185" s="6">
        <v>36132</v>
      </c>
    </row>
    <row r="1186" spans="1:32" x14ac:dyDescent="0.35">
      <c r="A1186" s="1">
        <v>45847</v>
      </c>
      <c r="B1186" s="6">
        <v>6661912</v>
      </c>
      <c r="C1186" s="6">
        <v>11037</v>
      </c>
      <c r="D1186" s="6">
        <v>15200</v>
      </c>
      <c r="E1186" s="6">
        <v>1437</v>
      </c>
      <c r="F1186" s="6">
        <v>6569641</v>
      </c>
      <c r="G1186" s="6">
        <v>6349369</v>
      </c>
      <c r="H1186" s="6">
        <v>4208526</v>
      </c>
      <c r="I1186" s="6">
        <v>195418</v>
      </c>
      <c r="J1186" s="6">
        <v>3585251</v>
      </c>
      <c r="K1186" s="6">
        <v>316031</v>
      </c>
      <c r="L1186" s="6">
        <v>111826</v>
      </c>
      <c r="M1186" s="6">
        <v>50659</v>
      </c>
      <c r="N1186" s="6">
        <v>199034</v>
      </c>
      <c r="O1186" s="6">
        <v>436472</v>
      </c>
      <c r="P1186" s="6">
        <v>1434947</v>
      </c>
      <c r="Q1186" s="6">
        <v>516011</v>
      </c>
      <c r="R1186" s="6">
        <v>1571403</v>
      </c>
      <c r="S1186" s="6">
        <v>2347</v>
      </c>
      <c r="T1186" s="6">
        <v>2138496</v>
      </c>
      <c r="U1186" s="6">
        <v>236307</v>
      </c>
      <c r="V1186" s="6">
        <v>-23638</v>
      </c>
      <c r="W1186" s="6">
        <v>0</v>
      </c>
      <c r="X1186" s="6">
        <v>7604</v>
      </c>
      <c r="Y1186" s="6">
        <v>5189</v>
      </c>
      <c r="Z1186" s="6"/>
      <c r="AA1186" s="6"/>
      <c r="AB1186" s="6">
        <v>60</v>
      </c>
      <c r="AC1186" s="6">
        <v>560</v>
      </c>
      <c r="AD1186" s="6">
        <v>55</v>
      </c>
      <c r="AE1186" s="6">
        <v>19581</v>
      </c>
      <c r="AF1186" s="6">
        <v>39152</v>
      </c>
    </row>
    <row r="1187" spans="1:32" x14ac:dyDescent="0.35">
      <c r="A1187" s="1">
        <v>45854</v>
      </c>
      <c r="B1187" s="6">
        <v>6659273</v>
      </c>
      <c r="C1187" s="6">
        <v>11037</v>
      </c>
      <c r="D1187" s="6">
        <v>15200</v>
      </c>
      <c r="E1187" s="6">
        <v>1446</v>
      </c>
      <c r="F1187" s="6">
        <v>6566088</v>
      </c>
      <c r="G1187" s="6">
        <v>6347296</v>
      </c>
      <c r="H1187" s="6">
        <v>4206523</v>
      </c>
      <c r="I1187" s="6">
        <v>195493</v>
      </c>
      <c r="J1187" s="6">
        <v>3593851</v>
      </c>
      <c r="K1187" s="6">
        <v>307997</v>
      </c>
      <c r="L1187" s="6">
        <v>109182</v>
      </c>
      <c r="M1187" s="6">
        <v>53204</v>
      </c>
      <c r="N1187" s="6">
        <v>176903</v>
      </c>
      <c r="O1187" s="6">
        <v>451704</v>
      </c>
      <c r="P1187" s="6">
        <v>1440384</v>
      </c>
      <c r="Q1187" s="6">
        <v>510256</v>
      </c>
      <c r="R1187" s="6">
        <v>1574071</v>
      </c>
      <c r="S1187" s="6">
        <v>2347</v>
      </c>
      <c r="T1187" s="6">
        <v>2138426</v>
      </c>
      <c r="U1187" s="6">
        <v>235903</v>
      </c>
      <c r="V1187" s="6">
        <v>-23817</v>
      </c>
      <c r="W1187" s="6">
        <v>0</v>
      </c>
      <c r="X1187" s="6">
        <v>6705</v>
      </c>
      <c r="Y1187" s="6">
        <v>4548</v>
      </c>
      <c r="Z1187" s="6"/>
      <c r="AA1187" s="6"/>
      <c r="AB1187" s="6">
        <v>69</v>
      </c>
      <c r="AC1187" s="6">
        <v>564</v>
      </c>
      <c r="AD1187" s="6">
        <v>63</v>
      </c>
      <c r="AE1187" s="6">
        <v>19431</v>
      </c>
      <c r="AF1187" s="6">
        <v>40828</v>
      </c>
    </row>
    <row r="1188" spans="1:32" x14ac:dyDescent="0.35">
      <c r="A1188" s="1">
        <v>45861</v>
      </c>
      <c r="B1188" s="6">
        <v>6657715</v>
      </c>
      <c r="C1188" s="6">
        <v>11037</v>
      </c>
      <c r="D1188" s="6">
        <v>15200</v>
      </c>
      <c r="E1188" s="6">
        <v>1446</v>
      </c>
      <c r="F1188" s="6">
        <v>6562199</v>
      </c>
      <c r="G1188" s="6">
        <v>6343851</v>
      </c>
      <c r="H1188" s="6">
        <v>4206720</v>
      </c>
      <c r="I1188" s="6">
        <v>195493</v>
      </c>
      <c r="J1188" s="6">
        <v>3593851</v>
      </c>
      <c r="K1188" s="6">
        <v>307997</v>
      </c>
      <c r="L1188" s="6">
        <v>109379</v>
      </c>
      <c r="M1188" s="6">
        <v>60158</v>
      </c>
      <c r="N1188" s="6">
        <v>173195</v>
      </c>
      <c r="O1188" s="6">
        <v>448489</v>
      </c>
      <c r="P1188" s="6">
        <v>1440465</v>
      </c>
      <c r="Q1188" s="6">
        <v>510275</v>
      </c>
      <c r="R1188" s="6">
        <v>1574137</v>
      </c>
      <c r="S1188" s="6">
        <v>2347</v>
      </c>
      <c r="T1188" s="6">
        <v>2134784</v>
      </c>
      <c r="U1188" s="6">
        <v>235387</v>
      </c>
      <c r="V1188" s="6">
        <v>-23735</v>
      </c>
      <c r="W1188" s="6">
        <v>3</v>
      </c>
      <c r="X1188" s="6">
        <v>6694</v>
      </c>
      <c r="Y1188" s="6">
        <v>4553</v>
      </c>
      <c r="Z1188" s="6"/>
      <c r="AA1188" s="6"/>
      <c r="AB1188" s="6">
        <v>63</v>
      </c>
      <c r="AC1188" s="6">
        <v>572</v>
      </c>
      <c r="AD1188" s="6">
        <v>84</v>
      </c>
      <c r="AE1188" s="6">
        <v>19637</v>
      </c>
      <c r="AF1188" s="6">
        <v>42924</v>
      </c>
    </row>
    <row r="1189" spans="1:32" x14ac:dyDescent="0.35">
      <c r="A1189" s="1">
        <v>45868</v>
      </c>
      <c r="B1189" s="6">
        <v>6642578</v>
      </c>
      <c r="C1189" s="6">
        <v>11037</v>
      </c>
      <c r="D1189" s="6">
        <v>15200</v>
      </c>
      <c r="E1189" s="6">
        <v>1453</v>
      </c>
      <c r="F1189" s="6">
        <v>6548063</v>
      </c>
      <c r="G1189" s="6">
        <v>6329935</v>
      </c>
      <c r="H1189" s="6">
        <v>4206916</v>
      </c>
      <c r="I1189" s="6">
        <v>195493</v>
      </c>
      <c r="J1189" s="6">
        <v>3593851</v>
      </c>
      <c r="K1189" s="6">
        <v>307997</v>
      </c>
      <c r="L1189" s="6">
        <v>109575</v>
      </c>
      <c r="M1189" s="6">
        <v>67487</v>
      </c>
      <c r="N1189" s="6">
        <v>166106</v>
      </c>
      <c r="O1189" s="6">
        <v>448282</v>
      </c>
      <c r="P1189" s="6">
        <v>1440549</v>
      </c>
      <c r="Q1189" s="6">
        <v>510290</v>
      </c>
      <c r="R1189" s="6">
        <v>1574202</v>
      </c>
      <c r="S1189" s="6">
        <v>2347</v>
      </c>
      <c r="T1189" s="6">
        <v>2120672</v>
      </c>
      <c r="U1189" s="6">
        <v>234713</v>
      </c>
      <c r="V1189" s="6">
        <v>-23635</v>
      </c>
      <c r="W1189" s="6">
        <v>0</v>
      </c>
      <c r="X1189" s="6">
        <v>7050</v>
      </c>
      <c r="Y1189" s="6">
        <v>4471</v>
      </c>
      <c r="Z1189" s="6"/>
      <c r="AA1189" s="6"/>
      <c r="AB1189" s="6">
        <v>59</v>
      </c>
      <c r="AC1189" s="6">
        <v>576</v>
      </c>
      <c r="AD1189" s="6">
        <v>57</v>
      </c>
      <c r="AE1189" s="6">
        <v>19222</v>
      </c>
      <c r="AF1189" s="6">
        <v>42440</v>
      </c>
    </row>
    <row r="1190" spans="1:32" x14ac:dyDescent="0.35">
      <c r="A1190" s="1">
        <v>45875</v>
      </c>
      <c r="B1190" s="6">
        <v>6640843</v>
      </c>
      <c r="C1190" s="6">
        <v>11037</v>
      </c>
      <c r="D1190" s="6">
        <v>15200</v>
      </c>
      <c r="E1190" s="6">
        <v>1460</v>
      </c>
      <c r="F1190" s="6">
        <v>6544505</v>
      </c>
      <c r="G1190" s="6">
        <v>6327520</v>
      </c>
      <c r="H1190" s="6">
        <v>4204501</v>
      </c>
      <c r="I1190" s="6">
        <v>195493</v>
      </c>
      <c r="J1190" s="6">
        <v>3589699</v>
      </c>
      <c r="K1190" s="6">
        <v>309427</v>
      </c>
      <c r="L1190" s="6">
        <v>109881</v>
      </c>
      <c r="M1190" s="6">
        <v>90821</v>
      </c>
      <c r="N1190" s="6">
        <v>147831</v>
      </c>
      <c r="O1190" s="6">
        <v>449602</v>
      </c>
      <c r="P1190" s="6">
        <v>1426311</v>
      </c>
      <c r="Q1190" s="6">
        <v>514748</v>
      </c>
      <c r="R1190" s="6">
        <v>1575189</v>
      </c>
      <c r="S1190" s="6">
        <v>2347</v>
      </c>
      <c r="T1190" s="6">
        <v>2120672</v>
      </c>
      <c r="U1190" s="6">
        <v>234329</v>
      </c>
      <c r="V1190" s="6">
        <v>-23664</v>
      </c>
      <c r="W1190" s="6">
        <v>5</v>
      </c>
      <c r="X1190" s="6">
        <v>6316</v>
      </c>
      <c r="Y1190" s="6">
        <v>4476</v>
      </c>
      <c r="Z1190" s="6"/>
      <c r="AA1190" s="6"/>
      <c r="AB1190" s="6">
        <v>63</v>
      </c>
      <c r="AC1190" s="6">
        <v>561</v>
      </c>
      <c r="AD1190" s="6">
        <v>50</v>
      </c>
      <c r="AE1190" s="6">
        <v>19505</v>
      </c>
      <c r="AF1190" s="6">
        <v>43987</v>
      </c>
    </row>
    <row r="1191" spans="1:32" x14ac:dyDescent="0.35">
      <c r="A1191" s="1">
        <v>45882</v>
      </c>
      <c r="B1191" s="6">
        <v>6643615</v>
      </c>
      <c r="C1191" s="6">
        <v>11037</v>
      </c>
      <c r="D1191" s="6">
        <v>15200</v>
      </c>
      <c r="E1191" s="6">
        <v>1468</v>
      </c>
      <c r="F1191" s="6">
        <v>6544109</v>
      </c>
      <c r="G1191" s="6">
        <v>6327776</v>
      </c>
      <c r="H1191" s="6">
        <v>4204823</v>
      </c>
      <c r="I1191" s="6">
        <v>195493</v>
      </c>
      <c r="J1191" s="6">
        <v>3589699</v>
      </c>
      <c r="K1191" s="6">
        <v>309427</v>
      </c>
      <c r="L1191" s="6">
        <v>110204</v>
      </c>
      <c r="M1191" s="6">
        <v>85044</v>
      </c>
      <c r="N1191" s="6">
        <v>150698</v>
      </c>
      <c r="O1191" s="6">
        <v>452564</v>
      </c>
      <c r="P1191" s="6">
        <v>1426444</v>
      </c>
      <c r="Q1191" s="6">
        <v>514779</v>
      </c>
      <c r="R1191" s="6">
        <v>1575295</v>
      </c>
      <c r="S1191" s="6">
        <v>2347</v>
      </c>
      <c r="T1191" s="6">
        <v>2120606</v>
      </c>
      <c r="U1191" s="6">
        <v>233975</v>
      </c>
      <c r="V1191" s="6">
        <v>-23733</v>
      </c>
      <c r="W1191" s="6">
        <v>1</v>
      </c>
      <c r="X1191" s="6">
        <v>6090</v>
      </c>
      <c r="Y1191" s="6">
        <v>4481</v>
      </c>
      <c r="Z1191" s="6"/>
      <c r="AA1191" s="6"/>
      <c r="AB1191" s="6">
        <v>54</v>
      </c>
      <c r="AC1191" s="6">
        <v>564</v>
      </c>
      <c r="AD1191" s="6">
        <v>46</v>
      </c>
      <c r="AE1191" s="6">
        <v>19587</v>
      </c>
      <c r="AF1191" s="6">
        <v>47069</v>
      </c>
    </row>
    <row r="1192" spans="1:32" x14ac:dyDescent="0.35">
      <c r="A1192" s="1">
        <v>45889</v>
      </c>
      <c r="B1192" s="6">
        <v>6618415</v>
      </c>
      <c r="C1192" s="6">
        <v>11037</v>
      </c>
      <c r="D1192" s="6">
        <v>15200</v>
      </c>
      <c r="E1192" s="6">
        <v>1473</v>
      </c>
      <c r="F1192" s="6">
        <v>6536775</v>
      </c>
      <c r="G1192" s="6">
        <v>6321065</v>
      </c>
      <c r="H1192" s="6">
        <v>4201953</v>
      </c>
      <c r="I1192" s="6">
        <v>195493</v>
      </c>
      <c r="J1192" s="6">
        <v>3586507</v>
      </c>
      <c r="K1192" s="6">
        <v>309427</v>
      </c>
      <c r="L1192" s="6">
        <v>110526</v>
      </c>
      <c r="M1192" s="6">
        <v>54667</v>
      </c>
      <c r="N1192" s="6">
        <v>158447</v>
      </c>
      <c r="O1192" s="6">
        <v>461246</v>
      </c>
      <c r="P1192" s="6">
        <v>1442905</v>
      </c>
      <c r="Q1192" s="6">
        <v>500801</v>
      </c>
      <c r="R1192" s="6">
        <v>1583886</v>
      </c>
      <c r="S1192" s="6">
        <v>2347</v>
      </c>
      <c r="T1192" s="6">
        <v>2116764</v>
      </c>
      <c r="U1192" s="6">
        <v>233472</v>
      </c>
      <c r="V1192" s="6">
        <v>-23845</v>
      </c>
      <c r="W1192" s="6">
        <v>201</v>
      </c>
      <c r="X1192" s="6">
        <v>5882</v>
      </c>
      <c r="Y1192" s="6">
        <v>4250</v>
      </c>
      <c r="Z1192" s="6"/>
      <c r="AA1192" s="6"/>
      <c r="AB1192" s="6">
        <v>56</v>
      </c>
      <c r="AC1192" s="6">
        <v>568</v>
      </c>
      <c r="AD1192" s="6">
        <v>46</v>
      </c>
      <c r="AE1192" s="6">
        <v>19520</v>
      </c>
      <c r="AF1192" s="6">
        <v>29491</v>
      </c>
    </row>
    <row r="1193" spans="1:32" x14ac:dyDescent="0.35">
      <c r="A1193" s="1">
        <v>45896</v>
      </c>
      <c r="B1193" s="6">
        <v>6603384</v>
      </c>
      <c r="C1193" s="6">
        <v>11037</v>
      </c>
      <c r="D1193" s="6">
        <v>15200</v>
      </c>
      <c r="E1193" s="6">
        <v>1478</v>
      </c>
      <c r="F1193" s="6">
        <v>6522272</v>
      </c>
      <c r="G1193" s="6">
        <v>6307544</v>
      </c>
      <c r="H1193" s="6">
        <v>4202351</v>
      </c>
      <c r="I1193" s="6">
        <v>195493</v>
      </c>
      <c r="J1193" s="6">
        <v>3586582</v>
      </c>
      <c r="K1193" s="6">
        <v>309427</v>
      </c>
      <c r="L1193" s="6">
        <v>110849</v>
      </c>
      <c r="M1193" s="6">
        <v>51346</v>
      </c>
      <c r="N1193" s="6">
        <v>162597</v>
      </c>
      <c r="O1193" s="6">
        <v>460469</v>
      </c>
      <c r="P1193" s="6">
        <v>1443113</v>
      </c>
      <c r="Q1193" s="6">
        <v>500833</v>
      </c>
      <c r="R1193" s="6">
        <v>1583994</v>
      </c>
      <c r="S1193" s="6">
        <v>2347</v>
      </c>
      <c r="T1193" s="6">
        <v>2102846</v>
      </c>
      <c r="U1193" s="6">
        <v>232817</v>
      </c>
      <c r="V1193" s="6">
        <v>-23771</v>
      </c>
      <c r="W1193" s="6">
        <v>21</v>
      </c>
      <c r="X1193" s="6">
        <v>5660</v>
      </c>
      <c r="Y1193" s="6">
        <v>4254</v>
      </c>
      <c r="Z1193" s="6"/>
      <c r="AA1193" s="6"/>
      <c r="AB1193" s="6">
        <v>50</v>
      </c>
      <c r="AC1193" s="6">
        <v>568</v>
      </c>
      <c r="AD1193" s="6">
        <v>40</v>
      </c>
      <c r="AE1193" s="6">
        <v>19459</v>
      </c>
      <c r="AF1193" s="6">
        <v>29028</v>
      </c>
    </row>
    <row r="1194" spans="1:32" x14ac:dyDescent="0.35">
      <c r="A1194" s="1">
        <v>45903</v>
      </c>
      <c r="B1194" s="6">
        <v>6602071</v>
      </c>
      <c r="C1194" s="6">
        <v>11037</v>
      </c>
      <c r="D1194" s="6">
        <v>15200</v>
      </c>
      <c r="E1194" s="6">
        <v>1470</v>
      </c>
      <c r="F1194" s="6">
        <v>6520524</v>
      </c>
      <c r="G1194" s="6">
        <v>6306011</v>
      </c>
      <c r="H1194" s="6">
        <v>4200818</v>
      </c>
      <c r="I1194" s="6">
        <v>195493</v>
      </c>
      <c r="J1194" s="6">
        <v>3584774</v>
      </c>
      <c r="K1194" s="6">
        <v>309452</v>
      </c>
      <c r="L1194" s="6">
        <v>111098</v>
      </c>
      <c r="M1194" s="6">
        <v>21921</v>
      </c>
      <c r="N1194" s="6">
        <v>195647</v>
      </c>
      <c r="O1194" s="6">
        <v>457670</v>
      </c>
      <c r="P1194" s="6">
        <v>1437140</v>
      </c>
      <c r="Q1194" s="6">
        <v>502433</v>
      </c>
      <c r="R1194" s="6">
        <v>1586006</v>
      </c>
      <c r="S1194" s="6">
        <v>2347</v>
      </c>
      <c r="T1194" s="6">
        <v>2102846</v>
      </c>
      <c r="U1194" s="6">
        <v>232432</v>
      </c>
      <c r="V1194" s="6">
        <v>-23758</v>
      </c>
      <c r="W1194" s="6">
        <v>3</v>
      </c>
      <c r="X1194" s="6">
        <v>5836</v>
      </c>
      <c r="Y1194" s="6">
        <v>4259</v>
      </c>
      <c r="Z1194" s="6"/>
      <c r="AA1194" s="6"/>
      <c r="AB1194" s="6">
        <v>61</v>
      </c>
      <c r="AC1194" s="6">
        <v>556</v>
      </c>
      <c r="AD1194" s="6">
        <v>41</v>
      </c>
      <c r="AE1194" s="6">
        <v>19529</v>
      </c>
      <c r="AF1194" s="6">
        <v>29393</v>
      </c>
    </row>
    <row r="1195" spans="1:32" x14ac:dyDescent="0.35">
      <c r="A1195" s="1">
        <v>45910</v>
      </c>
      <c r="B1195" s="6">
        <v>6605962</v>
      </c>
      <c r="C1195" s="6">
        <v>11037</v>
      </c>
      <c r="D1195" s="6">
        <v>15200</v>
      </c>
      <c r="E1195" s="6">
        <v>1478</v>
      </c>
      <c r="F1195" s="6">
        <v>6521315</v>
      </c>
      <c r="G1195" s="6">
        <v>6306109</v>
      </c>
      <c r="H1195" s="6">
        <v>4200916</v>
      </c>
      <c r="I1195" s="6">
        <v>195493</v>
      </c>
      <c r="J1195" s="6">
        <v>3584724</v>
      </c>
      <c r="K1195" s="6">
        <v>309452</v>
      </c>
      <c r="L1195" s="6">
        <v>111247</v>
      </c>
      <c r="M1195" s="6">
        <v>25923</v>
      </c>
      <c r="N1195" s="6">
        <v>190640</v>
      </c>
      <c r="O1195" s="6">
        <v>458699</v>
      </c>
      <c r="P1195" s="6">
        <v>1437201</v>
      </c>
      <c r="Q1195" s="6">
        <v>502447</v>
      </c>
      <c r="R1195" s="6">
        <v>1586006</v>
      </c>
      <c r="S1195" s="6">
        <v>2347</v>
      </c>
      <c r="T1195" s="6">
        <v>2102846</v>
      </c>
      <c r="U1195" s="6">
        <v>232074</v>
      </c>
      <c r="V1195" s="6">
        <v>-23662</v>
      </c>
      <c r="W1195" s="6">
        <v>12</v>
      </c>
      <c r="X1195" s="6">
        <v>6782</v>
      </c>
      <c r="Y1195" s="6">
        <v>4263</v>
      </c>
      <c r="Z1195" s="6"/>
      <c r="AA1195" s="6"/>
      <c r="AB1195" s="6">
        <v>58</v>
      </c>
      <c r="AC1195" s="6">
        <v>585</v>
      </c>
      <c r="AD1195" s="6">
        <v>49</v>
      </c>
      <c r="AE1195" s="6">
        <v>19603</v>
      </c>
      <c r="AF1195" s="6">
        <v>32375</v>
      </c>
    </row>
    <row r="1196" spans="1:32" x14ac:dyDescent="0.35">
      <c r="A1196" s="1">
        <v>45917</v>
      </c>
      <c r="B1196" s="6">
        <v>6608597</v>
      </c>
      <c r="C1196" s="6">
        <v>11037</v>
      </c>
      <c r="D1196" s="6">
        <v>15200</v>
      </c>
      <c r="E1196" s="6">
        <v>1489</v>
      </c>
      <c r="F1196" s="6">
        <v>6520866</v>
      </c>
      <c r="G1196" s="6">
        <v>6306194</v>
      </c>
      <c r="H1196" s="6">
        <v>4201064</v>
      </c>
      <c r="I1196" s="6">
        <v>195493</v>
      </c>
      <c r="J1196" s="6">
        <v>3584724</v>
      </c>
      <c r="K1196" s="6">
        <v>309452</v>
      </c>
      <c r="L1196" s="6">
        <v>111395</v>
      </c>
      <c r="M1196" s="6">
        <v>51513</v>
      </c>
      <c r="N1196" s="6">
        <v>164849</v>
      </c>
      <c r="O1196" s="6">
        <v>458924</v>
      </c>
      <c r="P1196" s="6">
        <v>1437262</v>
      </c>
      <c r="Q1196" s="6">
        <v>502462</v>
      </c>
      <c r="R1196" s="6">
        <v>1586055</v>
      </c>
      <c r="S1196" s="6">
        <v>2347</v>
      </c>
      <c r="T1196" s="6">
        <v>2102783</v>
      </c>
      <c r="U1196" s="6">
        <v>231682</v>
      </c>
      <c r="V1196" s="6">
        <v>-23561</v>
      </c>
      <c r="W1196" s="6">
        <v>1</v>
      </c>
      <c r="X1196" s="6">
        <v>6550</v>
      </c>
      <c r="Y1196" s="6">
        <v>4151</v>
      </c>
      <c r="Z1196" s="6"/>
      <c r="AA1196" s="6"/>
      <c r="AB1196" s="6">
        <v>62</v>
      </c>
      <c r="AC1196" s="6">
        <v>602</v>
      </c>
      <c r="AD1196" s="6">
        <v>51</v>
      </c>
      <c r="AE1196" s="6">
        <v>19800</v>
      </c>
      <c r="AF1196" s="6">
        <v>35340</v>
      </c>
    </row>
    <row r="1197" spans="1:32" x14ac:dyDescent="0.35">
      <c r="A1197" s="1">
        <v>45924</v>
      </c>
      <c r="B1197" s="6">
        <v>6608395</v>
      </c>
      <c r="C1197" s="6">
        <v>11037</v>
      </c>
      <c r="D1197" s="6">
        <v>15200</v>
      </c>
      <c r="E1197" s="6">
        <v>1484</v>
      </c>
      <c r="F1197" s="6">
        <v>6519016</v>
      </c>
      <c r="G1197" s="6">
        <v>6302774</v>
      </c>
      <c r="H1197" s="6">
        <v>4201212</v>
      </c>
      <c r="I1197" s="6">
        <v>195493</v>
      </c>
      <c r="J1197" s="6">
        <v>3584724</v>
      </c>
      <c r="K1197" s="6">
        <v>309452</v>
      </c>
      <c r="L1197" s="6">
        <v>111543</v>
      </c>
      <c r="M1197" s="6">
        <v>57036</v>
      </c>
      <c r="N1197" s="6">
        <v>158888</v>
      </c>
      <c r="O1197" s="6">
        <v>459386</v>
      </c>
      <c r="P1197" s="6">
        <v>1437322</v>
      </c>
      <c r="Q1197" s="6">
        <v>502476</v>
      </c>
      <c r="R1197" s="6">
        <v>1586104</v>
      </c>
      <c r="S1197" s="6">
        <v>2347</v>
      </c>
      <c r="T1197" s="6">
        <v>2099215</v>
      </c>
      <c r="U1197" s="6">
        <v>231179</v>
      </c>
      <c r="V1197" s="6">
        <v>-23444</v>
      </c>
      <c r="W1197" s="6">
        <v>1</v>
      </c>
      <c r="X1197" s="6">
        <v>8505</v>
      </c>
      <c r="Y1197" s="6">
        <v>4155</v>
      </c>
      <c r="Z1197" s="6"/>
      <c r="AA1197" s="6"/>
      <c r="AB1197" s="6">
        <v>60</v>
      </c>
      <c r="AC1197" s="6">
        <v>601</v>
      </c>
      <c r="AD1197" s="6">
        <v>52</v>
      </c>
      <c r="AE1197" s="6">
        <v>19588</v>
      </c>
      <c r="AF1197" s="6">
        <v>37203</v>
      </c>
    </row>
    <row r="1198" spans="1:32" x14ac:dyDescent="0.35">
      <c r="A1198" s="1">
        <v>45931</v>
      </c>
      <c r="B1198" s="6">
        <v>6587119</v>
      </c>
      <c r="C1198" s="6">
        <v>11037</v>
      </c>
      <c r="D1198" s="6">
        <v>15200</v>
      </c>
      <c r="E1198" s="6">
        <v>1481</v>
      </c>
      <c r="F1198" s="6">
        <v>6499191</v>
      </c>
      <c r="G1198" s="6">
        <v>6284715</v>
      </c>
      <c r="H1198" s="6">
        <v>4196385</v>
      </c>
      <c r="I1198" s="6">
        <v>195493</v>
      </c>
      <c r="J1198" s="6">
        <v>3578675</v>
      </c>
      <c r="K1198" s="6">
        <v>310501</v>
      </c>
      <c r="L1198" s="6">
        <v>111715</v>
      </c>
      <c r="M1198" s="6">
        <v>41628</v>
      </c>
      <c r="N1198" s="6">
        <v>158247</v>
      </c>
      <c r="O1198" s="6">
        <v>489002</v>
      </c>
      <c r="P1198" s="6">
        <v>1414656</v>
      </c>
      <c r="Q1198" s="6">
        <v>505977</v>
      </c>
      <c r="R1198" s="6">
        <v>1586877</v>
      </c>
      <c r="S1198" s="6">
        <v>2347</v>
      </c>
      <c r="T1198" s="6">
        <v>2085983</v>
      </c>
      <c r="U1198" s="6">
        <v>230559</v>
      </c>
      <c r="V1198" s="6">
        <v>-23366</v>
      </c>
      <c r="W1198" s="6">
        <v>0</v>
      </c>
      <c r="X1198" s="6">
        <v>7283</v>
      </c>
      <c r="Y1198" s="6">
        <v>4160</v>
      </c>
      <c r="Z1198" s="6"/>
      <c r="AA1198" s="6"/>
      <c r="AB1198" s="6">
        <v>67</v>
      </c>
      <c r="AC1198" s="6">
        <v>584</v>
      </c>
      <c r="AD1198" s="6">
        <v>40</v>
      </c>
      <c r="AE1198" s="6">
        <v>19639</v>
      </c>
      <c r="AF1198" s="6">
        <v>35719</v>
      </c>
    </row>
    <row r="1199" spans="1:32" x14ac:dyDescent="0.35">
      <c r="A1199" s="1">
        <v>45938</v>
      </c>
      <c r="B1199" s="6">
        <v>6590815</v>
      </c>
      <c r="C1199" s="6">
        <v>11037</v>
      </c>
      <c r="D1199" s="6">
        <v>15200</v>
      </c>
      <c r="E1199" s="6">
        <v>1479</v>
      </c>
      <c r="F1199" s="6">
        <v>6500233</v>
      </c>
      <c r="G1199" s="6">
        <v>6284989</v>
      </c>
      <c r="H1199" s="6">
        <v>4196659</v>
      </c>
      <c r="I1199" s="6">
        <v>195493</v>
      </c>
      <c r="J1199" s="6">
        <v>3578675</v>
      </c>
      <c r="K1199" s="6">
        <v>310501</v>
      </c>
      <c r="L1199" s="6">
        <v>111989</v>
      </c>
      <c r="M1199" s="6">
        <v>33916</v>
      </c>
      <c r="N1199" s="6">
        <v>187121</v>
      </c>
      <c r="O1199" s="6">
        <v>467883</v>
      </c>
      <c r="P1199" s="6">
        <v>1414768</v>
      </c>
      <c r="Q1199" s="6">
        <v>506004</v>
      </c>
      <c r="R1199" s="6">
        <v>1586967</v>
      </c>
      <c r="S1199" s="6">
        <v>2347</v>
      </c>
      <c r="T1199" s="6">
        <v>2085983</v>
      </c>
      <c r="U1199" s="6">
        <v>230215</v>
      </c>
      <c r="V1199" s="6">
        <v>-23432</v>
      </c>
      <c r="W1199" s="6">
        <v>2098</v>
      </c>
      <c r="X1199" s="6">
        <v>6363</v>
      </c>
      <c r="Y1199" s="6">
        <v>4166</v>
      </c>
      <c r="Z1199" s="6"/>
      <c r="AA1199" s="6"/>
      <c r="AB1199" s="6">
        <v>71</v>
      </c>
      <c r="AC1199" s="6">
        <v>586</v>
      </c>
      <c r="AD1199" s="6">
        <v>45</v>
      </c>
      <c r="AE1199" s="6">
        <v>19278</v>
      </c>
      <c r="AF1199" s="6">
        <v>38721</v>
      </c>
    </row>
    <row r="1200" spans="1:32" x14ac:dyDescent="0.35">
      <c r="A1200" s="1">
        <v>45945</v>
      </c>
      <c r="B1200" s="6">
        <v>6596454</v>
      </c>
      <c r="C1200" s="6">
        <v>11037</v>
      </c>
      <c r="D1200" s="6">
        <v>15200</v>
      </c>
      <c r="E1200" s="6">
        <v>1473</v>
      </c>
      <c r="F1200" s="6">
        <v>6503975</v>
      </c>
      <c r="G1200" s="6">
        <v>6284613</v>
      </c>
      <c r="H1200" s="6">
        <v>4196270</v>
      </c>
      <c r="I1200" s="6">
        <v>195493</v>
      </c>
      <c r="J1200" s="6">
        <v>3580884</v>
      </c>
      <c r="K1200" s="6">
        <v>308198</v>
      </c>
      <c r="L1200" s="6">
        <v>111695</v>
      </c>
      <c r="M1200" s="6">
        <v>36103</v>
      </c>
      <c r="N1200" s="6">
        <v>182578</v>
      </c>
      <c r="O1200" s="6">
        <v>470144</v>
      </c>
      <c r="P1200" s="6">
        <v>1413223</v>
      </c>
      <c r="Q1200" s="6">
        <v>506755</v>
      </c>
      <c r="R1200" s="6">
        <v>1587466</v>
      </c>
      <c r="S1200" s="6">
        <v>2347</v>
      </c>
      <c r="T1200" s="6">
        <v>2085996</v>
      </c>
      <c r="U1200" s="6">
        <v>229840</v>
      </c>
      <c r="V1200" s="6">
        <v>-23371</v>
      </c>
      <c r="W1200" s="6">
        <v>6751</v>
      </c>
      <c r="X1200" s="6">
        <v>6142</v>
      </c>
      <c r="Y1200" s="6">
        <v>3976</v>
      </c>
      <c r="Z1200" s="6"/>
      <c r="AA1200" s="6"/>
      <c r="AB1200" s="6">
        <v>74</v>
      </c>
      <c r="AC1200" s="6">
        <v>591</v>
      </c>
      <c r="AD1200" s="6">
        <v>30</v>
      </c>
      <c r="AE1200" s="6">
        <v>19382</v>
      </c>
      <c r="AF1200" s="6">
        <v>40717</v>
      </c>
    </row>
    <row r="1201" spans="1:32" x14ac:dyDescent="0.35">
      <c r="A1201" s="1">
        <v>45952</v>
      </c>
      <c r="B1201" s="6">
        <v>6589533</v>
      </c>
      <c r="C1201" s="6">
        <v>11037</v>
      </c>
      <c r="D1201" s="6">
        <v>15200</v>
      </c>
      <c r="E1201" s="6">
        <v>1469</v>
      </c>
      <c r="F1201" s="6">
        <v>6494974</v>
      </c>
      <c r="G1201" s="6">
        <v>6281420</v>
      </c>
      <c r="H1201" s="6">
        <v>4196467</v>
      </c>
      <c r="I1201" s="6">
        <v>195493</v>
      </c>
      <c r="J1201" s="6">
        <v>3580809</v>
      </c>
      <c r="K1201" s="6">
        <v>308198</v>
      </c>
      <c r="L1201" s="6">
        <v>111967</v>
      </c>
      <c r="M1201" s="6">
        <v>58840</v>
      </c>
      <c r="N1201" s="6">
        <v>194818</v>
      </c>
      <c r="O1201" s="6">
        <v>435211</v>
      </c>
      <c r="P1201" s="6">
        <v>1413258</v>
      </c>
      <c r="Q1201" s="6">
        <v>506782</v>
      </c>
      <c r="R1201" s="6">
        <v>1587557</v>
      </c>
      <c r="S1201" s="6">
        <v>2347</v>
      </c>
      <c r="T1201" s="6">
        <v>2082606</v>
      </c>
      <c r="U1201" s="6">
        <v>229357</v>
      </c>
      <c r="V1201" s="6">
        <v>-23272</v>
      </c>
      <c r="W1201" s="6">
        <v>1</v>
      </c>
      <c r="X1201" s="6">
        <v>7468</v>
      </c>
      <c r="Y1201" s="6">
        <v>3980</v>
      </c>
      <c r="Z1201" s="6"/>
      <c r="AA1201" s="6"/>
      <c r="AB1201" s="6">
        <v>69</v>
      </c>
      <c r="AC1201" s="6">
        <v>632</v>
      </c>
      <c r="AD1201" s="6">
        <v>37</v>
      </c>
      <c r="AE1201" s="6">
        <v>19334</v>
      </c>
      <c r="AF1201" s="6">
        <v>42801</v>
      </c>
    </row>
    <row r="1202" spans="1:32" x14ac:dyDescent="0.35">
      <c r="A1202" s="1">
        <v>45959</v>
      </c>
      <c r="B1202" s="6">
        <v>6587034</v>
      </c>
      <c r="C1202" s="6">
        <v>11037</v>
      </c>
      <c r="D1202" s="6">
        <v>15200</v>
      </c>
      <c r="E1202" s="6">
        <v>1466</v>
      </c>
      <c r="F1202" s="6">
        <v>6492938</v>
      </c>
      <c r="G1202" s="6">
        <v>6269049</v>
      </c>
      <c r="H1202" s="6">
        <v>4196739</v>
      </c>
      <c r="I1202" s="6">
        <v>195493</v>
      </c>
      <c r="J1202" s="6">
        <v>3580809</v>
      </c>
      <c r="K1202" s="6">
        <v>308198</v>
      </c>
      <c r="L1202" s="6">
        <v>112239</v>
      </c>
      <c r="M1202" s="6">
        <v>66333</v>
      </c>
      <c r="N1202" s="6">
        <v>190102</v>
      </c>
      <c r="O1202" s="6">
        <v>432478</v>
      </c>
      <c r="P1202" s="6">
        <v>1413369</v>
      </c>
      <c r="Q1202" s="6">
        <v>506810</v>
      </c>
      <c r="R1202" s="6">
        <v>1587647</v>
      </c>
      <c r="S1202" s="6">
        <v>2347</v>
      </c>
      <c r="T1202" s="6">
        <v>2069963</v>
      </c>
      <c r="U1202" s="6">
        <v>228737</v>
      </c>
      <c r="V1202" s="6">
        <v>-23166</v>
      </c>
      <c r="W1202" s="6">
        <v>10311</v>
      </c>
      <c r="X1202" s="6">
        <v>8007</v>
      </c>
      <c r="Y1202" s="6">
        <v>3834</v>
      </c>
      <c r="Z1202" s="6"/>
      <c r="AA1202" s="6"/>
      <c r="AB1202" s="6">
        <v>84</v>
      </c>
      <c r="AC1202" s="6">
        <v>637</v>
      </c>
      <c r="AD1202" s="6">
        <v>26</v>
      </c>
      <c r="AE1202" s="6">
        <v>19393</v>
      </c>
      <c r="AF1202" s="6">
        <v>42419</v>
      </c>
    </row>
    <row r="1203" spans="1:32" x14ac:dyDescent="0.35">
      <c r="A1203" s="1">
        <v>45966</v>
      </c>
      <c r="B1203" s="6">
        <v>6572732</v>
      </c>
      <c r="C1203" s="6">
        <v>11037</v>
      </c>
      <c r="D1203" s="6">
        <v>15200</v>
      </c>
      <c r="E1203" s="6">
        <v>1466</v>
      </c>
      <c r="F1203" s="6">
        <v>6477536</v>
      </c>
      <c r="G1203" s="6">
        <v>6265053</v>
      </c>
      <c r="H1203" s="6">
        <v>4192743</v>
      </c>
      <c r="I1203" s="6">
        <v>195493</v>
      </c>
      <c r="J1203" s="6">
        <v>3575029</v>
      </c>
      <c r="K1203" s="6">
        <v>309716</v>
      </c>
      <c r="L1203" s="6">
        <v>112505</v>
      </c>
      <c r="M1203" s="6">
        <v>64414</v>
      </c>
      <c r="N1203" s="6">
        <v>186371</v>
      </c>
      <c r="O1203" s="6">
        <v>443029</v>
      </c>
      <c r="P1203" s="6">
        <v>1401005</v>
      </c>
      <c r="Q1203" s="6">
        <v>509362</v>
      </c>
      <c r="R1203" s="6">
        <v>1588561</v>
      </c>
      <c r="S1203" s="6">
        <v>2347</v>
      </c>
      <c r="T1203" s="6">
        <v>2069963</v>
      </c>
      <c r="U1203" s="6">
        <v>228395</v>
      </c>
      <c r="V1203" s="6">
        <v>-23243</v>
      </c>
      <c r="W1203" s="6">
        <v>102</v>
      </c>
      <c r="X1203" s="6">
        <v>7230</v>
      </c>
      <c r="Y1203" s="6">
        <v>3839</v>
      </c>
      <c r="Z1203" s="6"/>
      <c r="AA1203" s="6"/>
      <c r="AB1203" s="6">
        <v>103</v>
      </c>
      <c r="AC1203" s="6">
        <v>616</v>
      </c>
      <c r="AD1203" s="6">
        <v>86</v>
      </c>
      <c r="AE1203" s="6">
        <v>19108</v>
      </c>
      <c r="AF1203" s="6">
        <v>43742</v>
      </c>
    </row>
    <row r="1204" spans="1:32" x14ac:dyDescent="0.35">
      <c r="A1204" s="1">
        <v>45973</v>
      </c>
      <c r="B1204" s="6">
        <v>6580462</v>
      </c>
      <c r="C1204" s="6">
        <v>11037</v>
      </c>
      <c r="D1204" s="6">
        <v>15200</v>
      </c>
      <c r="E1204" s="6">
        <v>1464</v>
      </c>
      <c r="F1204" s="6">
        <v>6482129</v>
      </c>
      <c r="G1204" s="6">
        <v>6265303</v>
      </c>
      <c r="H1204" s="6">
        <v>4192993</v>
      </c>
      <c r="I1204" s="6">
        <v>195493</v>
      </c>
      <c r="J1204" s="6">
        <v>3575029</v>
      </c>
      <c r="K1204" s="6">
        <v>309716</v>
      </c>
      <c r="L1204" s="6">
        <v>112756</v>
      </c>
      <c r="M1204" s="6">
        <v>52227</v>
      </c>
      <c r="N1204" s="6">
        <v>199016</v>
      </c>
      <c r="O1204" s="6">
        <v>442612</v>
      </c>
      <c r="P1204" s="6">
        <v>1401107</v>
      </c>
      <c r="Q1204" s="6">
        <v>509387</v>
      </c>
      <c r="R1204" s="6">
        <v>1588644</v>
      </c>
      <c r="S1204" s="6">
        <v>2347</v>
      </c>
      <c r="T1204" s="6">
        <v>2069963</v>
      </c>
      <c r="U1204" s="6">
        <v>228058</v>
      </c>
      <c r="V1204" s="6">
        <v>-23188</v>
      </c>
      <c r="W1204" s="6">
        <v>6052</v>
      </c>
      <c r="X1204" s="6">
        <v>5904</v>
      </c>
      <c r="Y1204" s="6">
        <v>3845</v>
      </c>
      <c r="Z1204" s="6"/>
      <c r="AA1204" s="6"/>
      <c r="AB1204" s="6">
        <v>177</v>
      </c>
      <c r="AC1204" s="6">
        <v>617</v>
      </c>
      <c r="AD1204" s="6">
        <v>31</v>
      </c>
      <c r="AE1204" s="6">
        <v>19215</v>
      </c>
      <c r="AF1204" s="6">
        <v>46747</v>
      </c>
    </row>
    <row r="1205" spans="1:32" x14ac:dyDescent="0.35">
      <c r="A1205" s="1">
        <v>45980</v>
      </c>
      <c r="B1205" s="6">
        <v>6555283</v>
      </c>
      <c r="C1205" s="6">
        <v>11037</v>
      </c>
      <c r="D1205" s="6">
        <v>15200</v>
      </c>
      <c r="E1205" s="6">
        <v>1460</v>
      </c>
      <c r="F1205" s="6">
        <v>6473771</v>
      </c>
      <c r="G1205" s="6">
        <v>6263192</v>
      </c>
      <c r="H1205" s="6">
        <v>4190939</v>
      </c>
      <c r="I1205" s="6">
        <v>195493</v>
      </c>
      <c r="J1205" s="6">
        <v>3572723</v>
      </c>
      <c r="K1205" s="6">
        <v>309716</v>
      </c>
      <c r="L1205" s="6">
        <v>113006</v>
      </c>
      <c r="M1205" s="6">
        <v>59709</v>
      </c>
      <c r="N1205" s="6">
        <v>205280</v>
      </c>
      <c r="O1205" s="6">
        <v>432488</v>
      </c>
      <c r="P1205" s="6">
        <v>1409816</v>
      </c>
      <c r="Q1205" s="6">
        <v>491025</v>
      </c>
      <c r="R1205" s="6">
        <v>1592621</v>
      </c>
      <c r="S1205" s="6">
        <v>2347</v>
      </c>
      <c r="T1205" s="6">
        <v>2069907</v>
      </c>
      <c r="U1205" s="6">
        <v>227683</v>
      </c>
      <c r="V1205" s="6">
        <v>-23282</v>
      </c>
      <c r="W1205" s="6">
        <v>6</v>
      </c>
      <c r="X1205" s="6">
        <v>6172</v>
      </c>
      <c r="Y1205" s="6">
        <v>3659</v>
      </c>
      <c r="Z1205" s="6"/>
      <c r="AA1205" s="6"/>
      <c r="AB1205" s="6">
        <v>97</v>
      </c>
      <c r="AC1205" s="6">
        <v>622</v>
      </c>
      <c r="AD1205" s="6">
        <v>47</v>
      </c>
      <c r="AE1205" s="6">
        <v>19088</v>
      </c>
      <c r="AF1205" s="6">
        <v>30302</v>
      </c>
    </row>
    <row r="1206" spans="1:32" x14ac:dyDescent="0.35">
      <c r="A1206" s="1">
        <v>45987</v>
      </c>
      <c r="B1206" s="6">
        <v>6552419</v>
      </c>
      <c r="C1206" s="6">
        <v>11037</v>
      </c>
      <c r="D1206" s="6">
        <v>15200</v>
      </c>
      <c r="E1206" s="6">
        <v>1458</v>
      </c>
      <c r="F1206" s="6">
        <v>6472812</v>
      </c>
      <c r="G1206" s="6">
        <v>6247237</v>
      </c>
      <c r="H1206" s="6">
        <v>4191225</v>
      </c>
      <c r="I1206" s="6">
        <v>195493</v>
      </c>
      <c r="J1206" s="6">
        <v>3572723</v>
      </c>
      <c r="K1206" s="6">
        <v>309716</v>
      </c>
      <c r="L1206" s="6">
        <v>113292</v>
      </c>
      <c r="M1206" s="6">
        <v>57441</v>
      </c>
      <c r="N1206" s="6">
        <v>209782</v>
      </c>
      <c r="O1206" s="6">
        <v>430300</v>
      </c>
      <c r="P1206" s="6">
        <v>1409933</v>
      </c>
      <c r="Q1206" s="6">
        <v>491053</v>
      </c>
      <c r="R1206" s="6">
        <v>1592716</v>
      </c>
      <c r="S1206" s="6">
        <v>2347</v>
      </c>
      <c r="T1206" s="6">
        <v>2053665</v>
      </c>
      <c r="U1206" s="6">
        <v>226893</v>
      </c>
      <c r="V1206" s="6">
        <v>-23193</v>
      </c>
      <c r="W1206" s="6">
        <v>14000</v>
      </c>
      <c r="X1206" s="6">
        <v>7876</v>
      </c>
      <c r="Y1206" s="6">
        <v>2458</v>
      </c>
      <c r="Z1206" s="6"/>
      <c r="AA1206" s="6"/>
      <c r="AB1206" s="6">
        <v>135</v>
      </c>
      <c r="AC1206" s="6">
        <v>639</v>
      </c>
      <c r="AD1206" s="6">
        <v>46</v>
      </c>
      <c r="AE1206" s="6">
        <v>19157</v>
      </c>
      <c r="AF1206" s="6">
        <v>29477</v>
      </c>
    </row>
    <row r="1207" spans="1:32" x14ac:dyDescent="0.35">
      <c r="A1207" s="1">
        <v>45994</v>
      </c>
      <c r="B1207" s="6">
        <v>6535781</v>
      </c>
      <c r="C1207" s="6">
        <v>11037</v>
      </c>
      <c r="D1207" s="6">
        <v>15200</v>
      </c>
      <c r="E1207" s="6">
        <v>1450</v>
      </c>
      <c r="F1207" s="6">
        <v>6455898</v>
      </c>
      <c r="G1207" s="6">
        <v>6244751</v>
      </c>
      <c r="H1207" s="6">
        <v>4188739</v>
      </c>
      <c r="I1207" s="6">
        <v>195493</v>
      </c>
      <c r="J1207" s="6">
        <v>3570029</v>
      </c>
      <c r="K1207" s="6">
        <v>309716</v>
      </c>
      <c r="L1207" s="6">
        <v>113501</v>
      </c>
      <c r="M1207" s="6">
        <v>26547</v>
      </c>
      <c r="N1207" s="6">
        <v>236375</v>
      </c>
      <c r="O1207" s="6">
        <v>431655</v>
      </c>
      <c r="P1207" s="6">
        <v>1403892</v>
      </c>
      <c r="Q1207" s="6">
        <v>495654</v>
      </c>
      <c r="R1207" s="6">
        <v>1594615</v>
      </c>
      <c r="S1207" s="6">
        <v>2347</v>
      </c>
      <c r="T1207" s="6">
        <v>2053665</v>
      </c>
      <c r="U1207" s="6">
        <v>226573</v>
      </c>
      <c r="V1207" s="6">
        <v>-23342</v>
      </c>
      <c r="W1207" s="6">
        <v>1</v>
      </c>
      <c r="X1207" s="6">
        <v>7915</v>
      </c>
      <c r="Y1207" s="6">
        <v>2461</v>
      </c>
      <c r="Z1207" s="6"/>
      <c r="AA1207" s="6"/>
      <c r="AB1207" s="6">
        <v>112</v>
      </c>
      <c r="AC1207" s="6">
        <v>614</v>
      </c>
      <c r="AD1207" s="6">
        <v>29</v>
      </c>
      <c r="AE1207" s="6">
        <v>19288</v>
      </c>
      <c r="AF1207" s="6">
        <v>29693</v>
      </c>
    </row>
    <row r="1208" spans="1:32" x14ac:dyDescent="0.35">
      <c r="A1208" s="1">
        <v>46001</v>
      </c>
      <c r="B1208" s="6">
        <v>6539303</v>
      </c>
      <c r="C1208" s="6">
        <v>11037</v>
      </c>
      <c r="D1208" s="6">
        <v>15200</v>
      </c>
      <c r="E1208" s="6">
        <v>1469</v>
      </c>
      <c r="F1208" s="6">
        <v>6456407</v>
      </c>
      <c r="G1208" s="6">
        <v>6244987</v>
      </c>
      <c r="H1208" s="6">
        <v>4188975</v>
      </c>
      <c r="I1208" s="6">
        <v>195493</v>
      </c>
      <c r="J1208" s="6">
        <v>3570029</v>
      </c>
      <c r="K1208" s="6">
        <v>309716</v>
      </c>
      <c r="L1208" s="6">
        <v>113737</v>
      </c>
      <c r="M1208" s="6">
        <v>20134</v>
      </c>
      <c r="N1208" s="6">
        <v>242177</v>
      </c>
      <c r="O1208" s="6">
        <v>432304</v>
      </c>
      <c r="P1208" s="6">
        <v>1403989</v>
      </c>
      <c r="Q1208" s="6">
        <v>495678</v>
      </c>
      <c r="R1208" s="6">
        <v>1594693</v>
      </c>
      <c r="S1208" s="6">
        <v>2347</v>
      </c>
      <c r="T1208" s="6">
        <v>2053665</v>
      </c>
      <c r="U1208" s="6">
        <v>226237</v>
      </c>
      <c r="V1208" s="6">
        <v>-23235</v>
      </c>
      <c r="W1208" s="6">
        <v>2</v>
      </c>
      <c r="X1208" s="6">
        <v>8416</v>
      </c>
      <c r="Y1208" s="6">
        <v>2464</v>
      </c>
      <c r="Z1208" s="6"/>
      <c r="AA1208" s="6"/>
      <c r="AB1208" s="6">
        <v>53</v>
      </c>
      <c r="AC1208" s="6">
        <v>630</v>
      </c>
      <c r="AD1208" s="6">
        <v>24</v>
      </c>
      <c r="AE1208" s="6">
        <v>19236</v>
      </c>
      <c r="AF1208" s="6">
        <v>32782</v>
      </c>
    </row>
    <row r="1209" spans="1:32" x14ac:dyDescent="0.35">
      <c r="A1209" s="1">
        <v>46008</v>
      </c>
      <c r="B1209" s="6">
        <v>6556861</v>
      </c>
      <c r="C1209" s="6">
        <v>11037</v>
      </c>
      <c r="D1209" s="6">
        <v>15200</v>
      </c>
      <c r="E1209" s="6">
        <v>1479</v>
      </c>
      <c r="F1209" s="6">
        <v>6471434</v>
      </c>
      <c r="G1209" s="6">
        <v>6260003</v>
      </c>
      <c r="H1209" s="6">
        <v>4204179</v>
      </c>
      <c r="I1209" s="6">
        <v>210461</v>
      </c>
      <c r="J1209" s="6">
        <v>3570029</v>
      </c>
      <c r="K1209" s="6">
        <v>309716</v>
      </c>
      <c r="L1209" s="6">
        <v>113974</v>
      </c>
      <c r="M1209" s="6">
        <v>46618</v>
      </c>
      <c r="N1209" s="6">
        <v>222451</v>
      </c>
      <c r="O1209" s="6">
        <v>440553</v>
      </c>
      <c r="P1209" s="6">
        <v>1404085</v>
      </c>
      <c r="Q1209" s="6">
        <v>495701</v>
      </c>
      <c r="R1209" s="6">
        <v>1594772</v>
      </c>
      <c r="S1209" s="6">
        <v>2347</v>
      </c>
      <c r="T1209" s="6">
        <v>2053476</v>
      </c>
      <c r="U1209" s="6">
        <v>225863</v>
      </c>
      <c r="V1209" s="6">
        <v>-23371</v>
      </c>
      <c r="W1209" s="6">
        <v>2</v>
      </c>
      <c r="X1209" s="6">
        <v>8938</v>
      </c>
      <c r="Y1209" s="6">
        <v>2087</v>
      </c>
      <c r="Z1209" s="6"/>
      <c r="AA1209" s="6"/>
      <c r="AB1209" s="6">
        <v>64</v>
      </c>
      <c r="AC1209" s="6">
        <v>641</v>
      </c>
      <c r="AD1209" s="6">
        <v>89</v>
      </c>
      <c r="AE1209" s="6">
        <v>19382</v>
      </c>
      <c r="AF1209" s="6">
        <v>35449</v>
      </c>
    </row>
    <row r="1210" spans="1:32" x14ac:dyDescent="0.35">
      <c r="A1210" s="1">
        <v>46015</v>
      </c>
      <c r="B1210" s="6">
        <v>6581231</v>
      </c>
      <c r="C1210" s="6">
        <v>11037</v>
      </c>
      <c r="D1210" s="6">
        <v>15200</v>
      </c>
      <c r="E1210" s="6">
        <v>1480</v>
      </c>
      <c r="F1210" s="6">
        <v>6492768</v>
      </c>
      <c r="G1210" s="6">
        <v>6280502</v>
      </c>
      <c r="H1210" s="6">
        <v>4227581</v>
      </c>
      <c r="I1210" s="6">
        <v>233592</v>
      </c>
      <c r="J1210" s="6">
        <v>3570029</v>
      </c>
      <c r="K1210" s="6">
        <v>309716</v>
      </c>
      <c r="L1210" s="6">
        <v>114244</v>
      </c>
      <c r="M1210" s="6">
        <v>64564</v>
      </c>
      <c r="N1210" s="6">
        <v>219127</v>
      </c>
      <c r="O1210" s="6">
        <v>449104</v>
      </c>
      <c r="P1210" s="6">
        <v>1404196</v>
      </c>
      <c r="Q1210" s="6">
        <v>495728</v>
      </c>
      <c r="R1210" s="6">
        <v>1594861</v>
      </c>
      <c r="S1210" s="6">
        <v>2347</v>
      </c>
      <c r="T1210" s="6">
        <v>2050575</v>
      </c>
      <c r="U1210" s="6">
        <v>225346</v>
      </c>
      <c r="V1210" s="6">
        <v>-23528</v>
      </c>
      <c r="W1210" s="6">
        <v>503</v>
      </c>
      <c r="X1210" s="6">
        <v>9945</v>
      </c>
      <c r="Y1210" s="6">
        <v>2089</v>
      </c>
      <c r="Z1210" s="6"/>
      <c r="AA1210" s="6"/>
      <c r="AB1210" s="6">
        <v>87</v>
      </c>
      <c r="AC1210" s="6">
        <v>642</v>
      </c>
      <c r="AD1210" s="6">
        <v>481</v>
      </c>
      <c r="AE1210" s="6">
        <v>19416</v>
      </c>
      <c r="AF1210" s="6">
        <v>38031</v>
      </c>
    </row>
    <row r="1211" spans="1:32" x14ac:dyDescent="0.35">
      <c r="A1211" s="1">
        <v>46022</v>
      </c>
      <c r="B1211" s="6">
        <v>6640618</v>
      </c>
      <c r="C1211" s="6">
        <v>11037</v>
      </c>
      <c r="D1211" s="6">
        <v>15200</v>
      </c>
      <c r="E1211" s="6">
        <v>1481</v>
      </c>
      <c r="F1211" s="6">
        <v>6554664</v>
      </c>
      <c r="G1211" s="6">
        <v>6269171</v>
      </c>
      <c r="H1211" s="6">
        <v>4227801</v>
      </c>
      <c r="I1211" s="6">
        <v>233592</v>
      </c>
      <c r="J1211" s="6">
        <v>3567471</v>
      </c>
      <c r="K1211" s="6">
        <v>312274</v>
      </c>
      <c r="L1211" s="6">
        <v>114464</v>
      </c>
      <c r="M1211" s="6">
        <v>70296</v>
      </c>
      <c r="N1211" s="6">
        <v>209307</v>
      </c>
      <c r="O1211" s="6">
        <v>450169</v>
      </c>
      <c r="P1211" s="6">
        <v>1401276</v>
      </c>
      <c r="Q1211" s="6">
        <v>500438</v>
      </c>
      <c r="R1211" s="6">
        <v>1596314</v>
      </c>
      <c r="S1211" s="6">
        <v>2347</v>
      </c>
      <c r="T1211" s="6">
        <v>2039024</v>
      </c>
      <c r="U1211" s="6">
        <v>224800</v>
      </c>
      <c r="V1211" s="6">
        <v>-23647</v>
      </c>
      <c r="W1211" s="6">
        <v>74600</v>
      </c>
      <c r="X1211" s="6">
        <v>9740</v>
      </c>
      <c r="Y1211" s="6">
        <v>1612</v>
      </c>
      <c r="Z1211" s="6"/>
      <c r="AA1211" s="6"/>
      <c r="AB1211" s="6">
        <v>92</v>
      </c>
      <c r="AC1211" s="6">
        <v>667</v>
      </c>
      <c r="AD1211" s="6">
        <v>481</v>
      </c>
      <c r="AE1211" s="6">
        <v>19480</v>
      </c>
      <c r="AF1211" s="6">
        <v>35905</v>
      </c>
    </row>
    <row r="1212" spans="1:32" x14ac:dyDescent="0.35">
      <c r="A1212" s="1">
        <v>46029</v>
      </c>
      <c r="B1212" s="6">
        <v>6573602</v>
      </c>
      <c r="C1212" s="6">
        <v>11037</v>
      </c>
      <c r="D1212" s="6">
        <v>15200</v>
      </c>
      <c r="E1212" s="6">
        <v>1484</v>
      </c>
      <c r="F1212" s="6">
        <v>6484922</v>
      </c>
      <c r="G1212" s="6">
        <v>6276897</v>
      </c>
      <c r="H1212" s="6">
        <v>4235527</v>
      </c>
      <c r="I1212" s="6">
        <v>241757</v>
      </c>
      <c r="J1212" s="6">
        <v>3567471</v>
      </c>
      <c r="K1212" s="6">
        <v>312274</v>
      </c>
      <c r="L1212" s="6">
        <v>114025</v>
      </c>
      <c r="M1212" s="6">
        <v>69223</v>
      </c>
      <c r="N1212" s="6">
        <v>214862</v>
      </c>
      <c r="O1212" s="6">
        <v>453783</v>
      </c>
      <c r="P1212" s="6">
        <v>1401095</v>
      </c>
      <c r="Q1212" s="6">
        <v>500394</v>
      </c>
      <c r="R1212" s="6">
        <v>1596170</v>
      </c>
      <c r="S1212" s="6">
        <v>2347</v>
      </c>
      <c r="T1212" s="6">
        <v>2039024</v>
      </c>
      <c r="U1212" s="6">
        <v>224393</v>
      </c>
      <c r="V1212" s="6">
        <v>-23654</v>
      </c>
      <c r="W1212" s="6">
        <v>0</v>
      </c>
      <c r="X1212" s="6">
        <v>7287</v>
      </c>
      <c r="Y1212" s="6">
        <v>1571</v>
      </c>
      <c r="Z1212" s="6"/>
      <c r="AA1212" s="6"/>
      <c r="AB1212" s="6">
        <v>73</v>
      </c>
      <c r="AC1212" s="6">
        <v>637</v>
      </c>
      <c r="AD1212" s="6">
        <v>481</v>
      </c>
      <c r="AE1212" s="6">
        <v>19290</v>
      </c>
      <c r="AF1212" s="6">
        <v>38908</v>
      </c>
    </row>
    <row r="1213" spans="1:32" x14ac:dyDescent="0.35">
      <c r="A1213" s="1">
        <v>46036</v>
      </c>
      <c r="B1213" s="6">
        <v>6581700</v>
      </c>
      <c r="C1213" s="6">
        <v>11037</v>
      </c>
      <c r="D1213" s="6">
        <v>15200</v>
      </c>
      <c r="E1213" s="6">
        <v>1513</v>
      </c>
      <c r="F1213" s="6">
        <v>6490433</v>
      </c>
      <c r="G1213" s="6">
        <v>6284624</v>
      </c>
      <c r="H1213" s="6">
        <v>4243253</v>
      </c>
      <c r="I1213" s="6">
        <v>249922</v>
      </c>
      <c r="J1213" s="6">
        <v>3567471</v>
      </c>
      <c r="K1213" s="6">
        <v>312274</v>
      </c>
      <c r="L1213" s="6">
        <v>113587</v>
      </c>
      <c r="M1213" s="6">
        <v>68778</v>
      </c>
      <c r="N1213" s="6">
        <v>222464</v>
      </c>
      <c r="O1213" s="6">
        <v>454722</v>
      </c>
      <c r="P1213" s="6">
        <v>1409619</v>
      </c>
      <c r="Q1213" s="6">
        <v>491646</v>
      </c>
      <c r="R1213" s="6">
        <v>1596025</v>
      </c>
      <c r="S1213" s="6">
        <v>2347</v>
      </c>
      <c r="T1213" s="6">
        <v>2039024</v>
      </c>
      <c r="U1213" s="6">
        <v>224020</v>
      </c>
      <c r="V1213" s="6">
        <v>-23643</v>
      </c>
      <c r="W1213" s="6">
        <v>1</v>
      </c>
      <c r="X1213" s="6">
        <v>5431</v>
      </c>
      <c r="Y1213" s="6">
        <v>1574</v>
      </c>
      <c r="Z1213" s="6"/>
      <c r="AA1213" s="6"/>
      <c r="AB1213" s="6">
        <v>65</v>
      </c>
      <c r="AC1213" s="6">
        <v>645</v>
      </c>
      <c r="AD1213" s="6">
        <v>122</v>
      </c>
      <c r="AE1213" s="6">
        <v>19202</v>
      </c>
      <c r="AF1213" s="6">
        <v>41909</v>
      </c>
    </row>
    <row r="1214" spans="1:32" x14ac:dyDescent="0.35">
      <c r="A1214" s="1">
        <v>46043</v>
      </c>
      <c r="B1214" s="6">
        <v>6584580</v>
      </c>
      <c r="C1214" s="6">
        <v>11037</v>
      </c>
      <c r="D1214" s="6">
        <v>15200</v>
      </c>
      <c r="E1214" s="6">
        <v>1538</v>
      </c>
      <c r="F1214" s="6">
        <v>6492410</v>
      </c>
      <c r="G1214" s="6">
        <v>6289343</v>
      </c>
      <c r="H1214" s="6">
        <v>4251156</v>
      </c>
      <c r="I1214" s="6">
        <v>258228</v>
      </c>
      <c r="J1214" s="6">
        <v>3602109</v>
      </c>
      <c r="K1214" s="6">
        <v>288706</v>
      </c>
      <c r="L1214" s="6">
        <v>102114</v>
      </c>
      <c r="M1214" s="6">
        <v>54133</v>
      </c>
      <c r="N1214" s="6">
        <v>226957</v>
      </c>
      <c r="O1214" s="6">
        <v>463982</v>
      </c>
      <c r="P1214" s="6">
        <v>1400837</v>
      </c>
      <c r="Q1214" s="6">
        <v>502964</v>
      </c>
      <c r="R1214" s="6">
        <v>1602284</v>
      </c>
      <c r="S1214" s="6">
        <v>2347</v>
      </c>
      <c r="T1214" s="6">
        <v>2035840</v>
      </c>
      <c r="U1214" s="6">
        <v>223523</v>
      </c>
      <c r="V1214" s="6">
        <v>-24015</v>
      </c>
      <c r="W1214" s="6">
        <v>1</v>
      </c>
      <c r="X1214" s="6">
        <v>3558</v>
      </c>
      <c r="Y1214" s="6">
        <v>1567</v>
      </c>
      <c r="Z1214" s="6"/>
      <c r="AA1214" s="6"/>
      <c r="AB1214" s="6">
        <v>118</v>
      </c>
      <c r="AC1214" s="6">
        <v>656</v>
      </c>
      <c r="AD1214" s="6">
        <v>79</v>
      </c>
      <c r="AE1214" s="6">
        <v>19264</v>
      </c>
      <c r="AF1214" s="6">
        <v>42711</v>
      </c>
    </row>
    <row r="1215" spans="1:32" x14ac:dyDescent="0.35">
      <c r="A1215" s="1">
        <v>46050</v>
      </c>
      <c r="B1215" s="6">
        <v>6587568</v>
      </c>
      <c r="C1215" s="6">
        <v>11037</v>
      </c>
      <c r="D1215" s="6">
        <v>15200</v>
      </c>
      <c r="E1215" s="6">
        <v>1538</v>
      </c>
      <c r="F1215" s="6">
        <v>6495292</v>
      </c>
      <c r="G1215" s="6">
        <v>6292034</v>
      </c>
      <c r="H1215" s="6">
        <v>4265977</v>
      </c>
      <c r="I1215" s="6">
        <v>273452</v>
      </c>
      <c r="J1215" s="6">
        <v>3602109</v>
      </c>
      <c r="K1215" s="6">
        <v>288706</v>
      </c>
      <c r="L1215" s="6">
        <v>101711</v>
      </c>
      <c r="M1215" s="6">
        <v>56032</v>
      </c>
      <c r="N1215" s="6">
        <v>228507</v>
      </c>
      <c r="O1215" s="6">
        <v>475696</v>
      </c>
      <c r="P1215" s="6">
        <v>1400674</v>
      </c>
      <c r="Q1215" s="6">
        <v>502929</v>
      </c>
      <c r="R1215" s="6">
        <v>1602139</v>
      </c>
      <c r="S1215" s="6">
        <v>2347</v>
      </c>
      <c r="T1215" s="6">
        <v>2023710</v>
      </c>
      <c r="U1215" s="6">
        <v>222886</v>
      </c>
      <c r="V1215" s="6">
        <v>-24210</v>
      </c>
      <c r="W1215" s="6">
        <v>6</v>
      </c>
      <c r="X1215" s="6">
        <v>4575</v>
      </c>
      <c r="Y1215" s="6">
        <v>1561</v>
      </c>
      <c r="Z1215" s="6"/>
      <c r="AA1215" s="6"/>
      <c r="AB1215" s="6">
        <v>82</v>
      </c>
      <c r="AC1215" s="6">
        <v>695</v>
      </c>
      <c r="AD1215" s="6">
        <v>32</v>
      </c>
      <c r="AE1215" s="6">
        <v>19715</v>
      </c>
      <c r="AF1215" s="6">
        <v>42415</v>
      </c>
    </row>
    <row r="1216" spans="1:32" x14ac:dyDescent="0.35">
      <c r="A1216" s="1">
        <v>46057</v>
      </c>
      <c r="B1216" s="6">
        <v>6605909</v>
      </c>
      <c r="C1216" s="6">
        <v>11037</v>
      </c>
      <c r="D1216" s="6">
        <v>15200</v>
      </c>
      <c r="E1216" s="6">
        <v>1549</v>
      </c>
      <c r="F1216" s="6">
        <v>6512730</v>
      </c>
      <c r="G1216" s="6">
        <v>6307075</v>
      </c>
      <c r="H1216" s="6">
        <v>4281018</v>
      </c>
      <c r="I1216" s="6">
        <v>288677</v>
      </c>
      <c r="J1216" s="6">
        <v>3602109</v>
      </c>
      <c r="K1216" s="6">
        <v>288706</v>
      </c>
      <c r="L1216" s="6">
        <v>101527</v>
      </c>
      <c r="M1216" s="6">
        <v>77391</v>
      </c>
      <c r="N1216" s="6">
        <v>229346</v>
      </c>
      <c r="O1216" s="6">
        <v>483170</v>
      </c>
      <c r="P1216" s="6">
        <v>1382108</v>
      </c>
      <c r="Q1216" s="6">
        <v>506014</v>
      </c>
      <c r="R1216" s="6">
        <v>1602989</v>
      </c>
      <c r="S1216" s="6">
        <v>2347</v>
      </c>
      <c r="T1216" s="6">
        <v>2023710</v>
      </c>
      <c r="U1216" s="6">
        <v>222503</v>
      </c>
      <c r="V1216" s="6">
        <v>-24422</v>
      </c>
      <c r="W1216" s="6">
        <v>3001</v>
      </c>
      <c r="X1216" s="6">
        <v>4573</v>
      </c>
      <c r="Y1216" s="6">
        <v>1323</v>
      </c>
      <c r="Z1216" s="6"/>
      <c r="AA1216" s="6"/>
      <c r="AB1216" s="6">
        <v>82</v>
      </c>
      <c r="AC1216" s="6">
        <v>642</v>
      </c>
      <c r="AD1216" s="6">
        <v>22</v>
      </c>
      <c r="AE1216" s="6">
        <v>19447</v>
      </c>
      <c r="AF1216" s="6">
        <v>43877</v>
      </c>
    </row>
    <row r="1217" spans="1:32" x14ac:dyDescent="0.35">
      <c r="A1217" s="1">
        <v>46064</v>
      </c>
      <c r="B1217" s="6">
        <v>6622382</v>
      </c>
      <c r="C1217" s="6">
        <v>11037</v>
      </c>
      <c r="D1217" s="6">
        <v>15200</v>
      </c>
      <c r="E1217" s="6">
        <v>1546</v>
      </c>
      <c r="F1217" s="6">
        <v>6525931</v>
      </c>
      <c r="G1217" s="6">
        <v>6323663</v>
      </c>
      <c r="H1217" s="6">
        <v>4297606</v>
      </c>
      <c r="I1217" s="6">
        <v>305285</v>
      </c>
      <c r="J1217" s="6">
        <v>3602109</v>
      </c>
      <c r="K1217" s="6">
        <v>288706</v>
      </c>
      <c r="L1217" s="6">
        <v>101506</v>
      </c>
      <c r="M1217" s="6">
        <v>75381</v>
      </c>
      <c r="N1217" s="6">
        <v>235562</v>
      </c>
      <c r="O1217" s="6">
        <v>495568</v>
      </c>
      <c r="P1217" s="6">
        <v>1382100</v>
      </c>
      <c r="Q1217" s="6">
        <v>506012</v>
      </c>
      <c r="R1217" s="6">
        <v>1602982</v>
      </c>
      <c r="S1217" s="6">
        <v>2347</v>
      </c>
      <c r="T1217" s="6">
        <v>2023710</v>
      </c>
      <c r="U1217" s="6">
        <v>222161</v>
      </c>
      <c r="V1217" s="6">
        <v>-24480</v>
      </c>
      <c r="W1217" s="6">
        <v>113</v>
      </c>
      <c r="X1217" s="6">
        <v>4474</v>
      </c>
      <c r="Y1217" s="6">
        <v>1324</v>
      </c>
      <c r="Z1217" s="6"/>
      <c r="AA1217" s="6"/>
      <c r="AB1217" s="6">
        <v>70</v>
      </c>
      <c r="AC1217" s="6">
        <v>646</v>
      </c>
      <c r="AD1217" s="6">
        <v>24</v>
      </c>
      <c r="AE1217" s="6">
        <v>19688</v>
      </c>
      <c r="AF1217" s="6">
        <v>46915</v>
      </c>
    </row>
    <row r="1218" spans="1:32" x14ac:dyDescent="0.35">
      <c r="A1218" s="1">
        <v>46071</v>
      </c>
      <c r="B1218" s="6">
        <v>6613395</v>
      </c>
      <c r="C1218" s="6">
        <v>11037</v>
      </c>
      <c r="D1218" s="6">
        <v>15200</v>
      </c>
      <c r="E1218" s="6">
        <v>1555</v>
      </c>
      <c r="F1218" s="6">
        <v>6533759</v>
      </c>
      <c r="G1218" s="6">
        <v>6331670</v>
      </c>
      <c r="H1218" s="6">
        <v>4305596</v>
      </c>
      <c r="I1218" s="6">
        <v>313296</v>
      </c>
      <c r="J1218" s="6">
        <v>3602109</v>
      </c>
      <c r="K1218" s="6">
        <v>288706</v>
      </c>
      <c r="L1218" s="6">
        <v>101486</v>
      </c>
      <c r="M1218" s="6">
        <v>61400</v>
      </c>
      <c r="N1218" s="6">
        <v>258173</v>
      </c>
      <c r="O1218" s="6">
        <v>490135</v>
      </c>
      <c r="P1218" s="6">
        <v>1411109</v>
      </c>
      <c r="Q1218" s="6">
        <v>492753</v>
      </c>
      <c r="R1218" s="6">
        <v>1592028</v>
      </c>
      <c r="S1218" s="6">
        <v>2347</v>
      </c>
      <c r="T1218" s="6">
        <v>2023727</v>
      </c>
      <c r="U1218" s="6">
        <v>221786</v>
      </c>
      <c r="V1218" s="6">
        <v>-24531</v>
      </c>
      <c r="W1218" s="6">
        <v>6</v>
      </c>
      <c r="X1218" s="6">
        <v>4828</v>
      </c>
      <c r="Y1218" s="6">
        <v>1322</v>
      </c>
      <c r="Z1218" s="6"/>
      <c r="AA1218" s="6"/>
      <c r="AB1218" s="6">
        <v>56</v>
      </c>
      <c r="AC1218" s="6">
        <v>664</v>
      </c>
      <c r="AD1218" s="6">
        <v>58</v>
      </c>
      <c r="AE1218" s="6">
        <v>19550</v>
      </c>
      <c r="AF1218" s="6">
        <v>30193</v>
      </c>
    </row>
    <row r="1219" spans="1:32" x14ac:dyDescent="0.35">
      <c r="A1219" s="1">
        <v>46078</v>
      </c>
      <c r="B1219" s="6">
        <v>6613797</v>
      </c>
      <c r="C1219" s="6">
        <v>11037</v>
      </c>
      <c r="D1219" s="6">
        <v>15200</v>
      </c>
      <c r="E1219" s="6">
        <v>1547</v>
      </c>
      <c r="F1219" s="6">
        <v>6535390</v>
      </c>
      <c r="G1219" s="6">
        <v>6334361</v>
      </c>
      <c r="H1219" s="6">
        <v>4321596</v>
      </c>
      <c r="I1219" s="6">
        <v>329316</v>
      </c>
      <c r="J1219" s="6">
        <v>3602109</v>
      </c>
      <c r="K1219" s="6">
        <v>288706</v>
      </c>
      <c r="L1219" s="6">
        <v>101466</v>
      </c>
      <c r="M1219" s="6">
        <v>62087</v>
      </c>
      <c r="N1219" s="6">
        <v>266868</v>
      </c>
      <c r="O1219" s="6">
        <v>496769</v>
      </c>
      <c r="P1219" s="6">
        <v>1411100</v>
      </c>
      <c r="Q1219" s="6">
        <v>492751</v>
      </c>
      <c r="R1219" s="6">
        <v>1592021</v>
      </c>
      <c r="S1219" s="6">
        <v>2347</v>
      </c>
      <c r="T1219" s="6">
        <v>2010418</v>
      </c>
      <c r="U1219" s="6">
        <v>221120</v>
      </c>
      <c r="V1219" s="6">
        <v>-24632</v>
      </c>
      <c r="W1219" s="6">
        <v>3</v>
      </c>
      <c r="X1219" s="6">
        <v>4537</v>
      </c>
      <c r="Y1219" s="6">
        <v>1323</v>
      </c>
      <c r="Z1219" s="6"/>
      <c r="AA1219" s="6"/>
      <c r="AB1219" s="6">
        <v>58</v>
      </c>
      <c r="AC1219" s="6">
        <v>676</v>
      </c>
      <c r="AD1219" s="6">
        <v>55</v>
      </c>
      <c r="AE1219" s="6">
        <v>19476</v>
      </c>
      <c r="AF1219" s="6">
        <v>29035</v>
      </c>
    </row>
    <row r="1220" spans="1:32" x14ac:dyDescent="0.35">
      <c r="A1220" s="1">
        <v>46085</v>
      </c>
      <c r="B1220" s="6">
        <v>6628894</v>
      </c>
      <c r="C1220" s="6">
        <v>11037</v>
      </c>
      <c r="D1220" s="6">
        <v>15200</v>
      </c>
      <c r="E1220" s="6">
        <v>1542</v>
      </c>
      <c r="F1220" s="6">
        <v>6550046</v>
      </c>
      <c r="G1220" s="6">
        <v>6349298</v>
      </c>
      <c r="H1220" s="6">
        <v>4336533</v>
      </c>
      <c r="I1220" s="6">
        <v>344076</v>
      </c>
      <c r="J1220" s="6">
        <v>3602109</v>
      </c>
      <c r="K1220" s="6">
        <v>288706</v>
      </c>
      <c r="L1220" s="6">
        <v>101643</v>
      </c>
      <c r="M1220" s="6">
        <v>50118</v>
      </c>
      <c r="N1220" s="6">
        <v>290108</v>
      </c>
      <c r="O1220" s="6">
        <v>515613</v>
      </c>
      <c r="P1220" s="6">
        <v>1390474</v>
      </c>
      <c r="Q1220" s="6">
        <v>496220</v>
      </c>
      <c r="R1220" s="6">
        <v>1594001</v>
      </c>
      <c r="S1220" s="6">
        <v>2347</v>
      </c>
      <c r="T1220" s="6">
        <v>2010418</v>
      </c>
      <c r="U1220" s="6">
        <v>220762</v>
      </c>
      <c r="V1220" s="6">
        <v>-24782</v>
      </c>
      <c r="W1220" s="6">
        <v>6</v>
      </c>
      <c r="X1220" s="6">
        <v>4762</v>
      </c>
      <c r="Y1220" s="6">
        <v>1324</v>
      </c>
      <c r="Z1220" s="6"/>
      <c r="AA1220" s="6"/>
      <c r="AB1220" s="6">
        <v>46</v>
      </c>
      <c r="AC1220" s="6">
        <v>664</v>
      </c>
      <c r="AD1220" s="6">
        <v>30</v>
      </c>
      <c r="AE1220" s="6">
        <v>19270</v>
      </c>
      <c r="AF1220" s="6">
        <v>29736</v>
      </c>
    </row>
    <row r="1221" spans="1:32" x14ac:dyDescent="0.35">
      <c r="A1221" s="1">
        <v>46092</v>
      </c>
      <c r="B1221" s="6">
        <v>6646344</v>
      </c>
      <c r="C1221" s="6">
        <v>11037</v>
      </c>
      <c r="D1221" s="6">
        <v>15200</v>
      </c>
      <c r="E1221" s="6">
        <v>1539</v>
      </c>
      <c r="F1221" s="6">
        <v>6564615</v>
      </c>
      <c r="G1221" s="6">
        <v>6364310</v>
      </c>
      <c r="H1221" s="6">
        <v>4351545</v>
      </c>
      <c r="I1221" s="6">
        <v>358762</v>
      </c>
      <c r="J1221" s="6">
        <v>3602109</v>
      </c>
      <c r="K1221" s="6">
        <v>288706</v>
      </c>
      <c r="L1221" s="6">
        <v>101968</v>
      </c>
      <c r="M1221" s="6">
        <v>54550</v>
      </c>
      <c r="N1221" s="6">
        <v>300460</v>
      </c>
      <c r="O1221" s="6">
        <v>515563</v>
      </c>
      <c r="P1221" s="6">
        <v>1390606</v>
      </c>
      <c r="Q1221" s="6">
        <v>496248</v>
      </c>
      <c r="R1221" s="6">
        <v>1594118</v>
      </c>
      <c r="S1221" s="6">
        <v>2347</v>
      </c>
      <c r="T1221" s="6">
        <v>2010418</v>
      </c>
      <c r="U1221" s="6">
        <v>220448</v>
      </c>
      <c r="V1221" s="6">
        <v>-24857</v>
      </c>
      <c r="W1221" s="6">
        <v>1</v>
      </c>
      <c r="X1221" s="6">
        <v>4714</v>
      </c>
      <c r="Y1221" s="6">
        <v>1325</v>
      </c>
      <c r="Z1221" s="6"/>
      <c r="AA1221" s="6"/>
      <c r="AB1221" s="6">
        <v>50</v>
      </c>
      <c r="AC1221" s="6">
        <v>666</v>
      </c>
      <c r="AD1221" s="6">
        <v>17</v>
      </c>
      <c r="AE1221" s="6">
        <v>19121</v>
      </c>
      <c r="AF1221" s="6">
        <v>32774</v>
      </c>
    </row>
    <row r="1222" spans="1:32" x14ac:dyDescent="0.35">
      <c r="A1222" s="1">
        <v>46099</v>
      </c>
      <c r="B1222" s="6">
        <v>6655939</v>
      </c>
      <c r="C1222" s="6">
        <v>11037</v>
      </c>
      <c r="D1222" s="6">
        <v>15200</v>
      </c>
      <c r="E1222" s="6">
        <v>1529</v>
      </c>
      <c r="F1222" s="6">
        <v>6571509</v>
      </c>
      <c r="G1222" s="6">
        <v>6371314</v>
      </c>
      <c r="H1222" s="6">
        <v>4358597</v>
      </c>
      <c r="I1222" s="6">
        <v>365488</v>
      </c>
      <c r="J1222" s="6">
        <v>3602109</v>
      </c>
      <c r="K1222" s="6">
        <v>288706</v>
      </c>
      <c r="L1222" s="6">
        <v>102294</v>
      </c>
      <c r="M1222" s="6">
        <v>76381</v>
      </c>
      <c r="N1222" s="6">
        <v>291434</v>
      </c>
      <c r="O1222" s="6">
        <v>509503</v>
      </c>
      <c r="P1222" s="6">
        <v>1390753</v>
      </c>
      <c r="Q1222" s="6">
        <v>496286</v>
      </c>
      <c r="R1222" s="6">
        <v>1594240</v>
      </c>
      <c r="S1222" s="6">
        <v>2347</v>
      </c>
      <c r="T1222" s="6">
        <v>2010370</v>
      </c>
      <c r="U1222" s="6">
        <v>220100</v>
      </c>
      <c r="V1222" s="6">
        <v>-24848</v>
      </c>
      <c r="W1222" s="6">
        <v>6</v>
      </c>
      <c r="X1222" s="6">
        <v>4937</v>
      </c>
      <c r="Y1222" s="6">
        <v>1325</v>
      </c>
      <c r="Z1222" s="6"/>
      <c r="AA1222" s="6"/>
      <c r="AB1222" s="6">
        <v>46</v>
      </c>
      <c r="AC1222" s="6">
        <v>670</v>
      </c>
      <c r="AD1222" s="6">
        <v>18</v>
      </c>
      <c r="AE1222" s="6">
        <v>19042</v>
      </c>
      <c r="AF1222" s="6">
        <v>35562</v>
      </c>
    </row>
    <row r="1223" spans="1:32" x14ac:dyDescent="0.35">
      <c r="A1223" s="1">
        <v>46106</v>
      </c>
      <c r="B1223" s="6">
        <v>6657161</v>
      </c>
      <c r="C1223" s="6">
        <v>11037</v>
      </c>
      <c r="D1223" s="6">
        <v>15200</v>
      </c>
      <c r="E1223" s="6">
        <v>1517</v>
      </c>
      <c r="F1223" s="6">
        <v>6573747</v>
      </c>
      <c r="G1223" s="6">
        <v>6374092</v>
      </c>
      <c r="H1223" s="6">
        <v>4375064</v>
      </c>
      <c r="I1223" s="6">
        <v>381630</v>
      </c>
      <c r="J1223" s="6">
        <v>3602109</v>
      </c>
      <c r="K1223" s="6">
        <v>288706</v>
      </c>
      <c r="L1223" s="6">
        <v>102620</v>
      </c>
      <c r="M1223" s="6">
        <v>68978</v>
      </c>
      <c r="N1223" s="6">
        <v>304017</v>
      </c>
      <c r="O1223" s="6">
        <v>520514</v>
      </c>
      <c r="P1223" s="6">
        <v>1390885</v>
      </c>
      <c r="Q1223" s="6">
        <v>496314</v>
      </c>
      <c r="R1223" s="6">
        <v>1594357</v>
      </c>
      <c r="S1223" s="6">
        <v>2347</v>
      </c>
      <c r="T1223" s="6">
        <v>1996680</v>
      </c>
      <c r="U1223" s="6">
        <v>219455</v>
      </c>
      <c r="V1223" s="6">
        <v>-25077</v>
      </c>
      <c r="W1223" s="6">
        <v>7</v>
      </c>
      <c r="X1223" s="6">
        <v>5271</v>
      </c>
      <c r="Y1223" s="6">
        <v>1325</v>
      </c>
      <c r="Z1223" s="6"/>
      <c r="AA1223" s="6"/>
      <c r="AB1223" s="6">
        <v>61</v>
      </c>
      <c r="AC1223" s="6">
        <v>674</v>
      </c>
      <c r="AD1223" s="6">
        <v>28</v>
      </c>
      <c r="AE1223" s="6">
        <v>19123</v>
      </c>
      <c r="AF1223" s="6">
        <v>34449</v>
      </c>
    </row>
    <row r="1224" spans="1:32" x14ac:dyDescent="0.35">
      <c r="A1224" s="1">
        <v>46113</v>
      </c>
      <c r="B1224" s="6">
        <v>6675344</v>
      </c>
      <c r="C1224" s="6">
        <v>11037</v>
      </c>
      <c r="D1224" s="6">
        <v>15200</v>
      </c>
      <c r="E1224" s="6">
        <v>1505</v>
      </c>
      <c r="F1224" s="6">
        <v>6589912</v>
      </c>
      <c r="G1224" s="6">
        <v>6389232</v>
      </c>
      <c r="H1224" s="6">
        <v>4390204</v>
      </c>
      <c r="I1224" s="6">
        <v>396427</v>
      </c>
      <c r="J1224" s="6">
        <v>3600145</v>
      </c>
      <c r="K1224" s="6">
        <v>290669</v>
      </c>
      <c r="L1224" s="6">
        <v>102963</v>
      </c>
      <c r="M1224" s="6">
        <v>66965</v>
      </c>
      <c r="N1224" s="6">
        <v>328018</v>
      </c>
      <c r="O1224" s="6">
        <v>516388</v>
      </c>
      <c r="P1224" s="6">
        <v>1380156</v>
      </c>
      <c r="Q1224" s="6">
        <v>502855</v>
      </c>
      <c r="R1224" s="6">
        <v>1595823</v>
      </c>
      <c r="S1224" s="6">
        <v>2347</v>
      </c>
      <c r="T1224" s="6">
        <v>1996680</v>
      </c>
      <c r="U1224" s="6">
        <v>219111</v>
      </c>
      <c r="V1224" s="6">
        <v>-25245</v>
      </c>
      <c r="W1224" s="6">
        <v>750</v>
      </c>
      <c r="X1224" s="6">
        <v>6064</v>
      </c>
      <c r="Y1224" s="6">
        <v>1331</v>
      </c>
      <c r="Z1224" s="6"/>
      <c r="AA1224" s="6"/>
      <c r="AB1224" s="6">
        <v>53</v>
      </c>
      <c r="AC1224" s="6">
        <v>655</v>
      </c>
      <c r="AD1224" s="6">
        <v>180</v>
      </c>
      <c r="AE1224" s="6">
        <v>19206</v>
      </c>
      <c r="AF1224" s="6">
        <v>36266</v>
      </c>
    </row>
    <row r="1225" spans="1:32" x14ac:dyDescent="0.35">
      <c r="A1225" s="1">
        <v>46120</v>
      </c>
      <c r="B1225" s="6">
        <v>6693871</v>
      </c>
      <c r="C1225" s="6">
        <v>11037</v>
      </c>
      <c r="D1225" s="6">
        <v>15200</v>
      </c>
      <c r="E1225" s="6">
        <v>1489</v>
      </c>
      <c r="F1225" s="6">
        <v>6605372</v>
      </c>
      <c r="G1225" s="6">
        <v>6405806</v>
      </c>
      <c r="H1225" s="6">
        <v>4406779</v>
      </c>
      <c r="I1225" s="6">
        <v>412569</v>
      </c>
      <c r="J1225" s="6">
        <v>3600145</v>
      </c>
      <c r="K1225" s="6">
        <v>290669</v>
      </c>
      <c r="L1225" s="6">
        <v>103395</v>
      </c>
      <c r="M1225" s="6">
        <v>70676</v>
      </c>
      <c r="N1225" s="6">
        <v>329923</v>
      </c>
      <c r="O1225" s="6">
        <v>526978</v>
      </c>
      <c r="P1225" s="6">
        <v>1380331</v>
      </c>
      <c r="Q1225" s="6">
        <v>502894</v>
      </c>
      <c r="R1225" s="6">
        <v>1595977</v>
      </c>
      <c r="S1225" s="6">
        <v>2347</v>
      </c>
      <c r="T1225" s="6">
        <v>1996680</v>
      </c>
      <c r="U1225" s="6">
        <v>218810</v>
      </c>
      <c r="V1225" s="6">
        <v>-25268</v>
      </c>
      <c r="W1225" s="6">
        <v>101</v>
      </c>
      <c r="X1225" s="6">
        <v>5923</v>
      </c>
      <c r="Y1225" s="6">
        <v>1333</v>
      </c>
      <c r="Z1225" s="6"/>
      <c r="AA1225" s="6"/>
      <c r="AB1225" s="6">
        <v>41</v>
      </c>
      <c r="AC1225" s="6">
        <v>660</v>
      </c>
      <c r="AD1225" s="6">
        <v>105</v>
      </c>
      <c r="AE1225" s="6">
        <v>19298</v>
      </c>
      <c r="AF1225" s="6">
        <v>39336</v>
      </c>
    </row>
    <row r="1226" spans="1:32" x14ac:dyDescent="0.35">
      <c r="A1226" s="1">
        <v>46127</v>
      </c>
      <c r="B1226" s="6">
        <v>6705696</v>
      </c>
      <c r="C1226" s="6">
        <v>11037</v>
      </c>
      <c r="D1226" s="6">
        <v>15200</v>
      </c>
      <c r="E1226" s="6">
        <v>1478</v>
      </c>
      <c r="F1226" s="6">
        <v>6615014</v>
      </c>
      <c r="G1226" s="6">
        <v>6406033</v>
      </c>
      <c r="H1226" s="6">
        <v>4407209</v>
      </c>
      <c r="I1226" s="6">
        <v>412569</v>
      </c>
      <c r="J1226" s="6">
        <v>3618666</v>
      </c>
      <c r="K1226" s="6">
        <v>275769</v>
      </c>
      <c r="L1226" s="6">
        <v>100205</v>
      </c>
      <c r="M1226" s="6">
        <v>80940</v>
      </c>
      <c r="N1226" s="6">
        <v>306882</v>
      </c>
      <c r="O1226" s="6">
        <v>521259</v>
      </c>
      <c r="P1226" s="6">
        <v>1388245</v>
      </c>
      <c r="Q1226" s="6">
        <v>509849</v>
      </c>
      <c r="R1226" s="6">
        <v>1600033</v>
      </c>
      <c r="S1226" s="6">
        <v>2347</v>
      </c>
      <c r="T1226" s="6">
        <v>1996478</v>
      </c>
      <c r="U1226" s="6">
        <v>218473</v>
      </c>
      <c r="V1226" s="6">
        <v>-25313</v>
      </c>
      <c r="W1226" s="6">
        <v>10463</v>
      </c>
      <c r="X1226" s="6">
        <v>5358</v>
      </c>
      <c r="Y1226" s="6">
        <v>1333</v>
      </c>
      <c r="Z1226" s="6"/>
      <c r="AA1226" s="6"/>
      <c r="AB1226" s="6">
        <v>36</v>
      </c>
      <c r="AC1226" s="6">
        <v>664</v>
      </c>
      <c r="AD1226" s="6">
        <v>106</v>
      </c>
      <c r="AE1226" s="6">
        <v>19409</v>
      </c>
      <c r="AF1226" s="6">
        <v>41418</v>
      </c>
    </row>
    <row r="1227" spans="1:32" x14ac:dyDescent="0.35">
      <c r="A1227" s="1">
        <v>46134</v>
      </c>
      <c r="B1227" s="6">
        <v>6707419</v>
      </c>
      <c r="C1227" s="6">
        <v>11037</v>
      </c>
      <c r="D1227" s="6">
        <v>15200</v>
      </c>
      <c r="E1227" s="6">
        <v>1458</v>
      </c>
      <c r="F1227" s="6">
        <v>6614650</v>
      </c>
      <c r="G1227" s="6">
        <v>6415890</v>
      </c>
      <c r="H1227" s="6">
        <v>4420267</v>
      </c>
      <c r="I1227" s="6">
        <v>425214</v>
      </c>
      <c r="J1227" s="6">
        <v>3618666</v>
      </c>
      <c r="K1227" s="6">
        <v>275769</v>
      </c>
      <c r="L1227" s="6">
        <v>100618</v>
      </c>
      <c r="M1227" s="6">
        <v>89725</v>
      </c>
      <c r="N1227" s="6">
        <v>315690</v>
      </c>
      <c r="O1227" s="6">
        <v>516358</v>
      </c>
      <c r="P1227" s="6">
        <v>1388419</v>
      </c>
      <c r="Q1227" s="6">
        <v>509888</v>
      </c>
      <c r="R1227" s="6">
        <v>1600187</v>
      </c>
      <c r="S1227" s="6">
        <v>2347</v>
      </c>
      <c r="T1227" s="6">
        <v>1993276</v>
      </c>
      <c r="U1227" s="6">
        <v>218041</v>
      </c>
      <c r="V1227" s="6">
        <v>-25358</v>
      </c>
      <c r="W1227" s="6">
        <v>4</v>
      </c>
      <c r="X1227" s="6">
        <v>6073</v>
      </c>
      <c r="Y1227" s="6">
        <v>1335</v>
      </c>
      <c r="Z1227" s="6"/>
      <c r="AA1227" s="6"/>
      <c r="AB1227" s="6">
        <v>49</v>
      </c>
      <c r="AC1227" s="6">
        <v>668</v>
      </c>
      <c r="AD1227" s="6">
        <v>101</v>
      </c>
      <c r="AE1227" s="6">
        <v>19302</v>
      </c>
      <c r="AF1227" s="6">
        <v>43619</v>
      </c>
    </row>
    <row r="1228" spans="1:32" x14ac:dyDescent="0.35">
      <c r="A1228" s="1">
        <v>46141</v>
      </c>
      <c r="B1228" s="6">
        <v>6699950</v>
      </c>
      <c r="C1228" s="6">
        <v>11037</v>
      </c>
      <c r="D1228" s="6">
        <v>15200</v>
      </c>
      <c r="E1228" s="6">
        <v>1446</v>
      </c>
      <c r="F1228" s="6">
        <v>6607435</v>
      </c>
      <c r="G1228" s="6">
        <v>6409144</v>
      </c>
      <c r="H1228" s="6">
        <v>4425737</v>
      </c>
      <c r="I1228" s="6">
        <v>430272</v>
      </c>
      <c r="J1228" s="6">
        <v>3618666</v>
      </c>
      <c r="K1228" s="6">
        <v>275769</v>
      </c>
      <c r="L1228" s="6">
        <v>101030</v>
      </c>
      <c r="M1228" s="6">
        <v>90628</v>
      </c>
      <c r="N1228" s="6">
        <v>322167</v>
      </c>
      <c r="O1228" s="6">
        <v>514081</v>
      </c>
      <c r="P1228" s="6">
        <v>1388806</v>
      </c>
      <c r="Q1228" s="6">
        <v>509713</v>
      </c>
      <c r="R1228" s="6">
        <v>1600342</v>
      </c>
      <c r="S1228" s="6">
        <v>2347</v>
      </c>
      <c r="T1228" s="6">
        <v>1981060</v>
      </c>
      <c r="U1228" s="6">
        <v>217472</v>
      </c>
      <c r="V1228" s="6">
        <v>-25327</v>
      </c>
      <c r="W1228" s="6">
        <v>1</v>
      </c>
      <c r="X1228" s="6">
        <v>6145</v>
      </c>
      <c r="Y1228" s="6">
        <v>1402</v>
      </c>
      <c r="Z1228" s="6"/>
      <c r="AA1228" s="6"/>
      <c r="AB1228" s="6">
        <v>46</v>
      </c>
      <c r="AC1228" s="6">
        <v>675</v>
      </c>
      <c r="AD1228" s="6">
        <v>20</v>
      </c>
      <c r="AE1228" s="6">
        <v>19258</v>
      </c>
      <c r="AF1228" s="6">
        <v>43431</v>
      </c>
    </row>
    <row r="1229" spans="1:32" x14ac:dyDescent="0.35">
      <c r="A1229" s="1">
        <v>46148</v>
      </c>
      <c r="B1229" s="6">
        <v>6709505</v>
      </c>
      <c r="C1229" s="6">
        <v>11037</v>
      </c>
      <c r="D1229" s="6">
        <v>15200</v>
      </c>
      <c r="E1229" s="6">
        <v>1429</v>
      </c>
      <c r="F1229" s="6">
        <v>6615091</v>
      </c>
      <c r="G1229" s="6">
        <v>6417568</v>
      </c>
      <c r="H1229" s="6">
        <v>4434161</v>
      </c>
      <c r="I1229" s="6">
        <v>437857</v>
      </c>
      <c r="J1229" s="6">
        <v>3615393</v>
      </c>
      <c r="K1229" s="6">
        <v>279041</v>
      </c>
      <c r="L1229" s="6">
        <v>101869</v>
      </c>
      <c r="M1229" s="6">
        <v>92033</v>
      </c>
      <c r="N1229" s="6">
        <v>322685</v>
      </c>
      <c r="O1229" s="6">
        <v>507653</v>
      </c>
      <c r="P1229" s="6">
        <v>1394175</v>
      </c>
      <c r="Q1229" s="6">
        <v>515328</v>
      </c>
      <c r="R1229" s="6">
        <v>1602287</v>
      </c>
      <c r="S1229" s="6">
        <v>2347</v>
      </c>
      <c r="T1229" s="6">
        <v>1981060</v>
      </c>
      <c r="U1229" s="6">
        <v>217174</v>
      </c>
      <c r="V1229" s="6">
        <v>-25426</v>
      </c>
      <c r="W1229" s="6">
        <v>2</v>
      </c>
      <c r="X1229" s="6">
        <v>5772</v>
      </c>
      <c r="Y1229" s="6">
        <v>1404</v>
      </c>
      <c r="Z1229" s="6"/>
      <c r="AA1229" s="6"/>
      <c r="AB1229" s="6">
        <v>62</v>
      </c>
      <c r="AC1229" s="6">
        <v>653</v>
      </c>
      <c r="AD1229" s="6">
        <v>206</v>
      </c>
      <c r="AE1229" s="6">
        <v>19478</v>
      </c>
      <c r="AF1229" s="6">
        <v>44945</v>
      </c>
    </row>
    <row r="1230" spans="1:32" x14ac:dyDescent="0.35">
      <c r="A1230" s="1">
        <v>46155</v>
      </c>
      <c r="B1230" s="6">
        <v>6728502</v>
      </c>
      <c r="C1230" s="6">
        <v>11037</v>
      </c>
      <c r="D1230" s="6">
        <v>15200</v>
      </c>
      <c r="E1230" s="6">
        <v>1425</v>
      </c>
      <c r="F1230" s="6">
        <v>6631206</v>
      </c>
      <c r="G1230" s="6">
        <v>6433642</v>
      </c>
      <c r="H1230" s="6">
        <v>4450235</v>
      </c>
      <c r="I1230" s="6">
        <v>453031</v>
      </c>
      <c r="J1230" s="6">
        <v>3615393</v>
      </c>
      <c r="K1230" s="6">
        <v>279041</v>
      </c>
      <c r="L1230" s="6">
        <v>102770</v>
      </c>
      <c r="M1230" s="6">
        <v>94449</v>
      </c>
      <c r="N1230" s="6">
        <v>332071</v>
      </c>
      <c r="O1230" s="6">
        <v>511124</v>
      </c>
      <c r="P1230" s="6">
        <v>1394557</v>
      </c>
      <c r="Q1230" s="6">
        <v>515413</v>
      </c>
      <c r="R1230" s="6">
        <v>1602621</v>
      </c>
      <c r="S1230" s="6">
        <v>2347</v>
      </c>
      <c r="T1230" s="6">
        <v>1981060</v>
      </c>
      <c r="U1230" s="6">
        <v>216920</v>
      </c>
      <c r="V1230" s="6">
        <v>-25402</v>
      </c>
      <c r="W1230" s="6">
        <v>4</v>
      </c>
      <c r="X1230" s="6">
        <v>6042</v>
      </c>
      <c r="Y1230" s="6">
        <v>1406</v>
      </c>
      <c r="Z1230" s="6"/>
      <c r="AA1230" s="6"/>
      <c r="AB1230" s="6">
        <v>50</v>
      </c>
      <c r="AC1230" s="6">
        <v>658</v>
      </c>
      <c r="AD1230" s="6">
        <v>42</v>
      </c>
      <c r="AE1230" s="6">
        <v>19379</v>
      </c>
      <c r="AF1230" s="6">
        <v>48099</v>
      </c>
    </row>
    <row r="1231" spans="1:32" x14ac:dyDescent="0.35">
      <c r="A1231" s="1">
        <v>46162</v>
      </c>
      <c r="B1231" s="6">
        <v>6713643</v>
      </c>
      <c r="C1231" s="6">
        <v>11037</v>
      </c>
      <c r="D1231" s="6">
        <v>15200</v>
      </c>
      <c r="E1231" s="6">
        <v>1405</v>
      </c>
      <c r="F1231" s="6">
        <v>6634267</v>
      </c>
      <c r="G1231" s="6">
        <v>6437719</v>
      </c>
      <c r="H1231" s="6">
        <v>4457712</v>
      </c>
      <c r="I1231" s="6">
        <v>459607</v>
      </c>
      <c r="J1231" s="6">
        <v>3615393</v>
      </c>
      <c r="K1231" s="6">
        <v>279041</v>
      </c>
      <c r="L1231" s="6">
        <v>103670</v>
      </c>
      <c r="M1231" s="6">
        <v>88919</v>
      </c>
      <c r="N1231" s="6">
        <v>343911</v>
      </c>
      <c r="O1231" s="6">
        <v>504852</v>
      </c>
      <c r="P1231" s="6">
        <v>1429880</v>
      </c>
      <c r="Q1231" s="6">
        <v>481258</v>
      </c>
      <c r="R1231" s="6">
        <v>1608892</v>
      </c>
      <c r="S1231" s="6">
        <v>2347</v>
      </c>
      <c r="T1231" s="6">
        <v>1977661</v>
      </c>
      <c r="U1231" s="6">
        <v>216518</v>
      </c>
      <c r="V1231" s="6">
        <v>-25615</v>
      </c>
      <c r="W1231" s="6">
        <v>7</v>
      </c>
      <c r="X1231" s="6">
        <v>5637</v>
      </c>
      <c r="Y1231" s="6">
        <v>1420</v>
      </c>
      <c r="Z1231" s="6"/>
      <c r="AA1231" s="6"/>
      <c r="AB1231" s="6">
        <v>53</v>
      </c>
      <c r="AC1231" s="6">
        <v>669</v>
      </c>
      <c r="AD1231" s="6">
        <v>16</v>
      </c>
      <c r="AE1231" s="6">
        <v>19243</v>
      </c>
      <c r="AF1231" s="6">
        <v>30333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625F-E992-4F75-8771-70B0066FFC0A}">
  <dimension ref="A1:Q1228"/>
  <sheetViews>
    <sheetView topLeftCell="D1" workbookViewId="0">
      <selection activeCell="P9" sqref="P9"/>
    </sheetView>
  </sheetViews>
  <sheetFormatPr defaultRowHeight="14.15" x14ac:dyDescent="0.35"/>
  <cols>
    <col min="1" max="16" width="13.7109375" customWidth="1"/>
    <col min="17" max="17" width="10.640625" bestFit="1" customWidth="1"/>
  </cols>
  <sheetData>
    <row r="1" spans="1:17" x14ac:dyDescent="0.35">
      <c r="A1" s="1" t="s">
        <v>0</v>
      </c>
      <c r="B1" s="2">
        <v>37257</v>
      </c>
    </row>
    <row r="2" spans="1:17" x14ac:dyDescent="0.35">
      <c r="A2" s="1" t="s">
        <v>1</v>
      </c>
      <c r="B2" s="2" t="s">
        <v>2</v>
      </c>
    </row>
    <row r="3" spans="1:17" x14ac:dyDescent="0.35">
      <c r="A3" s="3" t="s">
        <v>3</v>
      </c>
      <c r="B3" s="4" t="s">
        <v>3</v>
      </c>
    </row>
    <row r="4" spans="1:17" s="9" customFormat="1" ht="56.6" x14ac:dyDescent="0.35">
      <c r="A4" s="8" t="s">
        <v>4</v>
      </c>
      <c r="B4" s="8" t="s">
        <v>100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  <c r="I4" s="8" t="s">
        <v>107</v>
      </c>
      <c r="J4" s="8" t="s">
        <v>108</v>
      </c>
      <c r="K4" s="8" t="s">
        <v>109</v>
      </c>
      <c r="L4" s="8" t="s">
        <v>110</v>
      </c>
      <c r="M4" s="8" t="s">
        <v>111</v>
      </c>
      <c r="N4" s="8" t="s">
        <v>112</v>
      </c>
      <c r="O4" s="8" t="s">
        <v>113</v>
      </c>
      <c r="P4" s="8" t="s">
        <v>114</v>
      </c>
      <c r="Q4" s="9" t="s">
        <v>143</v>
      </c>
    </row>
    <row r="5" spans="1:17" x14ac:dyDescent="0.35">
      <c r="A5" s="3" t="s">
        <v>5</v>
      </c>
      <c r="B5" s="4" t="s">
        <v>162</v>
      </c>
      <c r="C5" s="4" t="s">
        <v>115</v>
      </c>
      <c r="D5" s="4" t="s">
        <v>116</v>
      </c>
      <c r="E5" s="4" t="s">
        <v>117</v>
      </c>
      <c r="F5" s="4" t="s">
        <v>118</v>
      </c>
      <c r="G5" s="4" t="s">
        <v>119</v>
      </c>
      <c r="H5" s="4" t="s">
        <v>120</v>
      </c>
      <c r="I5" s="4" t="s">
        <v>121</v>
      </c>
      <c r="J5" s="4" t="s">
        <v>122</v>
      </c>
      <c r="K5" s="4" t="s">
        <v>123</v>
      </c>
      <c r="L5" s="4" t="s">
        <v>124</v>
      </c>
      <c r="M5" s="4" t="s">
        <v>125</v>
      </c>
      <c r="N5" s="4" t="s">
        <v>126</v>
      </c>
      <c r="O5" s="4" t="s">
        <v>127</v>
      </c>
      <c r="P5" s="4" t="s">
        <v>128</v>
      </c>
      <c r="Q5" s="10" t="s">
        <v>144</v>
      </c>
    </row>
    <row r="6" spans="1:17" x14ac:dyDescent="0.35">
      <c r="A6" s="1">
        <v>37608</v>
      </c>
      <c r="B6" s="6">
        <f>[1]!WSD(B5:Q5,B3,B1,B2,"TradingCalendar=SSE","PriceAdj=","rptType=1","Version=1","ShowParams=Y","cols=16;rows=1223")</f>
        <v>702053</v>
      </c>
      <c r="C6" s="6">
        <v>24923</v>
      </c>
      <c r="D6" s="6">
        <v>0</v>
      </c>
      <c r="E6" s="6">
        <v>17943</v>
      </c>
      <c r="F6" s="6">
        <v>6595</v>
      </c>
      <c r="G6" s="6">
        <v>172</v>
      </c>
      <c r="H6" s="6">
        <v>213</v>
      </c>
      <c r="I6" s="6">
        <v>21905</v>
      </c>
      <c r="J6" s="6">
        <v>645599</v>
      </c>
      <c r="K6" s="6">
        <v>8266</v>
      </c>
      <c r="L6" s="6"/>
      <c r="M6" s="6">
        <v>1359</v>
      </c>
      <c r="N6" s="6">
        <v>8376</v>
      </c>
      <c r="O6" s="6">
        <v>7312</v>
      </c>
      <c r="P6" s="6">
        <v>1802</v>
      </c>
      <c r="Q6" s="6">
        <v>17489</v>
      </c>
    </row>
    <row r="7" spans="1:17" x14ac:dyDescent="0.35">
      <c r="A7" s="1">
        <v>37615</v>
      </c>
      <c r="B7" s="6">
        <v>713850</v>
      </c>
      <c r="C7" s="6">
        <v>29704</v>
      </c>
      <c r="D7" s="6">
        <v>0</v>
      </c>
      <c r="E7" s="6">
        <v>24701</v>
      </c>
      <c r="F7" s="6">
        <v>4662</v>
      </c>
      <c r="G7" s="6">
        <v>139</v>
      </c>
      <c r="H7" s="6">
        <v>203</v>
      </c>
      <c r="I7" s="6">
        <v>20396</v>
      </c>
      <c r="J7" s="6">
        <v>651891</v>
      </c>
      <c r="K7" s="6">
        <v>10447</v>
      </c>
      <c r="L7" s="6"/>
      <c r="M7" s="6">
        <v>1413</v>
      </c>
      <c r="N7" s="6">
        <v>8382</v>
      </c>
      <c r="O7" s="6">
        <v>7312</v>
      </c>
      <c r="P7" s="6">
        <v>2516</v>
      </c>
      <c r="Q7" s="6">
        <v>18209</v>
      </c>
    </row>
    <row r="8" spans="1:17" x14ac:dyDescent="0.35">
      <c r="A8" s="1">
        <v>37622</v>
      </c>
      <c r="B8" s="6">
        <v>714234</v>
      </c>
      <c r="C8" s="6">
        <v>28249</v>
      </c>
      <c r="D8" s="6">
        <v>0</v>
      </c>
      <c r="E8" s="6">
        <v>22541</v>
      </c>
      <c r="F8" s="6">
        <v>4420</v>
      </c>
      <c r="G8" s="6">
        <v>136</v>
      </c>
      <c r="H8" s="6">
        <v>1152</v>
      </c>
      <c r="I8" s="6">
        <v>21091</v>
      </c>
      <c r="J8" s="6">
        <v>654272</v>
      </c>
      <c r="K8" s="6">
        <v>9459</v>
      </c>
      <c r="L8" s="6"/>
      <c r="M8" s="6">
        <v>1163</v>
      </c>
      <c r="N8" s="6">
        <v>8380</v>
      </c>
      <c r="O8" s="6">
        <v>8380</v>
      </c>
      <c r="P8" s="6">
        <v>0</v>
      </c>
      <c r="Q8" s="6">
        <v>16760</v>
      </c>
    </row>
    <row r="9" spans="1:17" x14ac:dyDescent="0.35">
      <c r="A9" s="1">
        <v>37629</v>
      </c>
      <c r="B9" s="6">
        <v>706601</v>
      </c>
      <c r="C9" s="6">
        <v>31135</v>
      </c>
      <c r="D9" s="6">
        <v>0</v>
      </c>
      <c r="E9" s="6">
        <v>25196</v>
      </c>
      <c r="F9" s="6">
        <v>5490</v>
      </c>
      <c r="G9" s="6">
        <v>99</v>
      </c>
      <c r="H9" s="6">
        <v>350</v>
      </c>
      <c r="I9" s="6">
        <v>18709</v>
      </c>
      <c r="J9" s="6">
        <v>647070</v>
      </c>
      <c r="K9" s="6">
        <v>8499</v>
      </c>
      <c r="L9" s="6"/>
      <c r="M9" s="6">
        <v>1188</v>
      </c>
      <c r="N9" s="6">
        <v>8386</v>
      </c>
      <c r="O9" s="6">
        <v>8348</v>
      </c>
      <c r="P9" s="6">
        <v>426</v>
      </c>
      <c r="Q9" s="6">
        <v>17161</v>
      </c>
    </row>
    <row r="10" spans="1:17" x14ac:dyDescent="0.35">
      <c r="A10" s="1">
        <v>37636</v>
      </c>
      <c r="B10" s="6">
        <v>702678</v>
      </c>
      <c r="C10" s="6">
        <v>32648</v>
      </c>
      <c r="D10" s="6">
        <v>0</v>
      </c>
      <c r="E10" s="6">
        <v>26991</v>
      </c>
      <c r="F10" s="6">
        <v>5192</v>
      </c>
      <c r="G10" s="6">
        <v>253</v>
      </c>
      <c r="H10" s="6">
        <v>213</v>
      </c>
      <c r="I10" s="6">
        <v>17813</v>
      </c>
      <c r="J10" s="6">
        <v>642887</v>
      </c>
      <c r="K10" s="6">
        <v>8119</v>
      </c>
      <c r="L10" s="6"/>
      <c r="M10" s="6">
        <v>1212</v>
      </c>
      <c r="N10" s="6">
        <v>8389</v>
      </c>
      <c r="O10" s="6">
        <v>8478</v>
      </c>
      <c r="P10" s="6">
        <v>528</v>
      </c>
      <c r="Q10" s="6">
        <v>17395</v>
      </c>
    </row>
    <row r="11" spans="1:17" x14ac:dyDescent="0.35">
      <c r="A11" s="1">
        <v>37643</v>
      </c>
      <c r="B11" s="6">
        <v>718618</v>
      </c>
      <c r="C11" s="6">
        <v>44098</v>
      </c>
      <c r="D11" s="6">
        <v>0</v>
      </c>
      <c r="E11" s="6">
        <v>37629</v>
      </c>
      <c r="F11" s="6">
        <v>6119</v>
      </c>
      <c r="G11" s="6">
        <v>122</v>
      </c>
      <c r="H11" s="6">
        <v>228</v>
      </c>
      <c r="I11" s="6">
        <v>18523</v>
      </c>
      <c r="J11" s="6">
        <v>643281</v>
      </c>
      <c r="K11" s="6">
        <v>11519</v>
      </c>
      <c r="L11" s="6"/>
      <c r="M11" s="6">
        <v>1197</v>
      </c>
      <c r="N11" s="6">
        <v>8390</v>
      </c>
      <c r="O11" s="6">
        <v>8380</v>
      </c>
      <c r="P11" s="6">
        <v>565</v>
      </c>
      <c r="Q11" s="6">
        <v>17335</v>
      </c>
    </row>
    <row r="12" spans="1:17" x14ac:dyDescent="0.35">
      <c r="A12" s="1">
        <v>37650</v>
      </c>
      <c r="B12" s="6">
        <v>695476</v>
      </c>
      <c r="C12" s="6">
        <v>25671</v>
      </c>
      <c r="D12" s="6">
        <v>0</v>
      </c>
      <c r="E12" s="6">
        <v>18327</v>
      </c>
      <c r="F12" s="6">
        <v>7030</v>
      </c>
      <c r="G12" s="6">
        <v>100</v>
      </c>
      <c r="H12" s="6">
        <v>214</v>
      </c>
      <c r="I12" s="6">
        <v>18466</v>
      </c>
      <c r="J12" s="6">
        <v>642604</v>
      </c>
      <c r="K12" s="6">
        <v>7503</v>
      </c>
      <c r="L12" s="6"/>
      <c r="M12" s="6">
        <v>1232</v>
      </c>
      <c r="N12" s="6">
        <v>8399</v>
      </c>
      <c r="O12" s="6">
        <v>8380</v>
      </c>
      <c r="P12" s="6">
        <v>552</v>
      </c>
      <c r="Q12" s="6">
        <v>17332</v>
      </c>
    </row>
    <row r="13" spans="1:17" x14ac:dyDescent="0.35">
      <c r="A13" s="1">
        <v>37657</v>
      </c>
      <c r="B13" s="6">
        <v>702600</v>
      </c>
      <c r="C13" s="6">
        <v>29814</v>
      </c>
      <c r="D13" s="6">
        <v>0</v>
      </c>
      <c r="E13" s="6">
        <v>23756</v>
      </c>
      <c r="F13" s="6">
        <v>5664</v>
      </c>
      <c r="G13" s="6">
        <v>148</v>
      </c>
      <c r="H13" s="6">
        <v>246</v>
      </c>
      <c r="I13" s="6">
        <v>17986</v>
      </c>
      <c r="J13" s="6">
        <v>644880</v>
      </c>
      <c r="K13" s="6">
        <v>8704</v>
      </c>
      <c r="L13" s="6"/>
      <c r="M13" s="6">
        <v>1215</v>
      </c>
      <c r="N13" s="6">
        <v>8404</v>
      </c>
      <c r="O13" s="6">
        <v>8380</v>
      </c>
      <c r="P13" s="6">
        <v>260</v>
      </c>
      <c r="Q13" s="6">
        <v>17043</v>
      </c>
    </row>
    <row r="14" spans="1:17" x14ac:dyDescent="0.35">
      <c r="A14" s="1">
        <v>37664</v>
      </c>
      <c r="B14" s="6">
        <v>696293</v>
      </c>
      <c r="C14" s="6">
        <v>21565</v>
      </c>
      <c r="D14" s="6">
        <v>0</v>
      </c>
      <c r="E14" s="6">
        <v>17707</v>
      </c>
      <c r="F14" s="6">
        <v>3527</v>
      </c>
      <c r="G14" s="6">
        <v>103</v>
      </c>
      <c r="H14" s="6">
        <v>228</v>
      </c>
      <c r="I14" s="6">
        <v>17604</v>
      </c>
      <c r="J14" s="6">
        <v>648083</v>
      </c>
      <c r="K14" s="6">
        <v>7775</v>
      </c>
      <c r="L14" s="6"/>
      <c r="M14" s="6">
        <v>1266</v>
      </c>
      <c r="N14" s="6">
        <v>8404</v>
      </c>
      <c r="O14" s="6">
        <v>8357</v>
      </c>
      <c r="P14" s="6">
        <v>227</v>
      </c>
      <c r="Q14" s="6">
        <v>16988</v>
      </c>
    </row>
    <row r="15" spans="1:17" x14ac:dyDescent="0.35">
      <c r="A15" s="1">
        <v>37671</v>
      </c>
      <c r="B15" s="6">
        <v>712983</v>
      </c>
      <c r="C15" s="6">
        <v>32828</v>
      </c>
      <c r="D15" s="6">
        <v>0</v>
      </c>
      <c r="E15" s="6">
        <v>28006</v>
      </c>
      <c r="F15" s="6">
        <v>4407</v>
      </c>
      <c r="G15" s="6">
        <v>134</v>
      </c>
      <c r="H15" s="6">
        <v>281</v>
      </c>
      <c r="I15" s="6">
        <v>17850</v>
      </c>
      <c r="J15" s="6">
        <v>651036</v>
      </c>
      <c r="K15" s="6">
        <v>10040</v>
      </c>
      <c r="L15" s="6"/>
      <c r="M15" s="6">
        <v>1229</v>
      </c>
      <c r="N15" s="6">
        <v>8434</v>
      </c>
      <c r="O15" s="6">
        <v>8380</v>
      </c>
      <c r="P15" s="6">
        <v>603</v>
      </c>
      <c r="Q15" s="6">
        <v>17416</v>
      </c>
    </row>
    <row r="16" spans="1:17" x14ac:dyDescent="0.35">
      <c r="A16" s="1">
        <v>37678</v>
      </c>
      <c r="B16" s="6">
        <v>704557</v>
      </c>
      <c r="C16" s="6">
        <v>28898</v>
      </c>
      <c r="D16" s="6">
        <v>0</v>
      </c>
      <c r="E16" s="6">
        <v>23556</v>
      </c>
      <c r="F16" s="6">
        <v>4950</v>
      </c>
      <c r="G16" s="6">
        <v>154</v>
      </c>
      <c r="H16" s="6">
        <v>238</v>
      </c>
      <c r="I16" s="6">
        <v>17421</v>
      </c>
      <c r="J16" s="6">
        <v>649670</v>
      </c>
      <c r="K16" s="6">
        <v>7296</v>
      </c>
      <c r="L16" s="6"/>
      <c r="M16" s="6">
        <v>1272</v>
      </c>
      <c r="N16" s="6">
        <v>8440</v>
      </c>
      <c r="O16" s="6">
        <v>8380</v>
      </c>
      <c r="P16" s="6">
        <v>603</v>
      </c>
      <c r="Q16" s="6">
        <v>17423</v>
      </c>
    </row>
    <row r="17" spans="1:17" x14ac:dyDescent="0.35">
      <c r="A17" s="1">
        <v>37685</v>
      </c>
      <c r="B17" s="6">
        <v>705207</v>
      </c>
      <c r="C17" s="6">
        <v>26825</v>
      </c>
      <c r="D17" s="6">
        <v>0</v>
      </c>
      <c r="E17" s="6">
        <v>20980</v>
      </c>
      <c r="F17" s="6">
        <v>5501</v>
      </c>
      <c r="G17" s="6">
        <v>105</v>
      </c>
      <c r="H17" s="6">
        <v>238</v>
      </c>
      <c r="I17" s="6">
        <v>17959</v>
      </c>
      <c r="J17" s="6">
        <v>650398</v>
      </c>
      <c r="K17" s="6">
        <v>8773</v>
      </c>
      <c r="L17" s="6"/>
      <c r="M17" s="6">
        <v>1252</v>
      </c>
      <c r="N17" s="6">
        <v>8478</v>
      </c>
      <c r="O17" s="6">
        <v>8380</v>
      </c>
      <c r="P17" s="6">
        <v>584</v>
      </c>
      <c r="Q17" s="6">
        <v>17442</v>
      </c>
    </row>
    <row r="18" spans="1:17" x14ac:dyDescent="0.35">
      <c r="A18" s="1">
        <v>37692</v>
      </c>
      <c r="B18" s="6">
        <v>699554</v>
      </c>
      <c r="C18" s="6">
        <v>21343</v>
      </c>
      <c r="D18" s="6">
        <v>0</v>
      </c>
      <c r="E18" s="6">
        <v>16219</v>
      </c>
      <c r="F18" s="6">
        <v>4775</v>
      </c>
      <c r="G18" s="6">
        <v>116</v>
      </c>
      <c r="H18" s="6">
        <v>233</v>
      </c>
      <c r="I18" s="6">
        <v>17912</v>
      </c>
      <c r="J18" s="6">
        <v>651124</v>
      </c>
      <c r="K18" s="6">
        <v>7897</v>
      </c>
      <c r="L18" s="6"/>
      <c r="M18" s="6">
        <v>1278</v>
      </c>
      <c r="N18" s="6">
        <v>8491</v>
      </c>
      <c r="O18" s="6">
        <v>8380</v>
      </c>
      <c r="P18" s="6">
        <v>589</v>
      </c>
      <c r="Q18" s="6">
        <v>17460</v>
      </c>
    </row>
    <row r="19" spans="1:17" x14ac:dyDescent="0.35">
      <c r="A19" s="1">
        <v>37699</v>
      </c>
      <c r="B19" s="6">
        <v>713000</v>
      </c>
      <c r="C19" s="6">
        <v>33960</v>
      </c>
      <c r="D19" s="6">
        <v>0</v>
      </c>
      <c r="E19" s="6">
        <v>29942</v>
      </c>
      <c r="F19" s="6">
        <v>3607</v>
      </c>
      <c r="G19" s="6">
        <v>150</v>
      </c>
      <c r="H19" s="6">
        <v>261</v>
      </c>
      <c r="I19" s="6">
        <v>18430</v>
      </c>
      <c r="J19" s="6">
        <v>651949</v>
      </c>
      <c r="K19" s="6">
        <v>7409</v>
      </c>
      <c r="L19" s="6"/>
      <c r="M19" s="6">
        <v>1253</v>
      </c>
      <c r="N19" s="6">
        <v>8494</v>
      </c>
      <c r="O19" s="6">
        <v>8297</v>
      </c>
      <c r="P19" s="6">
        <v>132</v>
      </c>
      <c r="Q19" s="6">
        <v>16923</v>
      </c>
    </row>
    <row r="20" spans="1:17" x14ac:dyDescent="0.35">
      <c r="A20" s="1">
        <v>37706</v>
      </c>
      <c r="B20" s="6">
        <v>707667</v>
      </c>
      <c r="C20" s="6">
        <v>28079</v>
      </c>
      <c r="D20" s="6">
        <v>0</v>
      </c>
      <c r="E20" s="6">
        <v>21815</v>
      </c>
      <c r="F20" s="6">
        <v>5927</v>
      </c>
      <c r="G20" s="6">
        <v>162</v>
      </c>
      <c r="H20" s="6">
        <v>175</v>
      </c>
      <c r="I20" s="6">
        <v>18231</v>
      </c>
      <c r="J20" s="6">
        <v>652930</v>
      </c>
      <c r="K20" s="6">
        <v>7130</v>
      </c>
      <c r="L20" s="6"/>
      <c r="M20" s="6">
        <v>1297</v>
      </c>
      <c r="N20" s="6">
        <v>8493</v>
      </c>
      <c r="O20" s="6">
        <v>8380</v>
      </c>
      <c r="P20" s="6">
        <v>480</v>
      </c>
      <c r="Q20" s="6">
        <v>17352</v>
      </c>
    </row>
    <row r="21" spans="1:17" x14ac:dyDescent="0.35">
      <c r="A21" s="1">
        <v>37713</v>
      </c>
      <c r="B21" s="6">
        <v>714949</v>
      </c>
      <c r="C21" s="6">
        <v>30583</v>
      </c>
      <c r="D21" s="6">
        <v>0</v>
      </c>
      <c r="E21" s="6">
        <v>24004</v>
      </c>
      <c r="F21" s="6">
        <v>6199</v>
      </c>
      <c r="G21" s="6">
        <v>103</v>
      </c>
      <c r="H21" s="6">
        <v>277</v>
      </c>
      <c r="I21" s="6">
        <v>19729</v>
      </c>
      <c r="J21" s="6">
        <v>654360</v>
      </c>
      <c r="K21" s="6">
        <v>9014</v>
      </c>
      <c r="L21" s="6"/>
      <c r="M21" s="6">
        <v>1263</v>
      </c>
      <c r="N21" s="6">
        <v>8514</v>
      </c>
      <c r="O21" s="6">
        <v>8380</v>
      </c>
      <c r="P21" s="6">
        <v>609</v>
      </c>
      <c r="Q21" s="6">
        <v>17503</v>
      </c>
    </row>
    <row r="22" spans="1:17" x14ac:dyDescent="0.35">
      <c r="A22" s="1">
        <v>37720</v>
      </c>
      <c r="B22" s="6">
        <v>710473</v>
      </c>
      <c r="C22" s="6">
        <v>25309</v>
      </c>
      <c r="D22" s="6">
        <v>0</v>
      </c>
      <c r="E22" s="6">
        <v>18058</v>
      </c>
      <c r="F22" s="6">
        <v>6872</v>
      </c>
      <c r="G22" s="6">
        <v>102</v>
      </c>
      <c r="H22" s="6">
        <v>277</v>
      </c>
      <c r="I22" s="6">
        <v>20291</v>
      </c>
      <c r="J22" s="6">
        <v>655104</v>
      </c>
      <c r="K22" s="6">
        <v>8460</v>
      </c>
      <c r="L22" s="6"/>
      <c r="M22" s="6">
        <v>1309</v>
      </c>
      <c r="N22" s="6">
        <v>8521</v>
      </c>
      <c r="O22" s="6">
        <v>8380</v>
      </c>
      <c r="P22" s="6">
        <v>452</v>
      </c>
      <c r="Q22" s="6">
        <v>17352</v>
      </c>
    </row>
    <row r="23" spans="1:17" x14ac:dyDescent="0.35">
      <c r="A23" s="1">
        <v>37727</v>
      </c>
      <c r="B23" s="6">
        <v>728206</v>
      </c>
      <c r="C23" s="6">
        <v>42795</v>
      </c>
      <c r="D23" s="6">
        <v>0</v>
      </c>
      <c r="E23" s="6">
        <v>33637</v>
      </c>
      <c r="F23" s="6">
        <v>8821</v>
      </c>
      <c r="G23" s="6">
        <v>101</v>
      </c>
      <c r="H23" s="6">
        <v>236</v>
      </c>
      <c r="I23" s="6">
        <v>19801</v>
      </c>
      <c r="J23" s="6">
        <v>655512</v>
      </c>
      <c r="K23" s="6">
        <v>8803</v>
      </c>
      <c r="L23" s="6"/>
      <c r="M23" s="6">
        <v>1296</v>
      </c>
      <c r="N23" s="6">
        <v>8522</v>
      </c>
      <c r="O23" s="6">
        <v>8380</v>
      </c>
      <c r="P23" s="6">
        <v>729</v>
      </c>
      <c r="Q23" s="6">
        <v>17632</v>
      </c>
    </row>
    <row r="24" spans="1:17" x14ac:dyDescent="0.35">
      <c r="A24" s="1">
        <v>37734</v>
      </c>
      <c r="B24" s="6">
        <v>714693</v>
      </c>
      <c r="C24" s="6">
        <v>30369</v>
      </c>
      <c r="D24" s="6">
        <v>0</v>
      </c>
      <c r="E24" s="6">
        <v>20745</v>
      </c>
      <c r="F24" s="6">
        <v>9285</v>
      </c>
      <c r="G24" s="6">
        <v>105</v>
      </c>
      <c r="H24" s="6">
        <v>234</v>
      </c>
      <c r="I24" s="6">
        <v>19991</v>
      </c>
      <c r="J24" s="6">
        <v>655025</v>
      </c>
      <c r="K24" s="6">
        <v>7968</v>
      </c>
      <c r="L24" s="6"/>
      <c r="M24" s="6">
        <v>1340</v>
      </c>
      <c r="N24" s="6">
        <v>8526</v>
      </c>
      <c r="O24" s="6">
        <v>8380</v>
      </c>
      <c r="P24" s="6">
        <v>623</v>
      </c>
      <c r="Q24" s="6">
        <v>17529</v>
      </c>
    </row>
    <row r="25" spans="1:17" x14ac:dyDescent="0.35">
      <c r="A25" s="1">
        <v>37741</v>
      </c>
      <c r="B25" s="6">
        <v>728515</v>
      </c>
      <c r="C25" s="6">
        <v>43007</v>
      </c>
      <c r="D25" s="6">
        <v>0</v>
      </c>
      <c r="E25" s="6">
        <v>31880</v>
      </c>
      <c r="F25" s="6">
        <v>10583</v>
      </c>
      <c r="G25" s="6">
        <v>313</v>
      </c>
      <c r="H25" s="6">
        <v>231</v>
      </c>
      <c r="I25" s="6">
        <v>20814</v>
      </c>
      <c r="J25" s="6">
        <v>655226</v>
      </c>
      <c r="K25" s="6">
        <v>8142</v>
      </c>
      <c r="L25" s="6"/>
      <c r="M25" s="6">
        <v>1325</v>
      </c>
      <c r="N25" s="6">
        <v>8545</v>
      </c>
      <c r="O25" s="6">
        <v>8380</v>
      </c>
      <c r="P25" s="6">
        <v>854</v>
      </c>
      <c r="Q25" s="6">
        <v>17779</v>
      </c>
    </row>
    <row r="26" spans="1:17" x14ac:dyDescent="0.35">
      <c r="A26" s="1">
        <v>37748</v>
      </c>
      <c r="B26" s="6">
        <v>715650</v>
      </c>
      <c r="C26" s="6">
        <v>27872</v>
      </c>
      <c r="D26" s="6">
        <v>0</v>
      </c>
      <c r="E26" s="6">
        <v>21417</v>
      </c>
      <c r="F26" s="6">
        <v>6050</v>
      </c>
      <c r="G26" s="6">
        <v>145</v>
      </c>
      <c r="H26" s="6">
        <v>259</v>
      </c>
      <c r="I26" s="6">
        <v>20667</v>
      </c>
      <c r="J26" s="6">
        <v>657217</v>
      </c>
      <c r="K26" s="6">
        <v>8542</v>
      </c>
      <c r="L26" s="6"/>
      <c r="M26" s="6">
        <v>1352</v>
      </c>
      <c r="N26" s="6">
        <v>8564</v>
      </c>
      <c r="O26" s="6">
        <v>8380</v>
      </c>
      <c r="P26" s="6">
        <v>871</v>
      </c>
      <c r="Q26" s="6">
        <v>17816</v>
      </c>
    </row>
    <row r="27" spans="1:17" x14ac:dyDescent="0.35">
      <c r="A27" s="1">
        <v>37755</v>
      </c>
      <c r="B27" s="6">
        <v>722651</v>
      </c>
      <c r="C27" s="6">
        <v>35188</v>
      </c>
      <c r="D27" s="6">
        <v>0</v>
      </c>
      <c r="E27" s="6">
        <v>27603</v>
      </c>
      <c r="F27" s="6">
        <v>7199</v>
      </c>
      <c r="G27" s="6">
        <v>122</v>
      </c>
      <c r="H27" s="6">
        <v>264</v>
      </c>
      <c r="I27" s="6">
        <v>21073</v>
      </c>
      <c r="J27" s="6">
        <v>657396</v>
      </c>
      <c r="K27" s="6">
        <v>7599</v>
      </c>
      <c r="L27" s="6"/>
      <c r="M27" s="6">
        <v>1395</v>
      </c>
      <c r="N27" s="6">
        <v>8568</v>
      </c>
      <c r="O27" s="6">
        <v>8380</v>
      </c>
      <c r="P27" s="6">
        <v>772</v>
      </c>
      <c r="Q27" s="6">
        <v>17720</v>
      </c>
    </row>
    <row r="28" spans="1:17" x14ac:dyDescent="0.35">
      <c r="A28" s="1">
        <v>37762</v>
      </c>
      <c r="B28" s="6">
        <v>717035</v>
      </c>
      <c r="C28" s="6">
        <v>29144</v>
      </c>
      <c r="D28" s="6">
        <v>0</v>
      </c>
      <c r="E28" s="6">
        <v>21162</v>
      </c>
      <c r="F28" s="6">
        <v>7608</v>
      </c>
      <c r="G28" s="6">
        <v>126</v>
      </c>
      <c r="H28" s="6">
        <v>247</v>
      </c>
      <c r="I28" s="6">
        <v>20709</v>
      </c>
      <c r="J28" s="6">
        <v>658309</v>
      </c>
      <c r="K28" s="6">
        <v>7498</v>
      </c>
      <c r="L28" s="6"/>
      <c r="M28" s="6">
        <v>1375</v>
      </c>
      <c r="N28" s="6">
        <v>8562</v>
      </c>
      <c r="O28" s="6">
        <v>8380</v>
      </c>
      <c r="P28" s="6">
        <v>722</v>
      </c>
      <c r="Q28" s="6">
        <v>17664</v>
      </c>
    </row>
    <row r="29" spans="1:17" x14ac:dyDescent="0.35">
      <c r="A29" s="1">
        <v>37769</v>
      </c>
      <c r="B29" s="6">
        <v>727404</v>
      </c>
      <c r="C29" s="6">
        <v>33558</v>
      </c>
      <c r="D29" s="6">
        <v>0</v>
      </c>
      <c r="E29" s="6">
        <v>28360</v>
      </c>
      <c r="F29" s="6">
        <v>4825</v>
      </c>
      <c r="G29" s="6">
        <v>129</v>
      </c>
      <c r="H29" s="6">
        <v>243</v>
      </c>
      <c r="I29" s="6">
        <v>21857</v>
      </c>
      <c r="J29" s="6">
        <v>661167</v>
      </c>
      <c r="K29" s="6">
        <v>9417</v>
      </c>
      <c r="L29" s="6"/>
      <c r="M29" s="6">
        <v>1405</v>
      </c>
      <c r="N29" s="6">
        <v>8574</v>
      </c>
      <c r="O29" s="6">
        <v>8380</v>
      </c>
      <c r="P29" s="6">
        <v>537</v>
      </c>
      <c r="Q29" s="6">
        <v>17491</v>
      </c>
    </row>
    <row r="30" spans="1:17" x14ac:dyDescent="0.35">
      <c r="A30" s="1">
        <v>37776</v>
      </c>
      <c r="B30" s="6">
        <v>714137</v>
      </c>
      <c r="C30" s="6">
        <v>22192</v>
      </c>
      <c r="D30" s="6">
        <v>0</v>
      </c>
      <c r="E30" s="6">
        <v>15747</v>
      </c>
      <c r="F30" s="6">
        <v>6126</v>
      </c>
      <c r="G30" s="6">
        <v>77</v>
      </c>
      <c r="H30" s="6">
        <v>243</v>
      </c>
      <c r="I30" s="6">
        <v>21673</v>
      </c>
      <c r="J30" s="6">
        <v>660078</v>
      </c>
      <c r="K30" s="6">
        <v>8815</v>
      </c>
      <c r="L30" s="6"/>
      <c r="M30" s="6">
        <v>1379</v>
      </c>
      <c r="N30" s="6">
        <v>8584</v>
      </c>
      <c r="O30" s="6">
        <v>8380</v>
      </c>
      <c r="P30" s="6">
        <v>566</v>
      </c>
      <c r="Q30" s="6">
        <v>17530</v>
      </c>
    </row>
    <row r="31" spans="1:17" x14ac:dyDescent="0.35">
      <c r="A31" s="1">
        <v>37783</v>
      </c>
      <c r="B31" s="6">
        <v>725472</v>
      </c>
      <c r="C31" s="6">
        <v>35693</v>
      </c>
      <c r="D31" s="6">
        <v>0</v>
      </c>
      <c r="E31" s="6">
        <v>29349</v>
      </c>
      <c r="F31" s="6">
        <v>6031</v>
      </c>
      <c r="G31" s="6">
        <v>80</v>
      </c>
      <c r="H31" s="6">
        <v>233</v>
      </c>
      <c r="I31" s="6">
        <v>21211</v>
      </c>
      <c r="J31" s="6">
        <v>659386</v>
      </c>
      <c r="K31" s="6">
        <v>7755</v>
      </c>
      <c r="L31" s="6"/>
      <c r="M31" s="6">
        <v>1427</v>
      </c>
      <c r="N31" s="6">
        <v>8656</v>
      </c>
      <c r="O31" s="6">
        <v>8380</v>
      </c>
      <c r="P31" s="6">
        <v>728</v>
      </c>
      <c r="Q31" s="6">
        <v>17764</v>
      </c>
    </row>
    <row r="32" spans="1:17" x14ac:dyDescent="0.35">
      <c r="A32" s="1">
        <v>37790</v>
      </c>
      <c r="B32" s="6">
        <v>718315</v>
      </c>
      <c r="C32" s="6">
        <v>27211</v>
      </c>
      <c r="D32" s="6">
        <v>0</v>
      </c>
      <c r="E32" s="6">
        <v>18800</v>
      </c>
      <c r="F32" s="6">
        <v>8086</v>
      </c>
      <c r="G32" s="6">
        <v>96</v>
      </c>
      <c r="H32" s="6">
        <v>229</v>
      </c>
      <c r="I32" s="6">
        <v>22901</v>
      </c>
      <c r="J32" s="6">
        <v>658805</v>
      </c>
      <c r="K32" s="6">
        <v>7996</v>
      </c>
      <c r="L32" s="6"/>
      <c r="M32" s="6">
        <v>1402</v>
      </c>
      <c r="N32" s="6">
        <v>8657</v>
      </c>
      <c r="O32" s="6">
        <v>8380</v>
      </c>
      <c r="P32" s="6">
        <v>574</v>
      </c>
      <c r="Q32" s="6">
        <v>17611</v>
      </c>
    </row>
    <row r="33" spans="1:17" x14ac:dyDescent="0.35">
      <c r="A33" s="1">
        <v>37797</v>
      </c>
      <c r="B33" s="6">
        <v>726379</v>
      </c>
      <c r="C33" s="6">
        <v>36986</v>
      </c>
      <c r="D33" s="6">
        <v>0</v>
      </c>
      <c r="E33" s="6">
        <v>31055</v>
      </c>
      <c r="F33" s="6">
        <v>5306</v>
      </c>
      <c r="G33" s="6">
        <v>404</v>
      </c>
      <c r="H33" s="6">
        <v>220</v>
      </c>
      <c r="I33" s="6">
        <v>21592</v>
      </c>
      <c r="J33" s="6">
        <v>658969</v>
      </c>
      <c r="K33" s="6">
        <v>7363</v>
      </c>
      <c r="L33" s="6"/>
      <c r="M33" s="6">
        <v>1470</v>
      </c>
      <c r="N33" s="6">
        <v>8657</v>
      </c>
      <c r="O33" s="6">
        <v>8380</v>
      </c>
      <c r="P33" s="6">
        <v>601</v>
      </c>
      <c r="Q33" s="6">
        <v>17639</v>
      </c>
    </row>
    <row r="34" spans="1:17" x14ac:dyDescent="0.35">
      <c r="A34" s="1">
        <v>37804</v>
      </c>
      <c r="B34" s="6">
        <v>722591</v>
      </c>
      <c r="C34" s="6">
        <v>26422</v>
      </c>
      <c r="D34" s="6">
        <v>0</v>
      </c>
      <c r="E34" s="6">
        <v>20019</v>
      </c>
      <c r="F34" s="6">
        <v>5707</v>
      </c>
      <c r="G34" s="6">
        <v>476</v>
      </c>
      <c r="H34" s="6">
        <v>220</v>
      </c>
      <c r="I34" s="6">
        <v>21045</v>
      </c>
      <c r="J34" s="6">
        <v>664475</v>
      </c>
      <c r="K34" s="6">
        <v>9457</v>
      </c>
      <c r="L34" s="6"/>
      <c r="M34" s="6">
        <v>1191</v>
      </c>
      <c r="N34" s="6">
        <v>8659</v>
      </c>
      <c r="O34" s="6">
        <v>8380</v>
      </c>
      <c r="P34" s="6">
        <v>496</v>
      </c>
      <c r="Q34" s="6">
        <v>17535</v>
      </c>
    </row>
    <row r="35" spans="1:17" x14ac:dyDescent="0.35">
      <c r="A35" s="1">
        <v>37811</v>
      </c>
      <c r="B35" s="6">
        <v>726863</v>
      </c>
      <c r="C35" s="6">
        <v>33479</v>
      </c>
      <c r="D35" s="6">
        <v>0</v>
      </c>
      <c r="E35" s="6">
        <v>26571</v>
      </c>
      <c r="F35" s="6">
        <v>6356</v>
      </c>
      <c r="G35" s="6">
        <v>327</v>
      </c>
      <c r="H35" s="6">
        <v>225</v>
      </c>
      <c r="I35" s="6">
        <v>20254</v>
      </c>
      <c r="J35" s="6">
        <v>663529</v>
      </c>
      <c r="K35" s="6">
        <v>8395</v>
      </c>
      <c r="L35" s="6"/>
      <c r="M35" s="6">
        <v>1206</v>
      </c>
      <c r="N35" s="6">
        <v>8660</v>
      </c>
      <c r="O35" s="6">
        <v>8378</v>
      </c>
      <c r="P35" s="6">
        <v>529</v>
      </c>
      <c r="Q35" s="6">
        <v>17567</v>
      </c>
    </row>
    <row r="36" spans="1:17" x14ac:dyDescent="0.35">
      <c r="A36" s="1">
        <v>37818</v>
      </c>
      <c r="B36" s="6">
        <v>720196</v>
      </c>
      <c r="C36" s="6">
        <v>29600</v>
      </c>
      <c r="D36" s="6">
        <v>0</v>
      </c>
      <c r="E36" s="6">
        <v>23429</v>
      </c>
      <c r="F36" s="6">
        <v>5724</v>
      </c>
      <c r="G36" s="6">
        <v>128</v>
      </c>
      <c r="H36" s="6">
        <v>318</v>
      </c>
      <c r="I36" s="6">
        <v>20346</v>
      </c>
      <c r="J36" s="6">
        <v>660851</v>
      </c>
      <c r="K36" s="6">
        <v>8211</v>
      </c>
      <c r="L36" s="6"/>
      <c r="M36" s="6">
        <v>1187</v>
      </c>
      <c r="N36" s="6">
        <v>8662</v>
      </c>
      <c r="O36" s="6">
        <v>8378</v>
      </c>
      <c r="P36" s="6">
        <v>529</v>
      </c>
      <c r="Q36" s="6">
        <v>17569</v>
      </c>
    </row>
    <row r="37" spans="1:17" x14ac:dyDescent="0.35">
      <c r="A37" s="1">
        <v>37825</v>
      </c>
      <c r="B37" s="6">
        <v>727718</v>
      </c>
      <c r="C37" s="6">
        <v>39452</v>
      </c>
      <c r="D37" s="6">
        <v>0</v>
      </c>
      <c r="E37" s="6">
        <v>32837</v>
      </c>
      <c r="F37" s="6">
        <v>6058</v>
      </c>
      <c r="G37" s="6">
        <v>134</v>
      </c>
      <c r="H37" s="6">
        <v>423</v>
      </c>
      <c r="I37" s="6">
        <v>19672</v>
      </c>
      <c r="J37" s="6">
        <v>659725</v>
      </c>
      <c r="K37" s="6">
        <v>7617</v>
      </c>
      <c r="L37" s="6"/>
      <c r="M37" s="6">
        <v>1253</v>
      </c>
      <c r="N37" s="6">
        <v>8714</v>
      </c>
      <c r="O37" s="6">
        <v>8380</v>
      </c>
      <c r="P37" s="6">
        <v>852</v>
      </c>
      <c r="Q37" s="6">
        <v>17947</v>
      </c>
    </row>
    <row r="38" spans="1:17" x14ac:dyDescent="0.35">
      <c r="A38" s="1">
        <v>37832</v>
      </c>
      <c r="B38" s="6">
        <v>722701</v>
      </c>
      <c r="C38" s="6">
        <v>33151</v>
      </c>
      <c r="D38" s="6">
        <v>0</v>
      </c>
      <c r="E38" s="6">
        <v>25879</v>
      </c>
      <c r="F38" s="6">
        <v>6174</v>
      </c>
      <c r="G38" s="6">
        <v>852</v>
      </c>
      <c r="H38" s="6">
        <v>246</v>
      </c>
      <c r="I38" s="6">
        <v>19316</v>
      </c>
      <c r="J38" s="6">
        <v>660686</v>
      </c>
      <c r="K38" s="6">
        <v>8275</v>
      </c>
      <c r="L38" s="6"/>
      <c r="M38" s="6">
        <v>1273</v>
      </c>
      <c r="N38" s="6">
        <v>8719</v>
      </c>
      <c r="O38" s="6">
        <v>8363</v>
      </c>
      <c r="P38" s="6">
        <v>513</v>
      </c>
      <c r="Q38" s="6">
        <v>17594</v>
      </c>
    </row>
    <row r="39" spans="1:17" x14ac:dyDescent="0.35">
      <c r="A39" s="1">
        <v>37839</v>
      </c>
      <c r="B39" s="6">
        <v>716271</v>
      </c>
      <c r="C39" s="6">
        <v>25188</v>
      </c>
      <c r="D39" s="6">
        <v>0</v>
      </c>
      <c r="E39" s="6">
        <v>18340</v>
      </c>
      <c r="F39" s="6">
        <v>6400</v>
      </c>
      <c r="G39" s="6">
        <v>141</v>
      </c>
      <c r="H39" s="6">
        <v>307</v>
      </c>
      <c r="I39" s="6">
        <v>19062</v>
      </c>
      <c r="J39" s="6">
        <v>662226</v>
      </c>
      <c r="K39" s="6">
        <v>8543</v>
      </c>
      <c r="L39" s="6"/>
      <c r="M39" s="6">
        <v>1252</v>
      </c>
      <c r="N39" s="6">
        <v>8721</v>
      </c>
      <c r="O39" s="6">
        <v>8380</v>
      </c>
      <c r="P39" s="6">
        <v>646</v>
      </c>
      <c r="Q39" s="6">
        <v>17747</v>
      </c>
    </row>
    <row r="40" spans="1:17" x14ac:dyDescent="0.35">
      <c r="A40" s="1">
        <v>37846</v>
      </c>
      <c r="B40" s="6">
        <v>717502</v>
      </c>
      <c r="C40" s="6">
        <v>27215</v>
      </c>
      <c r="D40" s="6">
        <v>0</v>
      </c>
      <c r="E40" s="6">
        <v>20690</v>
      </c>
      <c r="F40" s="6">
        <v>5720</v>
      </c>
      <c r="G40" s="6">
        <v>525</v>
      </c>
      <c r="H40" s="6">
        <v>281</v>
      </c>
      <c r="I40" s="6">
        <v>19138</v>
      </c>
      <c r="J40" s="6">
        <v>662014</v>
      </c>
      <c r="K40" s="6">
        <v>7844</v>
      </c>
      <c r="L40" s="6"/>
      <c r="M40" s="6">
        <v>1290</v>
      </c>
      <c r="N40" s="6">
        <v>8724</v>
      </c>
      <c r="O40" s="6">
        <v>8380</v>
      </c>
      <c r="P40" s="6">
        <v>780</v>
      </c>
      <c r="Q40" s="6">
        <v>17884</v>
      </c>
    </row>
    <row r="41" spans="1:17" x14ac:dyDescent="0.35">
      <c r="A41" s="1">
        <v>37853</v>
      </c>
      <c r="B41" s="6">
        <v>733103</v>
      </c>
      <c r="C41" s="6">
        <v>42103</v>
      </c>
      <c r="D41" s="6">
        <v>0</v>
      </c>
      <c r="E41" s="6">
        <v>35188</v>
      </c>
      <c r="F41" s="6">
        <v>6533</v>
      </c>
      <c r="G41" s="6">
        <v>81</v>
      </c>
      <c r="H41" s="6">
        <v>301</v>
      </c>
      <c r="I41" s="6">
        <v>20344</v>
      </c>
      <c r="J41" s="6">
        <v>661727</v>
      </c>
      <c r="K41" s="6">
        <v>7667</v>
      </c>
      <c r="L41" s="6"/>
      <c r="M41" s="6">
        <v>1262</v>
      </c>
      <c r="N41" s="6">
        <v>8725</v>
      </c>
      <c r="O41" s="6">
        <v>8380</v>
      </c>
      <c r="P41" s="6">
        <v>617</v>
      </c>
      <c r="Q41" s="6">
        <v>17722</v>
      </c>
    </row>
    <row r="42" spans="1:17" x14ac:dyDescent="0.35">
      <c r="A42" s="1">
        <v>37860</v>
      </c>
      <c r="B42" s="6">
        <v>722929</v>
      </c>
      <c r="C42" s="6">
        <v>31731</v>
      </c>
      <c r="D42" s="6">
        <v>0</v>
      </c>
      <c r="E42" s="6">
        <v>25927</v>
      </c>
      <c r="F42" s="6">
        <v>5441</v>
      </c>
      <c r="G42" s="6">
        <v>81</v>
      </c>
      <c r="H42" s="6">
        <v>282</v>
      </c>
      <c r="I42" s="6">
        <v>19119</v>
      </c>
      <c r="J42" s="6">
        <v>663418</v>
      </c>
      <c r="K42" s="6">
        <v>7355</v>
      </c>
      <c r="L42" s="6"/>
      <c r="M42" s="6">
        <v>1307</v>
      </c>
      <c r="N42" s="6">
        <v>8748</v>
      </c>
      <c r="O42" s="6">
        <v>8380</v>
      </c>
      <c r="P42" s="6">
        <v>580</v>
      </c>
      <c r="Q42" s="6">
        <v>17708</v>
      </c>
    </row>
    <row r="43" spans="1:17" x14ac:dyDescent="0.35">
      <c r="A43" s="1">
        <v>37867</v>
      </c>
      <c r="B43" s="6">
        <v>732576</v>
      </c>
      <c r="C43" s="6">
        <v>34317</v>
      </c>
      <c r="D43" s="6">
        <v>0</v>
      </c>
      <c r="E43" s="6">
        <v>28866</v>
      </c>
      <c r="F43" s="6">
        <v>4525</v>
      </c>
      <c r="G43" s="6">
        <v>686</v>
      </c>
      <c r="H43" s="6">
        <v>240</v>
      </c>
      <c r="I43" s="6">
        <v>18757</v>
      </c>
      <c r="J43" s="6">
        <v>667212</v>
      </c>
      <c r="K43" s="6">
        <v>10994</v>
      </c>
      <c r="L43" s="6"/>
      <c r="M43" s="6">
        <v>1296</v>
      </c>
      <c r="N43" s="6">
        <v>8752</v>
      </c>
      <c r="O43" s="6">
        <v>8380</v>
      </c>
      <c r="P43" s="6">
        <v>752</v>
      </c>
      <c r="Q43" s="6">
        <v>17885</v>
      </c>
    </row>
    <row r="44" spans="1:17" x14ac:dyDescent="0.35">
      <c r="A44" s="1">
        <v>37874</v>
      </c>
      <c r="B44" s="6">
        <v>719102</v>
      </c>
      <c r="C44" s="6">
        <v>26161</v>
      </c>
      <c r="D44" s="6">
        <v>0</v>
      </c>
      <c r="E44" s="6">
        <v>20755</v>
      </c>
      <c r="F44" s="6">
        <v>5039</v>
      </c>
      <c r="G44" s="6">
        <v>80</v>
      </c>
      <c r="H44" s="6">
        <v>287</v>
      </c>
      <c r="I44" s="6">
        <v>19719</v>
      </c>
      <c r="J44" s="6">
        <v>664058</v>
      </c>
      <c r="K44" s="6">
        <v>7849</v>
      </c>
      <c r="L44" s="6"/>
      <c r="M44" s="6">
        <v>1315</v>
      </c>
      <c r="N44" s="6">
        <v>8755</v>
      </c>
      <c r="O44" s="6">
        <v>8380</v>
      </c>
      <c r="P44" s="6">
        <v>996</v>
      </c>
      <c r="Q44" s="6">
        <v>18131</v>
      </c>
    </row>
    <row r="45" spans="1:17" x14ac:dyDescent="0.35">
      <c r="A45" s="1">
        <v>37881</v>
      </c>
      <c r="B45" s="6">
        <v>725918</v>
      </c>
      <c r="C45" s="6">
        <v>34823</v>
      </c>
      <c r="D45" s="6">
        <v>0</v>
      </c>
      <c r="E45" s="6">
        <v>27034</v>
      </c>
      <c r="F45" s="6">
        <v>7247</v>
      </c>
      <c r="G45" s="6">
        <v>270</v>
      </c>
      <c r="H45" s="6">
        <v>272</v>
      </c>
      <c r="I45" s="6">
        <v>18972</v>
      </c>
      <c r="J45" s="6">
        <v>662927</v>
      </c>
      <c r="K45" s="6">
        <v>7889</v>
      </c>
      <c r="L45" s="6"/>
      <c r="M45" s="6">
        <v>1308</v>
      </c>
      <c r="N45" s="6">
        <v>8755</v>
      </c>
      <c r="O45" s="6">
        <v>8380</v>
      </c>
      <c r="P45" s="6">
        <v>885</v>
      </c>
      <c r="Q45" s="6">
        <v>18021</v>
      </c>
    </row>
    <row r="46" spans="1:17" x14ac:dyDescent="0.35">
      <c r="A46" s="1">
        <v>37888</v>
      </c>
      <c r="B46" s="6">
        <v>722790</v>
      </c>
      <c r="C46" s="6">
        <v>32208</v>
      </c>
      <c r="D46" s="6">
        <v>0</v>
      </c>
      <c r="E46" s="6">
        <v>25027</v>
      </c>
      <c r="F46" s="6">
        <v>6837</v>
      </c>
      <c r="G46" s="6">
        <v>82</v>
      </c>
      <c r="H46" s="6">
        <v>262</v>
      </c>
      <c r="I46" s="6">
        <v>18801</v>
      </c>
      <c r="J46" s="6">
        <v>663314</v>
      </c>
      <c r="K46" s="6">
        <v>7112</v>
      </c>
      <c r="L46" s="6"/>
      <c r="M46" s="6">
        <v>1354</v>
      </c>
      <c r="N46" s="6">
        <v>8758</v>
      </c>
      <c r="O46" s="6">
        <v>8380</v>
      </c>
      <c r="P46" s="6">
        <v>1265</v>
      </c>
      <c r="Q46" s="6">
        <v>18403</v>
      </c>
    </row>
    <row r="47" spans="1:17" x14ac:dyDescent="0.35">
      <c r="A47" s="1">
        <v>37895</v>
      </c>
      <c r="B47" s="6">
        <v>734967</v>
      </c>
      <c r="C47" s="6">
        <v>38548</v>
      </c>
      <c r="D47" s="6">
        <v>0</v>
      </c>
      <c r="E47" s="6">
        <v>32794</v>
      </c>
      <c r="F47" s="6">
        <v>4922</v>
      </c>
      <c r="G47" s="6">
        <v>496</v>
      </c>
      <c r="H47" s="6">
        <v>336</v>
      </c>
      <c r="I47" s="6">
        <v>22090</v>
      </c>
      <c r="J47" s="6">
        <v>664812</v>
      </c>
      <c r="K47" s="6">
        <v>8198</v>
      </c>
      <c r="L47" s="6"/>
      <c r="M47" s="6">
        <v>1320</v>
      </c>
      <c r="N47" s="6">
        <v>8746</v>
      </c>
      <c r="O47" s="6">
        <v>8380</v>
      </c>
      <c r="P47" s="6">
        <v>1061</v>
      </c>
      <c r="Q47" s="6">
        <v>18187</v>
      </c>
    </row>
    <row r="48" spans="1:17" x14ac:dyDescent="0.35">
      <c r="A48" s="1">
        <v>37902</v>
      </c>
      <c r="B48" s="6">
        <v>719060</v>
      </c>
      <c r="C48" s="6">
        <v>23618</v>
      </c>
      <c r="D48" s="6">
        <v>0</v>
      </c>
      <c r="E48" s="6">
        <v>18268</v>
      </c>
      <c r="F48" s="6">
        <v>4935</v>
      </c>
      <c r="G48" s="6">
        <v>81</v>
      </c>
      <c r="H48" s="6">
        <v>334</v>
      </c>
      <c r="I48" s="6">
        <v>18951</v>
      </c>
      <c r="J48" s="6">
        <v>667174</v>
      </c>
      <c r="K48" s="6">
        <v>7958</v>
      </c>
      <c r="L48" s="6"/>
      <c r="M48" s="6">
        <v>1359</v>
      </c>
      <c r="N48" s="6">
        <v>8747</v>
      </c>
      <c r="O48" s="6">
        <v>8380</v>
      </c>
      <c r="P48" s="6">
        <v>920</v>
      </c>
      <c r="Q48" s="6">
        <v>18048</v>
      </c>
    </row>
    <row r="49" spans="1:17" x14ac:dyDescent="0.35">
      <c r="A49" s="1">
        <v>37909</v>
      </c>
      <c r="B49" s="6">
        <v>736494</v>
      </c>
      <c r="C49" s="6">
        <v>35130</v>
      </c>
      <c r="D49" s="6">
        <v>0</v>
      </c>
      <c r="E49" s="6">
        <v>29820</v>
      </c>
      <c r="F49" s="6">
        <v>4857</v>
      </c>
      <c r="G49" s="6">
        <v>165</v>
      </c>
      <c r="H49" s="6">
        <v>289</v>
      </c>
      <c r="I49" s="6">
        <v>18642</v>
      </c>
      <c r="J49" s="6">
        <v>670061</v>
      </c>
      <c r="K49" s="6">
        <v>11307</v>
      </c>
      <c r="L49" s="6"/>
      <c r="M49" s="6">
        <v>1353</v>
      </c>
      <c r="N49" s="6">
        <v>8739</v>
      </c>
      <c r="O49" s="6">
        <v>8375</v>
      </c>
      <c r="P49" s="6">
        <v>621</v>
      </c>
      <c r="Q49" s="6">
        <v>17735</v>
      </c>
    </row>
    <row r="50" spans="1:17" x14ac:dyDescent="0.35">
      <c r="A50" s="1">
        <v>37916</v>
      </c>
      <c r="B50" s="6">
        <v>725515</v>
      </c>
      <c r="C50" s="6">
        <v>29303</v>
      </c>
      <c r="D50" s="6">
        <v>0</v>
      </c>
      <c r="E50" s="6">
        <v>23802</v>
      </c>
      <c r="F50" s="6">
        <v>5123</v>
      </c>
      <c r="G50" s="6">
        <v>99</v>
      </c>
      <c r="H50" s="6">
        <v>279</v>
      </c>
      <c r="I50" s="6">
        <v>18111</v>
      </c>
      <c r="J50" s="6">
        <v>669207</v>
      </c>
      <c r="K50" s="6">
        <v>7513</v>
      </c>
      <c r="L50" s="6"/>
      <c r="M50" s="6">
        <v>1380</v>
      </c>
      <c r="N50" s="6">
        <v>8734</v>
      </c>
      <c r="O50" s="6">
        <v>8380</v>
      </c>
      <c r="P50" s="6">
        <v>950</v>
      </c>
      <c r="Q50" s="6">
        <v>18063</v>
      </c>
    </row>
    <row r="51" spans="1:17" x14ac:dyDescent="0.35">
      <c r="A51" s="1">
        <v>37923</v>
      </c>
      <c r="B51" s="6">
        <v>729469</v>
      </c>
      <c r="C51" s="6">
        <v>32601</v>
      </c>
      <c r="D51" s="6">
        <v>0</v>
      </c>
      <c r="E51" s="6">
        <v>26560</v>
      </c>
      <c r="F51" s="6">
        <v>5672</v>
      </c>
      <c r="G51" s="6">
        <v>85</v>
      </c>
      <c r="H51" s="6">
        <v>283</v>
      </c>
      <c r="I51" s="6">
        <v>19286</v>
      </c>
      <c r="J51" s="6">
        <v>669367</v>
      </c>
      <c r="K51" s="6">
        <v>6799</v>
      </c>
      <c r="L51" s="6"/>
      <c r="M51" s="6">
        <v>1417</v>
      </c>
      <c r="N51" s="6">
        <v>8742</v>
      </c>
      <c r="O51" s="6">
        <v>8380</v>
      </c>
      <c r="P51" s="6">
        <v>681</v>
      </c>
      <c r="Q51" s="6">
        <v>17803</v>
      </c>
    </row>
    <row r="52" spans="1:17" x14ac:dyDescent="0.35">
      <c r="A52" s="1">
        <v>37930</v>
      </c>
      <c r="B52" s="6">
        <v>726552</v>
      </c>
      <c r="C52" s="6">
        <v>24960</v>
      </c>
      <c r="D52" s="6">
        <v>0</v>
      </c>
      <c r="E52" s="6">
        <v>19567</v>
      </c>
      <c r="F52" s="6">
        <v>4615</v>
      </c>
      <c r="G52" s="6">
        <v>458</v>
      </c>
      <c r="H52" s="6">
        <v>320</v>
      </c>
      <c r="I52" s="6">
        <v>21001</v>
      </c>
      <c r="J52" s="6">
        <v>670849</v>
      </c>
      <c r="K52" s="6">
        <v>8364</v>
      </c>
      <c r="L52" s="6"/>
      <c r="M52" s="6">
        <v>1378</v>
      </c>
      <c r="N52" s="6">
        <v>8754</v>
      </c>
      <c r="O52" s="6">
        <v>8335</v>
      </c>
      <c r="P52" s="6">
        <v>475</v>
      </c>
      <c r="Q52" s="6">
        <v>17564</v>
      </c>
    </row>
    <row r="53" spans="1:17" x14ac:dyDescent="0.35">
      <c r="A53" s="1">
        <v>37937</v>
      </c>
      <c r="B53" s="6">
        <v>727472</v>
      </c>
      <c r="C53" s="6">
        <v>27724</v>
      </c>
      <c r="D53" s="6">
        <v>0</v>
      </c>
      <c r="E53" s="6">
        <v>22650</v>
      </c>
      <c r="F53" s="6">
        <v>4614</v>
      </c>
      <c r="G53" s="6">
        <v>147</v>
      </c>
      <c r="H53" s="6">
        <v>314</v>
      </c>
      <c r="I53" s="6">
        <v>17386</v>
      </c>
      <c r="J53" s="6">
        <v>674369</v>
      </c>
      <c r="K53" s="6">
        <v>6576</v>
      </c>
      <c r="L53" s="6"/>
      <c r="M53" s="6">
        <v>1417</v>
      </c>
      <c r="N53" s="6">
        <v>8784</v>
      </c>
      <c r="O53" s="6">
        <v>8380</v>
      </c>
      <c r="P53" s="6">
        <v>968</v>
      </c>
      <c r="Q53" s="6">
        <v>18132</v>
      </c>
    </row>
    <row r="54" spans="1:17" x14ac:dyDescent="0.35">
      <c r="A54" s="1">
        <v>37944</v>
      </c>
      <c r="B54" s="6">
        <v>726356</v>
      </c>
      <c r="C54" s="6">
        <v>25924</v>
      </c>
      <c r="D54" s="6">
        <v>0</v>
      </c>
      <c r="E54" s="6">
        <v>20365</v>
      </c>
      <c r="F54" s="6">
        <v>5175</v>
      </c>
      <c r="G54" s="6">
        <v>76</v>
      </c>
      <c r="H54" s="6">
        <v>308</v>
      </c>
      <c r="I54" s="6">
        <v>17902</v>
      </c>
      <c r="J54" s="6">
        <v>673434</v>
      </c>
      <c r="K54" s="6">
        <v>7699</v>
      </c>
      <c r="L54" s="6"/>
      <c r="M54" s="6">
        <v>1398</v>
      </c>
      <c r="N54" s="6">
        <v>8786</v>
      </c>
      <c r="O54" s="6">
        <v>8380</v>
      </c>
      <c r="P54" s="6">
        <v>999</v>
      </c>
      <c r="Q54" s="6">
        <v>18165</v>
      </c>
    </row>
    <row r="55" spans="1:17" x14ac:dyDescent="0.35">
      <c r="A55" s="1">
        <v>37951</v>
      </c>
      <c r="B55" s="6">
        <v>738896</v>
      </c>
      <c r="C55" s="6">
        <v>32954</v>
      </c>
      <c r="D55" s="6">
        <v>0</v>
      </c>
      <c r="E55" s="6">
        <v>27239</v>
      </c>
      <c r="F55" s="6">
        <v>5377</v>
      </c>
      <c r="G55" s="6">
        <v>82</v>
      </c>
      <c r="H55" s="6">
        <v>255</v>
      </c>
      <c r="I55" s="6">
        <v>17955</v>
      </c>
      <c r="J55" s="6">
        <v>679026</v>
      </c>
      <c r="K55" s="6">
        <v>7520</v>
      </c>
      <c r="L55" s="6"/>
      <c r="M55" s="6">
        <v>1441</v>
      </c>
      <c r="N55" s="6">
        <v>8828</v>
      </c>
      <c r="O55" s="6">
        <v>8380</v>
      </c>
      <c r="P55" s="6">
        <v>860</v>
      </c>
      <c r="Q55" s="6">
        <v>18068</v>
      </c>
    </row>
    <row r="56" spans="1:17" x14ac:dyDescent="0.35">
      <c r="A56" s="1">
        <v>37958</v>
      </c>
      <c r="B56" s="6">
        <v>731809</v>
      </c>
      <c r="C56" s="6">
        <v>24433</v>
      </c>
      <c r="D56" s="6">
        <v>0</v>
      </c>
      <c r="E56" s="6">
        <v>19660</v>
      </c>
      <c r="F56" s="6">
        <v>4374</v>
      </c>
      <c r="G56" s="6">
        <v>116</v>
      </c>
      <c r="H56" s="6">
        <v>282</v>
      </c>
      <c r="I56" s="6">
        <v>18731</v>
      </c>
      <c r="J56" s="6">
        <v>679352</v>
      </c>
      <c r="K56" s="6">
        <v>7863</v>
      </c>
      <c r="L56" s="6"/>
      <c r="M56" s="6">
        <v>1431</v>
      </c>
      <c r="N56" s="6">
        <v>8832</v>
      </c>
      <c r="O56" s="6">
        <v>8380</v>
      </c>
      <c r="P56" s="6">
        <v>961</v>
      </c>
      <c r="Q56" s="6">
        <v>18173</v>
      </c>
    </row>
    <row r="57" spans="1:17" x14ac:dyDescent="0.35">
      <c r="A57" s="1">
        <v>37965</v>
      </c>
      <c r="B57" s="6">
        <v>738424</v>
      </c>
      <c r="C57" s="6">
        <v>31823</v>
      </c>
      <c r="D57" s="6">
        <v>0</v>
      </c>
      <c r="E57" s="6">
        <v>26336</v>
      </c>
      <c r="F57" s="6">
        <v>5162</v>
      </c>
      <c r="G57" s="6">
        <v>83</v>
      </c>
      <c r="H57" s="6">
        <v>241</v>
      </c>
      <c r="I57" s="6">
        <v>18964</v>
      </c>
      <c r="J57" s="6">
        <v>678524</v>
      </c>
      <c r="K57" s="6">
        <v>7654</v>
      </c>
      <c r="L57" s="6"/>
      <c r="M57" s="6">
        <v>1460</v>
      </c>
      <c r="N57" s="6">
        <v>8824</v>
      </c>
      <c r="O57" s="6">
        <v>8380</v>
      </c>
      <c r="P57" s="6">
        <v>957</v>
      </c>
      <c r="Q57" s="6">
        <v>18161</v>
      </c>
    </row>
    <row r="58" spans="1:17" x14ac:dyDescent="0.35">
      <c r="A58" s="1">
        <v>37972</v>
      </c>
      <c r="B58" s="6">
        <v>735583</v>
      </c>
      <c r="C58" s="6">
        <v>26510</v>
      </c>
      <c r="D58" s="6">
        <v>0</v>
      </c>
      <c r="E58" s="6">
        <v>18735</v>
      </c>
      <c r="F58" s="6">
        <v>7455</v>
      </c>
      <c r="G58" s="6">
        <v>83</v>
      </c>
      <c r="H58" s="6">
        <v>236</v>
      </c>
      <c r="I58" s="6">
        <v>17657</v>
      </c>
      <c r="J58" s="6">
        <v>681648</v>
      </c>
      <c r="K58" s="6">
        <v>8332</v>
      </c>
      <c r="L58" s="6"/>
      <c r="M58" s="6">
        <v>1437</v>
      </c>
      <c r="N58" s="6">
        <v>8839</v>
      </c>
      <c r="O58" s="6">
        <v>8380</v>
      </c>
      <c r="P58" s="6">
        <v>1117</v>
      </c>
      <c r="Q58" s="6">
        <v>18336</v>
      </c>
    </row>
    <row r="59" spans="1:17" x14ac:dyDescent="0.35">
      <c r="A59" s="1">
        <v>37979</v>
      </c>
      <c r="B59" s="6">
        <v>748857</v>
      </c>
      <c r="C59" s="6">
        <v>30293</v>
      </c>
      <c r="D59" s="6">
        <v>0</v>
      </c>
      <c r="E59" s="6">
        <v>25242</v>
      </c>
      <c r="F59" s="6">
        <v>4670</v>
      </c>
      <c r="G59" s="6">
        <v>128</v>
      </c>
      <c r="H59" s="6">
        <v>253</v>
      </c>
      <c r="I59" s="6">
        <v>19764</v>
      </c>
      <c r="J59" s="6">
        <v>688750</v>
      </c>
      <c r="K59" s="6">
        <v>8562</v>
      </c>
      <c r="L59" s="6"/>
      <c r="M59" s="6">
        <v>1487</v>
      </c>
      <c r="N59" s="6">
        <v>8843</v>
      </c>
      <c r="O59" s="6">
        <v>8380</v>
      </c>
      <c r="P59" s="6">
        <v>931</v>
      </c>
      <c r="Q59" s="6">
        <v>18154</v>
      </c>
    </row>
    <row r="60" spans="1:17" x14ac:dyDescent="0.35">
      <c r="A60" s="1">
        <v>37986</v>
      </c>
      <c r="B60" s="6">
        <v>753857</v>
      </c>
      <c r="C60" s="6">
        <v>29660</v>
      </c>
      <c r="D60" s="6">
        <v>0</v>
      </c>
      <c r="E60" s="6">
        <v>23058</v>
      </c>
      <c r="F60" s="6">
        <v>5723</v>
      </c>
      <c r="G60" s="6">
        <v>162</v>
      </c>
      <c r="H60" s="6">
        <v>717</v>
      </c>
      <c r="I60" s="6">
        <v>25652</v>
      </c>
      <c r="J60" s="6">
        <v>689757</v>
      </c>
      <c r="K60" s="6">
        <v>7582</v>
      </c>
      <c r="L60" s="6"/>
      <c r="M60" s="6">
        <v>1206</v>
      </c>
      <c r="N60" s="6">
        <v>8847</v>
      </c>
      <c r="O60" s="6">
        <v>8847</v>
      </c>
      <c r="P60" s="6">
        <v>0</v>
      </c>
      <c r="Q60" s="6">
        <v>17694</v>
      </c>
    </row>
    <row r="61" spans="1:17" x14ac:dyDescent="0.35">
      <c r="A61" s="1">
        <v>37993</v>
      </c>
      <c r="B61" s="6">
        <v>737549</v>
      </c>
      <c r="C61" s="6">
        <v>25080</v>
      </c>
      <c r="D61" s="6">
        <v>0</v>
      </c>
      <c r="E61" s="6">
        <v>19856</v>
      </c>
      <c r="F61" s="6">
        <v>4915</v>
      </c>
      <c r="G61" s="6">
        <v>84</v>
      </c>
      <c r="H61" s="6">
        <v>225</v>
      </c>
      <c r="I61" s="6">
        <v>19587</v>
      </c>
      <c r="J61" s="6">
        <v>683391</v>
      </c>
      <c r="K61" s="6">
        <v>8279</v>
      </c>
      <c r="L61" s="6"/>
      <c r="M61" s="6">
        <v>1213</v>
      </c>
      <c r="N61" s="6">
        <v>8851</v>
      </c>
      <c r="O61" s="6">
        <v>8847</v>
      </c>
      <c r="P61" s="6">
        <v>583</v>
      </c>
      <c r="Q61" s="6">
        <v>18281</v>
      </c>
    </row>
    <row r="62" spans="1:17" x14ac:dyDescent="0.35">
      <c r="A62" s="1">
        <v>38000</v>
      </c>
      <c r="B62" s="6">
        <v>734672</v>
      </c>
      <c r="C62" s="6">
        <v>27310</v>
      </c>
      <c r="D62" s="6">
        <v>0</v>
      </c>
      <c r="E62" s="6">
        <v>21503</v>
      </c>
      <c r="F62" s="6">
        <v>5398</v>
      </c>
      <c r="G62" s="6">
        <v>81</v>
      </c>
      <c r="H62" s="6">
        <v>328</v>
      </c>
      <c r="I62" s="6">
        <v>20721</v>
      </c>
      <c r="J62" s="6">
        <v>677440</v>
      </c>
      <c r="K62" s="6">
        <v>7907</v>
      </c>
      <c r="L62" s="6"/>
      <c r="M62" s="6">
        <v>1293</v>
      </c>
      <c r="N62" s="6">
        <v>8875</v>
      </c>
      <c r="O62" s="6">
        <v>8847</v>
      </c>
      <c r="P62" s="6">
        <v>419</v>
      </c>
      <c r="Q62" s="6">
        <v>18141</v>
      </c>
    </row>
    <row r="63" spans="1:17" x14ac:dyDescent="0.35">
      <c r="A63" s="1">
        <v>38007</v>
      </c>
      <c r="B63" s="6">
        <v>757941</v>
      </c>
      <c r="C63" s="6">
        <v>48816</v>
      </c>
      <c r="D63" s="6">
        <v>0</v>
      </c>
      <c r="E63" s="6">
        <v>40544</v>
      </c>
      <c r="F63" s="6">
        <v>7740</v>
      </c>
      <c r="G63" s="6">
        <v>116</v>
      </c>
      <c r="H63" s="6">
        <v>416</v>
      </c>
      <c r="I63" s="6">
        <v>19735</v>
      </c>
      <c r="J63" s="6">
        <v>676625</v>
      </c>
      <c r="K63" s="6">
        <v>11408</v>
      </c>
      <c r="L63" s="6"/>
      <c r="M63" s="6">
        <v>1357</v>
      </c>
      <c r="N63" s="6">
        <v>8875</v>
      </c>
      <c r="O63" s="6">
        <v>8847</v>
      </c>
      <c r="P63" s="6">
        <v>170</v>
      </c>
      <c r="Q63" s="6">
        <v>17892</v>
      </c>
    </row>
    <row r="64" spans="1:17" x14ac:dyDescent="0.35">
      <c r="A64" s="1">
        <v>38014</v>
      </c>
      <c r="B64" s="6">
        <v>737044</v>
      </c>
      <c r="C64" s="6">
        <v>31035</v>
      </c>
      <c r="D64" s="6">
        <v>0</v>
      </c>
      <c r="E64" s="6">
        <v>25329</v>
      </c>
      <c r="F64" s="6">
        <v>5247</v>
      </c>
      <c r="G64" s="6">
        <v>82</v>
      </c>
      <c r="H64" s="6">
        <v>378</v>
      </c>
      <c r="I64" s="6">
        <v>20694</v>
      </c>
      <c r="J64" s="6">
        <v>676265</v>
      </c>
      <c r="K64" s="6">
        <v>7647</v>
      </c>
      <c r="L64" s="6"/>
      <c r="M64" s="6">
        <v>1404</v>
      </c>
      <c r="N64" s="6">
        <v>8886</v>
      </c>
      <c r="O64" s="6">
        <v>8847</v>
      </c>
      <c r="P64" s="6">
        <v>502</v>
      </c>
      <c r="Q64" s="6">
        <v>18235</v>
      </c>
    </row>
    <row r="65" spans="1:17" x14ac:dyDescent="0.35">
      <c r="A65" s="1">
        <v>38021</v>
      </c>
      <c r="B65" s="6">
        <v>736137</v>
      </c>
      <c r="C65" s="6">
        <v>27507</v>
      </c>
      <c r="D65" s="6">
        <v>0</v>
      </c>
      <c r="E65" s="6">
        <v>21282</v>
      </c>
      <c r="F65" s="6">
        <v>5728</v>
      </c>
      <c r="G65" s="6">
        <v>80</v>
      </c>
      <c r="H65" s="6">
        <v>418</v>
      </c>
      <c r="I65" s="6">
        <v>20426</v>
      </c>
      <c r="J65" s="6">
        <v>678300</v>
      </c>
      <c r="K65" s="6">
        <v>8582</v>
      </c>
      <c r="L65" s="6"/>
      <c r="M65" s="6">
        <v>1321</v>
      </c>
      <c r="N65" s="6">
        <v>8889</v>
      </c>
      <c r="O65" s="6">
        <v>8847</v>
      </c>
      <c r="P65" s="6">
        <v>280</v>
      </c>
      <c r="Q65" s="6">
        <v>18016</v>
      </c>
    </row>
    <row r="66" spans="1:17" x14ac:dyDescent="0.35">
      <c r="A66" s="1">
        <v>38028</v>
      </c>
      <c r="B66" s="6">
        <v>732619</v>
      </c>
      <c r="C66" s="6">
        <v>23408</v>
      </c>
      <c r="D66" s="6">
        <v>0</v>
      </c>
      <c r="E66" s="6">
        <v>17688</v>
      </c>
      <c r="F66" s="6">
        <v>5247</v>
      </c>
      <c r="G66" s="6">
        <v>82</v>
      </c>
      <c r="H66" s="6">
        <v>390</v>
      </c>
      <c r="I66" s="6">
        <v>20059</v>
      </c>
      <c r="J66" s="6">
        <v>680270</v>
      </c>
      <c r="K66" s="6">
        <v>7509</v>
      </c>
      <c r="L66" s="6"/>
      <c r="M66" s="6">
        <v>1373</v>
      </c>
      <c r="N66" s="6">
        <v>8894</v>
      </c>
      <c r="O66" s="6">
        <v>8847</v>
      </c>
      <c r="P66" s="6">
        <v>639</v>
      </c>
      <c r="Q66" s="6">
        <v>18380</v>
      </c>
    </row>
    <row r="67" spans="1:17" x14ac:dyDescent="0.35">
      <c r="A67" s="1">
        <v>38035</v>
      </c>
      <c r="B67" s="6">
        <v>740683</v>
      </c>
      <c r="C67" s="6">
        <v>26331</v>
      </c>
      <c r="D67" s="6">
        <v>0</v>
      </c>
      <c r="E67" s="6">
        <v>20938</v>
      </c>
      <c r="F67" s="6">
        <v>5004</v>
      </c>
      <c r="G67" s="6">
        <v>82</v>
      </c>
      <c r="H67" s="6">
        <v>308</v>
      </c>
      <c r="I67" s="6">
        <v>19951</v>
      </c>
      <c r="J67" s="6">
        <v>682243</v>
      </c>
      <c r="K67" s="6">
        <v>10806</v>
      </c>
      <c r="L67" s="6"/>
      <c r="M67" s="6">
        <v>1353</v>
      </c>
      <c r="N67" s="6">
        <v>8898</v>
      </c>
      <c r="O67" s="6">
        <v>8847</v>
      </c>
      <c r="P67" s="6">
        <v>332</v>
      </c>
      <c r="Q67" s="6">
        <v>18076</v>
      </c>
    </row>
    <row r="68" spans="1:17" x14ac:dyDescent="0.35">
      <c r="A68" s="1">
        <v>38042</v>
      </c>
      <c r="B68" s="6">
        <v>732977</v>
      </c>
      <c r="C68" s="6">
        <v>25434</v>
      </c>
      <c r="D68" s="6">
        <v>0</v>
      </c>
      <c r="E68" s="6">
        <v>19815</v>
      </c>
      <c r="F68" s="6">
        <v>5209</v>
      </c>
      <c r="G68" s="6">
        <v>80</v>
      </c>
      <c r="H68" s="6">
        <v>330</v>
      </c>
      <c r="I68" s="6">
        <v>18872</v>
      </c>
      <c r="J68" s="6">
        <v>680151</v>
      </c>
      <c r="K68" s="6">
        <v>7170</v>
      </c>
      <c r="L68" s="6"/>
      <c r="M68" s="6">
        <v>1350</v>
      </c>
      <c r="N68" s="6">
        <v>8905</v>
      </c>
      <c r="O68" s="6">
        <v>8700</v>
      </c>
      <c r="P68" s="6">
        <v>84</v>
      </c>
      <c r="Q68" s="6">
        <v>17689</v>
      </c>
    </row>
    <row r="69" spans="1:17" x14ac:dyDescent="0.35">
      <c r="A69" s="1">
        <v>38049</v>
      </c>
      <c r="B69" s="6">
        <v>737320</v>
      </c>
      <c r="C69" s="6">
        <v>28201</v>
      </c>
      <c r="D69" s="6">
        <v>0</v>
      </c>
      <c r="E69" s="6">
        <v>23087</v>
      </c>
      <c r="F69" s="6">
        <v>4698</v>
      </c>
      <c r="G69" s="6">
        <v>82</v>
      </c>
      <c r="H69" s="6">
        <v>335</v>
      </c>
      <c r="I69" s="6">
        <v>18886</v>
      </c>
      <c r="J69" s="6">
        <v>680230</v>
      </c>
      <c r="K69" s="6">
        <v>8680</v>
      </c>
      <c r="L69" s="6"/>
      <c r="M69" s="6">
        <v>1323</v>
      </c>
      <c r="N69" s="6">
        <v>8966</v>
      </c>
      <c r="O69" s="6">
        <v>8508</v>
      </c>
      <c r="P69" s="6">
        <v>72</v>
      </c>
      <c r="Q69" s="6">
        <v>17547</v>
      </c>
    </row>
    <row r="70" spans="1:17" x14ac:dyDescent="0.35">
      <c r="A70" s="1">
        <v>38056</v>
      </c>
      <c r="B70" s="6">
        <v>731964</v>
      </c>
      <c r="C70" s="6">
        <v>24155</v>
      </c>
      <c r="D70" s="6">
        <v>0</v>
      </c>
      <c r="E70" s="6">
        <v>19278</v>
      </c>
      <c r="F70" s="6">
        <v>4415</v>
      </c>
      <c r="G70" s="6">
        <v>138</v>
      </c>
      <c r="H70" s="6">
        <v>324</v>
      </c>
      <c r="I70" s="6">
        <v>19191</v>
      </c>
      <c r="J70" s="6">
        <v>680472</v>
      </c>
      <c r="K70" s="6">
        <v>6785</v>
      </c>
      <c r="L70" s="6"/>
      <c r="M70" s="6">
        <v>1361</v>
      </c>
      <c r="N70" s="6">
        <v>8971</v>
      </c>
      <c r="O70" s="6">
        <v>8681</v>
      </c>
      <c r="P70" s="6">
        <v>334</v>
      </c>
      <c r="Q70" s="6">
        <v>17986</v>
      </c>
    </row>
    <row r="71" spans="1:17" x14ac:dyDescent="0.35">
      <c r="A71" s="1">
        <v>38063</v>
      </c>
      <c r="B71" s="6">
        <v>742288</v>
      </c>
      <c r="C71" s="6">
        <v>34489</v>
      </c>
      <c r="D71" s="6">
        <v>0</v>
      </c>
      <c r="E71" s="6">
        <v>27635</v>
      </c>
      <c r="F71" s="6">
        <v>6415</v>
      </c>
      <c r="G71" s="6">
        <v>112</v>
      </c>
      <c r="H71" s="6">
        <v>326</v>
      </c>
      <c r="I71" s="6">
        <v>18770</v>
      </c>
      <c r="J71" s="6">
        <v>681010</v>
      </c>
      <c r="K71" s="6">
        <v>6683</v>
      </c>
      <c r="L71" s="6"/>
      <c r="M71" s="6">
        <v>1335</v>
      </c>
      <c r="N71" s="6">
        <v>8997</v>
      </c>
      <c r="O71" s="6">
        <v>8792</v>
      </c>
      <c r="P71" s="6">
        <v>560</v>
      </c>
      <c r="Q71" s="6">
        <v>18350</v>
      </c>
    </row>
    <row r="72" spans="1:17" x14ac:dyDescent="0.35">
      <c r="A72" s="1">
        <v>38070</v>
      </c>
      <c r="B72" s="6">
        <v>733069</v>
      </c>
      <c r="C72" s="6">
        <v>25447</v>
      </c>
      <c r="D72" s="6">
        <v>0</v>
      </c>
      <c r="E72" s="6">
        <v>20716</v>
      </c>
      <c r="F72" s="6">
        <v>4404</v>
      </c>
      <c r="G72" s="6">
        <v>80</v>
      </c>
      <c r="H72" s="6">
        <v>247</v>
      </c>
      <c r="I72" s="6">
        <v>19987</v>
      </c>
      <c r="J72" s="6">
        <v>680447</v>
      </c>
      <c r="K72" s="6">
        <v>5805</v>
      </c>
      <c r="L72" s="6"/>
      <c r="M72" s="6">
        <v>1383</v>
      </c>
      <c r="N72" s="6">
        <v>8964</v>
      </c>
      <c r="O72" s="6">
        <v>8847</v>
      </c>
      <c r="P72" s="6">
        <v>631</v>
      </c>
      <c r="Q72" s="6">
        <v>18441</v>
      </c>
    </row>
    <row r="73" spans="1:17" x14ac:dyDescent="0.35">
      <c r="A73" s="1">
        <v>38077</v>
      </c>
      <c r="B73" s="6">
        <v>742064</v>
      </c>
      <c r="C73" s="6">
        <v>31153</v>
      </c>
      <c r="D73" s="6">
        <v>0</v>
      </c>
      <c r="E73" s="6">
        <v>24955</v>
      </c>
      <c r="F73" s="6">
        <v>5884</v>
      </c>
      <c r="G73" s="6">
        <v>83</v>
      </c>
      <c r="H73" s="6">
        <v>231</v>
      </c>
      <c r="I73" s="6">
        <v>21701</v>
      </c>
      <c r="J73" s="6">
        <v>681574</v>
      </c>
      <c r="K73" s="6">
        <v>6298</v>
      </c>
      <c r="L73" s="6"/>
      <c r="M73" s="6">
        <v>1337</v>
      </c>
      <c r="N73" s="6">
        <v>8978</v>
      </c>
      <c r="O73" s="6">
        <v>8847</v>
      </c>
      <c r="P73" s="6">
        <v>836</v>
      </c>
      <c r="Q73" s="6">
        <v>18661</v>
      </c>
    </row>
    <row r="74" spans="1:17" x14ac:dyDescent="0.35">
      <c r="A74" s="1">
        <v>38084</v>
      </c>
      <c r="B74" s="6">
        <v>735789</v>
      </c>
      <c r="C74" s="6">
        <v>24882</v>
      </c>
      <c r="D74" s="6">
        <v>0</v>
      </c>
      <c r="E74" s="6">
        <v>19886</v>
      </c>
      <c r="F74" s="6">
        <v>4561</v>
      </c>
      <c r="G74" s="6">
        <v>96</v>
      </c>
      <c r="H74" s="6">
        <v>338</v>
      </c>
      <c r="I74" s="6">
        <v>19072</v>
      </c>
      <c r="J74" s="6">
        <v>683778</v>
      </c>
      <c r="K74" s="6">
        <v>6700</v>
      </c>
      <c r="L74" s="6"/>
      <c r="M74" s="6">
        <v>1356</v>
      </c>
      <c r="N74" s="6">
        <v>8982</v>
      </c>
      <c r="O74" s="6">
        <v>8847</v>
      </c>
      <c r="P74" s="6">
        <v>466</v>
      </c>
      <c r="Q74" s="6">
        <v>18295</v>
      </c>
    </row>
    <row r="75" spans="1:17" x14ac:dyDescent="0.35">
      <c r="A75" s="1">
        <v>38091</v>
      </c>
      <c r="B75" s="6">
        <v>745687</v>
      </c>
      <c r="C75" s="6">
        <v>34058</v>
      </c>
      <c r="D75" s="6">
        <v>0</v>
      </c>
      <c r="E75" s="6">
        <v>28722</v>
      </c>
      <c r="F75" s="6">
        <v>4902</v>
      </c>
      <c r="G75" s="6">
        <v>85</v>
      </c>
      <c r="H75" s="6">
        <v>350</v>
      </c>
      <c r="I75" s="6">
        <v>19470</v>
      </c>
      <c r="J75" s="6">
        <v>684264</v>
      </c>
      <c r="K75" s="6">
        <v>6497</v>
      </c>
      <c r="L75" s="6"/>
      <c r="M75" s="6">
        <v>1398</v>
      </c>
      <c r="N75" s="6">
        <v>8983</v>
      </c>
      <c r="O75" s="6">
        <v>8767</v>
      </c>
      <c r="P75" s="6">
        <v>296</v>
      </c>
      <c r="Q75" s="6">
        <v>18046</v>
      </c>
    </row>
    <row r="76" spans="1:17" x14ac:dyDescent="0.35">
      <c r="A76" s="1">
        <v>38098</v>
      </c>
      <c r="B76" s="6">
        <v>739764</v>
      </c>
      <c r="C76" s="6">
        <v>29736</v>
      </c>
      <c r="D76" s="6">
        <v>0</v>
      </c>
      <c r="E76" s="6">
        <v>23388</v>
      </c>
      <c r="F76" s="6">
        <v>5886</v>
      </c>
      <c r="G76" s="6">
        <v>165</v>
      </c>
      <c r="H76" s="6">
        <v>297</v>
      </c>
      <c r="I76" s="6">
        <v>19260</v>
      </c>
      <c r="J76" s="6">
        <v>682526</v>
      </c>
      <c r="K76" s="6">
        <v>6865</v>
      </c>
      <c r="L76" s="6"/>
      <c r="M76" s="6">
        <v>1377</v>
      </c>
      <c r="N76" s="6">
        <v>9023</v>
      </c>
      <c r="O76" s="6">
        <v>8768</v>
      </c>
      <c r="P76" s="6">
        <v>429</v>
      </c>
      <c r="Q76" s="6">
        <v>18220</v>
      </c>
    </row>
    <row r="77" spans="1:17" x14ac:dyDescent="0.35">
      <c r="A77" s="1">
        <v>38105</v>
      </c>
      <c r="B77" s="6">
        <v>754562</v>
      </c>
      <c r="C77" s="6">
        <v>43274</v>
      </c>
      <c r="D77" s="6">
        <v>0</v>
      </c>
      <c r="E77" s="6">
        <v>36341</v>
      </c>
      <c r="F77" s="6">
        <v>6540</v>
      </c>
      <c r="G77" s="6">
        <v>100</v>
      </c>
      <c r="H77" s="6">
        <v>293</v>
      </c>
      <c r="I77" s="6">
        <v>19689</v>
      </c>
      <c r="J77" s="6">
        <v>683994</v>
      </c>
      <c r="K77" s="6">
        <v>6175</v>
      </c>
      <c r="L77" s="6"/>
      <c r="M77" s="6">
        <v>1430</v>
      </c>
      <c r="N77" s="6">
        <v>9030</v>
      </c>
      <c r="O77" s="6">
        <v>8794</v>
      </c>
      <c r="P77" s="6">
        <v>541</v>
      </c>
      <c r="Q77" s="6">
        <v>18365</v>
      </c>
    </row>
    <row r="78" spans="1:17" x14ac:dyDescent="0.35">
      <c r="A78" s="1">
        <v>38112</v>
      </c>
      <c r="B78" s="6">
        <v>739989</v>
      </c>
      <c r="C78" s="6">
        <v>25174</v>
      </c>
      <c r="D78" s="6">
        <v>0</v>
      </c>
      <c r="E78" s="6">
        <v>18852</v>
      </c>
      <c r="F78" s="6">
        <v>5960</v>
      </c>
      <c r="G78" s="6">
        <v>87</v>
      </c>
      <c r="H78" s="6">
        <v>275</v>
      </c>
      <c r="I78" s="6">
        <v>20653</v>
      </c>
      <c r="J78" s="6">
        <v>685624</v>
      </c>
      <c r="K78" s="6">
        <v>7140</v>
      </c>
      <c r="L78" s="6"/>
      <c r="M78" s="6">
        <v>1398</v>
      </c>
      <c r="N78" s="6">
        <v>9039</v>
      </c>
      <c r="O78" s="6">
        <v>8847</v>
      </c>
      <c r="P78" s="6">
        <v>963</v>
      </c>
      <c r="Q78" s="6">
        <v>18849</v>
      </c>
    </row>
    <row r="79" spans="1:17" x14ac:dyDescent="0.35">
      <c r="A79" s="1">
        <v>38119</v>
      </c>
      <c r="B79" s="6">
        <v>746605</v>
      </c>
      <c r="C79" s="6">
        <v>33811</v>
      </c>
      <c r="D79" s="6">
        <v>0</v>
      </c>
      <c r="E79" s="6">
        <v>28521</v>
      </c>
      <c r="F79" s="6">
        <v>4949</v>
      </c>
      <c r="G79" s="6">
        <v>83</v>
      </c>
      <c r="H79" s="6">
        <v>259</v>
      </c>
      <c r="I79" s="6">
        <v>18711</v>
      </c>
      <c r="J79" s="6">
        <v>686061</v>
      </c>
      <c r="K79" s="6">
        <v>6579</v>
      </c>
      <c r="L79" s="6"/>
      <c r="M79" s="6">
        <v>1442</v>
      </c>
      <c r="N79" s="6">
        <v>9072</v>
      </c>
      <c r="O79" s="6">
        <v>8808</v>
      </c>
      <c r="P79" s="6">
        <v>350</v>
      </c>
      <c r="Q79" s="6">
        <v>18230</v>
      </c>
    </row>
    <row r="80" spans="1:17" x14ac:dyDescent="0.35">
      <c r="A80" s="1">
        <v>38126</v>
      </c>
      <c r="B80" s="6">
        <v>738210</v>
      </c>
      <c r="C80" s="6">
        <v>25658</v>
      </c>
      <c r="D80" s="6">
        <v>0</v>
      </c>
      <c r="E80" s="6">
        <v>20861</v>
      </c>
      <c r="F80" s="6">
        <v>4451</v>
      </c>
      <c r="G80" s="6">
        <v>80</v>
      </c>
      <c r="H80" s="6">
        <v>266</v>
      </c>
      <c r="I80" s="6">
        <v>18273</v>
      </c>
      <c r="J80" s="6">
        <v>686626</v>
      </c>
      <c r="K80" s="6">
        <v>6228</v>
      </c>
      <c r="L80" s="6"/>
      <c r="M80" s="6">
        <v>1424</v>
      </c>
      <c r="N80" s="6">
        <v>9080</v>
      </c>
      <c r="O80" s="6">
        <v>8847</v>
      </c>
      <c r="P80" s="6">
        <v>738</v>
      </c>
      <c r="Q80" s="6">
        <v>18665</v>
      </c>
    </row>
    <row r="81" spans="1:17" x14ac:dyDescent="0.35">
      <c r="A81" s="1">
        <v>38133</v>
      </c>
      <c r="B81" s="6">
        <v>752304</v>
      </c>
      <c r="C81" s="6">
        <v>36473</v>
      </c>
      <c r="D81" s="6">
        <v>0</v>
      </c>
      <c r="E81" s="6">
        <v>31282</v>
      </c>
      <c r="F81" s="6">
        <v>4844</v>
      </c>
      <c r="G81" s="6">
        <v>85</v>
      </c>
      <c r="H81" s="6">
        <v>263</v>
      </c>
      <c r="I81" s="6">
        <v>19331</v>
      </c>
      <c r="J81" s="6">
        <v>689044</v>
      </c>
      <c r="K81" s="6">
        <v>5992</v>
      </c>
      <c r="L81" s="6"/>
      <c r="M81" s="6">
        <v>1463</v>
      </c>
      <c r="N81" s="6">
        <v>9095</v>
      </c>
      <c r="O81" s="6">
        <v>8847</v>
      </c>
      <c r="P81" s="6">
        <v>862</v>
      </c>
      <c r="Q81" s="6">
        <v>18804</v>
      </c>
    </row>
    <row r="82" spans="1:17" x14ac:dyDescent="0.35">
      <c r="A82" s="1">
        <v>38140</v>
      </c>
      <c r="B82" s="6">
        <v>745098</v>
      </c>
      <c r="C82" s="6">
        <v>21842</v>
      </c>
      <c r="D82" s="6">
        <v>0</v>
      </c>
      <c r="E82" s="6">
        <v>19870</v>
      </c>
      <c r="F82" s="6">
        <v>1592</v>
      </c>
      <c r="G82" s="6">
        <v>82</v>
      </c>
      <c r="H82" s="6">
        <v>298</v>
      </c>
      <c r="I82" s="6">
        <v>20292</v>
      </c>
      <c r="J82" s="6">
        <v>693351</v>
      </c>
      <c r="K82" s="6">
        <v>8160</v>
      </c>
      <c r="L82" s="6"/>
      <c r="M82" s="6">
        <v>1452</v>
      </c>
      <c r="N82" s="6">
        <v>9204</v>
      </c>
      <c r="O82" s="6">
        <v>8847</v>
      </c>
      <c r="P82" s="6">
        <v>942</v>
      </c>
      <c r="Q82" s="6">
        <v>18992</v>
      </c>
    </row>
    <row r="83" spans="1:17" x14ac:dyDescent="0.35">
      <c r="A83" s="1">
        <v>38147</v>
      </c>
      <c r="B83" s="6">
        <v>753444</v>
      </c>
      <c r="C83" s="6">
        <v>33598</v>
      </c>
      <c r="D83" s="6">
        <v>0</v>
      </c>
      <c r="E83" s="6">
        <v>28051</v>
      </c>
      <c r="F83" s="6">
        <v>5215</v>
      </c>
      <c r="G83" s="6">
        <v>85</v>
      </c>
      <c r="H83" s="6">
        <v>247</v>
      </c>
      <c r="I83" s="6">
        <v>19942</v>
      </c>
      <c r="J83" s="6">
        <v>691932</v>
      </c>
      <c r="K83" s="6">
        <v>6481</v>
      </c>
      <c r="L83" s="6"/>
      <c r="M83" s="6">
        <v>1491</v>
      </c>
      <c r="N83" s="6">
        <v>9201</v>
      </c>
      <c r="O83" s="6">
        <v>8847</v>
      </c>
      <c r="P83" s="6">
        <v>695</v>
      </c>
      <c r="Q83" s="6">
        <v>18743</v>
      </c>
    </row>
    <row r="84" spans="1:17" x14ac:dyDescent="0.35">
      <c r="A84" s="1">
        <v>38154</v>
      </c>
      <c r="B84" s="6">
        <v>743066</v>
      </c>
      <c r="C84" s="6">
        <v>26646</v>
      </c>
      <c r="D84" s="6">
        <v>0</v>
      </c>
      <c r="E84" s="6">
        <v>19208</v>
      </c>
      <c r="F84" s="6">
        <v>7067</v>
      </c>
      <c r="G84" s="6">
        <v>132</v>
      </c>
      <c r="H84" s="6">
        <v>238</v>
      </c>
      <c r="I84" s="6">
        <v>17971</v>
      </c>
      <c r="J84" s="6">
        <v>690614</v>
      </c>
      <c r="K84" s="6">
        <v>6358</v>
      </c>
      <c r="L84" s="6"/>
      <c r="M84" s="6">
        <v>1477</v>
      </c>
      <c r="N84" s="6">
        <v>9219</v>
      </c>
      <c r="O84" s="6">
        <v>8847</v>
      </c>
      <c r="P84" s="6">
        <v>702</v>
      </c>
      <c r="Q84" s="6">
        <v>18768</v>
      </c>
    </row>
    <row r="85" spans="1:17" x14ac:dyDescent="0.35">
      <c r="A85" s="1">
        <v>38161</v>
      </c>
      <c r="B85" s="6">
        <v>756173</v>
      </c>
      <c r="C85" s="6">
        <v>38169</v>
      </c>
      <c r="D85" s="6">
        <v>0</v>
      </c>
      <c r="E85" s="6">
        <v>30657</v>
      </c>
      <c r="F85" s="6">
        <v>7202</v>
      </c>
      <c r="G85" s="6">
        <v>82</v>
      </c>
      <c r="H85" s="6">
        <v>227</v>
      </c>
      <c r="I85" s="6">
        <v>17465</v>
      </c>
      <c r="J85" s="6">
        <v>693007</v>
      </c>
      <c r="K85" s="6">
        <v>6002</v>
      </c>
      <c r="L85" s="6"/>
      <c r="M85" s="6">
        <v>1529</v>
      </c>
      <c r="N85" s="6">
        <v>9224</v>
      </c>
      <c r="O85" s="6">
        <v>8847</v>
      </c>
      <c r="P85" s="6">
        <v>1018</v>
      </c>
      <c r="Q85" s="6">
        <v>19089</v>
      </c>
    </row>
    <row r="86" spans="1:17" x14ac:dyDescent="0.35">
      <c r="A86" s="1">
        <v>38168</v>
      </c>
      <c r="B86" s="6">
        <v>760646</v>
      </c>
      <c r="C86" s="6">
        <v>36166</v>
      </c>
      <c r="D86" s="6">
        <v>0</v>
      </c>
      <c r="E86" s="6">
        <v>29628</v>
      </c>
      <c r="F86" s="6">
        <v>6032</v>
      </c>
      <c r="G86" s="6">
        <v>280</v>
      </c>
      <c r="H86" s="6">
        <v>226</v>
      </c>
      <c r="I86" s="6">
        <v>19228</v>
      </c>
      <c r="J86" s="6">
        <v>698186</v>
      </c>
      <c r="K86" s="6">
        <v>5845</v>
      </c>
      <c r="L86" s="6"/>
      <c r="M86" s="6">
        <v>1220</v>
      </c>
      <c r="N86" s="6">
        <v>9226</v>
      </c>
      <c r="O86" s="6">
        <v>8847</v>
      </c>
      <c r="P86" s="6">
        <v>859</v>
      </c>
      <c r="Q86" s="6">
        <v>18932</v>
      </c>
    </row>
    <row r="87" spans="1:17" x14ac:dyDescent="0.35">
      <c r="A87" s="1">
        <v>38175</v>
      </c>
      <c r="B87" s="6">
        <v>758978</v>
      </c>
      <c r="C87" s="6">
        <v>26739</v>
      </c>
      <c r="D87" s="6">
        <v>0</v>
      </c>
      <c r="E87" s="6">
        <v>23476</v>
      </c>
      <c r="F87" s="6">
        <v>2915</v>
      </c>
      <c r="G87" s="6">
        <v>84</v>
      </c>
      <c r="H87" s="6">
        <v>264</v>
      </c>
      <c r="I87" s="6">
        <v>19828</v>
      </c>
      <c r="J87" s="6">
        <v>703159</v>
      </c>
      <c r="K87" s="6">
        <v>7991</v>
      </c>
      <c r="L87" s="6"/>
      <c r="M87" s="6">
        <v>1261</v>
      </c>
      <c r="N87" s="6">
        <v>9251</v>
      </c>
      <c r="O87" s="6">
        <v>8847</v>
      </c>
      <c r="P87" s="6">
        <v>1087</v>
      </c>
      <c r="Q87" s="6">
        <v>19185</v>
      </c>
    </row>
    <row r="88" spans="1:17" x14ac:dyDescent="0.35">
      <c r="A88" s="1">
        <v>38182</v>
      </c>
      <c r="B88" s="6">
        <v>756605</v>
      </c>
      <c r="C88" s="6">
        <v>28231</v>
      </c>
      <c r="D88" s="6">
        <v>0</v>
      </c>
      <c r="E88" s="6">
        <v>22431</v>
      </c>
      <c r="F88" s="6">
        <v>5369</v>
      </c>
      <c r="G88" s="6">
        <v>81</v>
      </c>
      <c r="H88" s="6">
        <v>349</v>
      </c>
      <c r="I88" s="6">
        <v>19835</v>
      </c>
      <c r="J88" s="6">
        <v>701127</v>
      </c>
      <c r="K88" s="6">
        <v>6108</v>
      </c>
      <c r="L88" s="6"/>
      <c r="M88" s="6">
        <v>1304</v>
      </c>
      <c r="N88" s="6">
        <v>9251</v>
      </c>
      <c r="O88" s="6">
        <v>8847</v>
      </c>
      <c r="P88" s="6">
        <v>833</v>
      </c>
      <c r="Q88" s="6">
        <v>18931</v>
      </c>
    </row>
    <row r="89" spans="1:17" x14ac:dyDescent="0.35">
      <c r="A89" s="1">
        <v>38189</v>
      </c>
      <c r="B89" s="6">
        <v>757987</v>
      </c>
      <c r="C89" s="6">
        <v>31774</v>
      </c>
      <c r="D89" s="6">
        <v>0</v>
      </c>
      <c r="E89" s="6">
        <v>26508</v>
      </c>
      <c r="F89" s="6">
        <v>4879</v>
      </c>
      <c r="G89" s="6">
        <v>99</v>
      </c>
      <c r="H89" s="6">
        <v>287</v>
      </c>
      <c r="I89" s="6">
        <v>19906</v>
      </c>
      <c r="J89" s="6">
        <v>699168</v>
      </c>
      <c r="K89" s="6">
        <v>5862</v>
      </c>
      <c r="L89" s="6"/>
      <c r="M89" s="6">
        <v>1277</v>
      </c>
      <c r="N89" s="6">
        <v>9245</v>
      </c>
      <c r="O89" s="6">
        <v>8827</v>
      </c>
      <c r="P89" s="6">
        <v>705</v>
      </c>
      <c r="Q89" s="6">
        <v>18777</v>
      </c>
    </row>
    <row r="90" spans="1:17" x14ac:dyDescent="0.35">
      <c r="A90" s="1">
        <v>38196</v>
      </c>
      <c r="B90" s="6">
        <v>755265</v>
      </c>
      <c r="C90" s="6">
        <v>29469</v>
      </c>
      <c r="D90" s="6">
        <v>0</v>
      </c>
      <c r="E90" s="6">
        <v>24655</v>
      </c>
      <c r="F90" s="6">
        <v>4447</v>
      </c>
      <c r="G90" s="6">
        <v>81</v>
      </c>
      <c r="H90" s="6">
        <v>286</v>
      </c>
      <c r="I90" s="6">
        <v>19363</v>
      </c>
      <c r="J90" s="6">
        <v>699312</v>
      </c>
      <c r="K90" s="6">
        <v>5764</v>
      </c>
      <c r="L90" s="6"/>
      <c r="M90" s="6">
        <v>1356</v>
      </c>
      <c r="N90" s="6">
        <v>9246</v>
      </c>
      <c r="O90" s="6">
        <v>8779</v>
      </c>
      <c r="P90" s="6">
        <v>627</v>
      </c>
      <c r="Q90" s="6">
        <v>18652</v>
      </c>
    </row>
    <row r="91" spans="1:17" x14ac:dyDescent="0.35">
      <c r="A91" s="1">
        <v>38203</v>
      </c>
      <c r="B91" s="6">
        <v>753173</v>
      </c>
      <c r="C91" s="6">
        <v>23903</v>
      </c>
      <c r="D91" s="6">
        <v>0</v>
      </c>
      <c r="E91" s="6">
        <v>18422</v>
      </c>
      <c r="F91" s="6">
        <v>5081</v>
      </c>
      <c r="G91" s="6">
        <v>83</v>
      </c>
      <c r="H91" s="6">
        <v>317</v>
      </c>
      <c r="I91" s="6">
        <v>20576</v>
      </c>
      <c r="J91" s="6">
        <v>700882</v>
      </c>
      <c r="K91" s="6">
        <v>6499</v>
      </c>
      <c r="L91" s="6"/>
      <c r="M91" s="6">
        <v>1312</v>
      </c>
      <c r="N91" s="6">
        <v>9253</v>
      </c>
      <c r="O91" s="6">
        <v>8829</v>
      </c>
      <c r="P91" s="6">
        <v>830</v>
      </c>
      <c r="Q91" s="6">
        <v>18913</v>
      </c>
    </row>
    <row r="92" spans="1:17" x14ac:dyDescent="0.35">
      <c r="A92" s="1">
        <v>38210</v>
      </c>
      <c r="B92" s="6">
        <v>750108</v>
      </c>
      <c r="C92" s="6">
        <v>21048</v>
      </c>
      <c r="D92" s="6">
        <v>0</v>
      </c>
      <c r="E92" s="6">
        <v>16084</v>
      </c>
      <c r="F92" s="6">
        <v>4617</v>
      </c>
      <c r="G92" s="6">
        <v>82</v>
      </c>
      <c r="H92" s="6">
        <v>265</v>
      </c>
      <c r="I92" s="6">
        <v>20606</v>
      </c>
      <c r="J92" s="6">
        <v>701208</v>
      </c>
      <c r="K92" s="6">
        <v>5886</v>
      </c>
      <c r="L92" s="6"/>
      <c r="M92" s="6">
        <v>1360</v>
      </c>
      <c r="N92" s="6">
        <v>9260</v>
      </c>
      <c r="O92" s="6">
        <v>8856</v>
      </c>
      <c r="P92" s="6">
        <v>1040</v>
      </c>
      <c r="Q92" s="6">
        <v>19157</v>
      </c>
    </row>
    <row r="93" spans="1:17" x14ac:dyDescent="0.35">
      <c r="A93" s="1">
        <v>38217</v>
      </c>
      <c r="B93" s="6">
        <v>748432</v>
      </c>
      <c r="C93" s="6">
        <v>19065</v>
      </c>
      <c r="D93" s="6">
        <v>0</v>
      </c>
      <c r="E93" s="6">
        <v>14001</v>
      </c>
      <c r="F93" s="6">
        <v>4665</v>
      </c>
      <c r="G93" s="6">
        <v>104</v>
      </c>
      <c r="H93" s="6">
        <v>294</v>
      </c>
      <c r="I93" s="6">
        <v>21374</v>
      </c>
      <c r="J93" s="6">
        <v>700913</v>
      </c>
      <c r="K93" s="6">
        <v>5740</v>
      </c>
      <c r="L93" s="6"/>
      <c r="M93" s="6">
        <v>1340</v>
      </c>
      <c r="N93" s="6">
        <v>9262</v>
      </c>
      <c r="O93" s="6">
        <v>8847</v>
      </c>
      <c r="P93" s="6">
        <v>1054</v>
      </c>
      <c r="Q93" s="6">
        <v>19163</v>
      </c>
    </row>
    <row r="94" spans="1:17" x14ac:dyDescent="0.35">
      <c r="A94" s="1">
        <v>38224</v>
      </c>
      <c r="B94" s="6">
        <v>755472</v>
      </c>
      <c r="C94" s="6">
        <v>27208</v>
      </c>
      <c r="D94" s="6">
        <v>0</v>
      </c>
      <c r="E94" s="6">
        <v>23028</v>
      </c>
      <c r="F94" s="6">
        <v>3668</v>
      </c>
      <c r="G94" s="6">
        <v>229</v>
      </c>
      <c r="H94" s="6">
        <v>283</v>
      </c>
      <c r="I94" s="6">
        <v>20922</v>
      </c>
      <c r="J94" s="6">
        <v>700422</v>
      </c>
      <c r="K94" s="6">
        <v>5525</v>
      </c>
      <c r="L94" s="6"/>
      <c r="M94" s="6">
        <v>1396</v>
      </c>
      <c r="N94" s="6">
        <v>10452</v>
      </c>
      <c r="O94" s="6">
        <v>8834</v>
      </c>
      <c r="P94" s="6">
        <v>678</v>
      </c>
      <c r="Q94" s="6">
        <v>19965</v>
      </c>
    </row>
    <row r="95" spans="1:17" x14ac:dyDescent="0.35">
      <c r="A95" s="1">
        <v>38231</v>
      </c>
      <c r="B95" s="6">
        <v>764980</v>
      </c>
      <c r="C95" s="6">
        <v>30690</v>
      </c>
      <c r="D95" s="6">
        <v>0</v>
      </c>
      <c r="E95" s="6">
        <v>23918</v>
      </c>
      <c r="F95" s="6">
        <v>6374</v>
      </c>
      <c r="G95" s="6">
        <v>81</v>
      </c>
      <c r="H95" s="6">
        <v>317</v>
      </c>
      <c r="I95" s="6">
        <v>23203</v>
      </c>
      <c r="J95" s="6">
        <v>703077</v>
      </c>
      <c r="K95" s="6">
        <v>6641</v>
      </c>
      <c r="L95" s="6"/>
      <c r="M95" s="6">
        <v>1370</v>
      </c>
      <c r="N95" s="6">
        <v>10453</v>
      </c>
      <c r="O95" s="6">
        <v>8847</v>
      </c>
      <c r="P95" s="6">
        <v>993</v>
      </c>
      <c r="Q95" s="6">
        <v>20293</v>
      </c>
    </row>
    <row r="96" spans="1:17" x14ac:dyDescent="0.35">
      <c r="A96" s="1">
        <v>38238</v>
      </c>
      <c r="B96" s="6">
        <v>768285</v>
      </c>
      <c r="C96" s="6">
        <v>28394</v>
      </c>
      <c r="D96" s="6">
        <v>0</v>
      </c>
      <c r="E96" s="6">
        <v>24346</v>
      </c>
      <c r="F96" s="6">
        <v>3701</v>
      </c>
      <c r="G96" s="6">
        <v>80</v>
      </c>
      <c r="H96" s="6">
        <v>266</v>
      </c>
      <c r="I96" s="6">
        <v>23882</v>
      </c>
      <c r="J96" s="6">
        <v>707397</v>
      </c>
      <c r="K96" s="6">
        <v>7189</v>
      </c>
      <c r="L96" s="6"/>
      <c r="M96" s="6">
        <v>1424</v>
      </c>
      <c r="N96" s="6">
        <v>10454</v>
      </c>
      <c r="O96" s="6">
        <v>8847</v>
      </c>
      <c r="P96" s="6">
        <v>1017</v>
      </c>
      <c r="Q96" s="6">
        <v>20317</v>
      </c>
    </row>
    <row r="97" spans="1:17" x14ac:dyDescent="0.35">
      <c r="A97" s="1">
        <v>38245</v>
      </c>
      <c r="B97" s="6">
        <v>768899</v>
      </c>
      <c r="C97" s="6">
        <v>32493</v>
      </c>
      <c r="D97" s="6">
        <v>0</v>
      </c>
      <c r="E97" s="6">
        <v>24535</v>
      </c>
      <c r="F97" s="6">
        <v>7626</v>
      </c>
      <c r="G97" s="6">
        <v>79</v>
      </c>
      <c r="H97" s="6">
        <v>252</v>
      </c>
      <c r="I97" s="6">
        <v>24323</v>
      </c>
      <c r="J97" s="6">
        <v>704417</v>
      </c>
      <c r="K97" s="6">
        <v>6273</v>
      </c>
      <c r="L97" s="6"/>
      <c r="M97" s="6">
        <v>1393</v>
      </c>
      <c r="N97" s="6">
        <v>10479</v>
      </c>
      <c r="O97" s="6">
        <v>8847</v>
      </c>
      <c r="P97" s="6">
        <v>903</v>
      </c>
      <c r="Q97" s="6">
        <v>20229</v>
      </c>
    </row>
    <row r="98" spans="1:17" x14ac:dyDescent="0.35">
      <c r="A98" s="1">
        <v>38252</v>
      </c>
      <c r="B98" s="6">
        <v>761658</v>
      </c>
      <c r="C98" s="6">
        <v>27087</v>
      </c>
      <c r="D98" s="6">
        <v>0</v>
      </c>
      <c r="E98" s="6">
        <v>21913</v>
      </c>
      <c r="F98" s="6">
        <v>4845</v>
      </c>
      <c r="G98" s="6">
        <v>78</v>
      </c>
      <c r="H98" s="6">
        <v>252</v>
      </c>
      <c r="I98" s="6">
        <v>24556</v>
      </c>
      <c r="J98" s="6">
        <v>702759</v>
      </c>
      <c r="K98" s="6">
        <v>5838</v>
      </c>
      <c r="L98" s="6"/>
      <c r="M98" s="6">
        <v>1418</v>
      </c>
      <c r="N98" s="6">
        <v>10501</v>
      </c>
      <c r="O98" s="6">
        <v>8847</v>
      </c>
      <c r="P98" s="6">
        <v>1117</v>
      </c>
      <c r="Q98" s="6">
        <v>20466</v>
      </c>
    </row>
    <row r="99" spans="1:17" x14ac:dyDescent="0.35">
      <c r="A99" s="1">
        <v>38259</v>
      </c>
      <c r="B99" s="6">
        <v>765913</v>
      </c>
      <c r="C99" s="6">
        <v>30704</v>
      </c>
      <c r="D99" s="6">
        <v>0</v>
      </c>
      <c r="E99" s="6">
        <v>24943</v>
      </c>
      <c r="F99" s="6">
        <v>5436</v>
      </c>
      <c r="G99" s="6">
        <v>81</v>
      </c>
      <c r="H99" s="6">
        <v>245</v>
      </c>
      <c r="I99" s="6">
        <v>24337</v>
      </c>
      <c r="J99" s="6">
        <v>703451</v>
      </c>
      <c r="K99" s="6">
        <v>5938</v>
      </c>
      <c r="L99" s="6"/>
      <c r="M99" s="6">
        <v>1484</v>
      </c>
      <c r="N99" s="6">
        <v>10502</v>
      </c>
      <c r="O99" s="6">
        <v>8847</v>
      </c>
      <c r="P99" s="6">
        <v>1068</v>
      </c>
      <c r="Q99" s="6">
        <v>20416</v>
      </c>
    </row>
    <row r="100" spans="1:17" x14ac:dyDescent="0.35">
      <c r="A100" s="1">
        <v>38266</v>
      </c>
      <c r="B100" s="6">
        <v>761411</v>
      </c>
      <c r="C100" s="6">
        <v>22452</v>
      </c>
      <c r="D100" s="6">
        <v>0</v>
      </c>
      <c r="E100" s="6">
        <v>16462</v>
      </c>
      <c r="F100" s="6">
        <v>5576</v>
      </c>
      <c r="G100" s="6">
        <v>80</v>
      </c>
      <c r="H100" s="6">
        <v>334</v>
      </c>
      <c r="I100" s="6">
        <v>24736</v>
      </c>
      <c r="J100" s="6">
        <v>705595</v>
      </c>
      <c r="K100" s="6">
        <v>7153</v>
      </c>
      <c r="L100" s="6"/>
      <c r="M100" s="6">
        <v>1476</v>
      </c>
      <c r="N100" s="6">
        <v>10508</v>
      </c>
      <c r="O100" s="6">
        <v>8847</v>
      </c>
      <c r="P100" s="6">
        <v>1011</v>
      </c>
      <c r="Q100" s="6">
        <v>20366</v>
      </c>
    </row>
    <row r="101" spans="1:17" x14ac:dyDescent="0.35">
      <c r="A101" s="1">
        <v>38273</v>
      </c>
      <c r="B101" s="6">
        <v>774909</v>
      </c>
      <c r="C101" s="6">
        <v>31292</v>
      </c>
      <c r="D101" s="6">
        <v>0</v>
      </c>
      <c r="E101" s="6">
        <v>25447</v>
      </c>
      <c r="F101" s="6">
        <v>5466</v>
      </c>
      <c r="G101" s="6">
        <v>86</v>
      </c>
      <c r="H101" s="6">
        <v>292</v>
      </c>
      <c r="I101" s="6">
        <v>24985</v>
      </c>
      <c r="J101" s="6">
        <v>708146</v>
      </c>
      <c r="K101" s="6">
        <v>8909</v>
      </c>
      <c r="L101" s="6"/>
      <c r="M101" s="6">
        <v>1577</v>
      </c>
      <c r="N101" s="6">
        <v>10511</v>
      </c>
      <c r="O101" s="6">
        <v>8847</v>
      </c>
      <c r="P101" s="6">
        <v>1217</v>
      </c>
      <c r="Q101" s="6">
        <v>20574</v>
      </c>
    </row>
    <row r="102" spans="1:17" x14ac:dyDescent="0.35">
      <c r="A102" s="1">
        <v>38280</v>
      </c>
      <c r="B102" s="6">
        <v>763986</v>
      </c>
      <c r="C102" s="6">
        <v>23503</v>
      </c>
      <c r="D102" s="6">
        <v>0</v>
      </c>
      <c r="E102" s="6">
        <v>18343</v>
      </c>
      <c r="F102" s="6">
        <v>4785</v>
      </c>
      <c r="G102" s="6">
        <v>76</v>
      </c>
      <c r="H102" s="6">
        <v>299</v>
      </c>
      <c r="I102" s="6">
        <v>25843</v>
      </c>
      <c r="J102" s="6">
        <v>706719</v>
      </c>
      <c r="K102" s="6">
        <v>6449</v>
      </c>
      <c r="L102" s="6"/>
      <c r="M102" s="6">
        <v>1472</v>
      </c>
      <c r="N102" s="6">
        <v>10523</v>
      </c>
      <c r="O102" s="6">
        <v>8847</v>
      </c>
      <c r="P102" s="6">
        <v>1598</v>
      </c>
      <c r="Q102" s="6">
        <v>20968</v>
      </c>
    </row>
    <row r="103" spans="1:17" x14ac:dyDescent="0.35">
      <c r="A103" s="1">
        <v>38287</v>
      </c>
      <c r="B103" s="6">
        <v>770577</v>
      </c>
      <c r="C103" s="6">
        <v>29945</v>
      </c>
      <c r="D103" s="6">
        <v>0</v>
      </c>
      <c r="E103" s="6">
        <v>24947</v>
      </c>
      <c r="F103" s="6">
        <v>4582</v>
      </c>
      <c r="G103" s="6">
        <v>113</v>
      </c>
      <c r="H103" s="6">
        <v>303</v>
      </c>
      <c r="I103" s="6">
        <v>25761</v>
      </c>
      <c r="J103" s="6">
        <v>707151</v>
      </c>
      <c r="K103" s="6">
        <v>6196</v>
      </c>
      <c r="L103" s="6"/>
      <c r="M103" s="6">
        <v>1524</v>
      </c>
      <c r="N103" s="6">
        <v>10527</v>
      </c>
      <c r="O103" s="6">
        <v>8847</v>
      </c>
      <c r="P103" s="6">
        <v>1385</v>
      </c>
      <c r="Q103" s="6">
        <v>20760</v>
      </c>
    </row>
    <row r="104" spans="1:17" x14ac:dyDescent="0.35">
      <c r="A104" s="1">
        <v>38294</v>
      </c>
      <c r="B104" s="6">
        <v>769875</v>
      </c>
      <c r="C104" s="6">
        <v>25109</v>
      </c>
      <c r="D104" s="6">
        <v>0</v>
      </c>
      <c r="E104" s="6">
        <v>19684</v>
      </c>
      <c r="F104" s="6">
        <v>4971</v>
      </c>
      <c r="G104" s="6">
        <v>82</v>
      </c>
      <c r="H104" s="6">
        <v>372</v>
      </c>
      <c r="I104" s="6">
        <v>26512</v>
      </c>
      <c r="J104" s="6">
        <v>709612</v>
      </c>
      <c r="K104" s="6">
        <v>7045</v>
      </c>
      <c r="L104" s="6"/>
      <c r="M104" s="6">
        <v>1597</v>
      </c>
      <c r="N104" s="6">
        <v>10544</v>
      </c>
      <c r="O104" s="6">
        <v>8847</v>
      </c>
      <c r="P104" s="6">
        <v>1285</v>
      </c>
      <c r="Q104" s="6">
        <v>20676</v>
      </c>
    </row>
    <row r="105" spans="1:17" x14ac:dyDescent="0.35">
      <c r="A105" s="1">
        <v>38301</v>
      </c>
      <c r="B105" s="6">
        <v>779589</v>
      </c>
      <c r="C105" s="6">
        <v>29792</v>
      </c>
      <c r="D105" s="6">
        <v>0</v>
      </c>
      <c r="E105" s="6">
        <v>24842</v>
      </c>
      <c r="F105" s="6">
        <v>4565</v>
      </c>
      <c r="G105" s="6">
        <v>82</v>
      </c>
      <c r="H105" s="6">
        <v>304</v>
      </c>
      <c r="I105" s="6">
        <v>27467</v>
      </c>
      <c r="J105" s="6">
        <v>714224</v>
      </c>
      <c r="K105" s="6">
        <v>6579</v>
      </c>
      <c r="L105" s="6"/>
      <c r="M105" s="6">
        <v>1528</v>
      </c>
      <c r="N105" s="6">
        <v>10617</v>
      </c>
      <c r="O105" s="6">
        <v>8847</v>
      </c>
      <c r="P105" s="6">
        <v>1419</v>
      </c>
      <c r="Q105" s="6">
        <v>20883</v>
      </c>
    </row>
    <row r="106" spans="1:17" x14ac:dyDescent="0.35">
      <c r="A106" s="1">
        <v>38308</v>
      </c>
      <c r="B106" s="6">
        <v>772109</v>
      </c>
      <c r="C106" s="6">
        <v>22065</v>
      </c>
      <c r="D106" s="6">
        <v>0</v>
      </c>
      <c r="E106" s="6">
        <v>16825</v>
      </c>
      <c r="F106" s="6">
        <v>4851</v>
      </c>
      <c r="G106" s="6">
        <v>85</v>
      </c>
      <c r="H106" s="6">
        <v>304</v>
      </c>
      <c r="I106" s="6">
        <v>27729</v>
      </c>
      <c r="J106" s="6">
        <v>713536</v>
      </c>
      <c r="K106" s="6">
        <v>7272</v>
      </c>
      <c r="L106" s="6"/>
      <c r="M106" s="6">
        <v>1507</v>
      </c>
      <c r="N106" s="6">
        <v>11546</v>
      </c>
      <c r="O106" s="6">
        <v>8847</v>
      </c>
      <c r="P106" s="6">
        <v>1588</v>
      </c>
      <c r="Q106" s="6">
        <v>21981</v>
      </c>
    </row>
    <row r="107" spans="1:17" x14ac:dyDescent="0.35">
      <c r="A107" s="1">
        <v>38315</v>
      </c>
      <c r="B107" s="6">
        <v>787773</v>
      </c>
      <c r="C107" s="6">
        <v>32275</v>
      </c>
      <c r="D107" s="6">
        <v>0</v>
      </c>
      <c r="E107" s="6">
        <v>27320</v>
      </c>
      <c r="F107" s="6">
        <v>4575</v>
      </c>
      <c r="G107" s="6">
        <v>84</v>
      </c>
      <c r="H107" s="6">
        <v>296</v>
      </c>
      <c r="I107" s="6">
        <v>28084</v>
      </c>
      <c r="J107" s="6">
        <v>718896</v>
      </c>
      <c r="K107" s="6">
        <v>6957</v>
      </c>
      <c r="L107" s="6"/>
      <c r="M107" s="6">
        <v>1561</v>
      </c>
      <c r="N107" s="6">
        <v>11571</v>
      </c>
      <c r="O107" s="6">
        <v>8847</v>
      </c>
      <c r="P107" s="6">
        <v>1765</v>
      </c>
      <c r="Q107" s="6">
        <v>22184</v>
      </c>
    </row>
    <row r="108" spans="1:17" x14ac:dyDescent="0.35">
      <c r="A108" s="1">
        <v>38322</v>
      </c>
      <c r="B108" s="6">
        <v>784857</v>
      </c>
      <c r="C108" s="6">
        <v>30446</v>
      </c>
      <c r="D108" s="6">
        <v>0</v>
      </c>
      <c r="E108" s="6">
        <v>24780</v>
      </c>
      <c r="F108" s="6">
        <v>5264</v>
      </c>
      <c r="G108" s="6">
        <v>84</v>
      </c>
      <c r="H108" s="6">
        <v>318</v>
      </c>
      <c r="I108" s="6">
        <v>27539</v>
      </c>
      <c r="J108" s="6">
        <v>718227</v>
      </c>
      <c r="K108" s="6">
        <v>7100</v>
      </c>
      <c r="L108" s="6"/>
      <c r="M108" s="6">
        <v>1546</v>
      </c>
      <c r="N108" s="6">
        <v>11544</v>
      </c>
      <c r="O108" s="6">
        <v>8847</v>
      </c>
      <c r="P108" s="6">
        <v>1815</v>
      </c>
      <c r="Q108" s="6">
        <v>22206</v>
      </c>
    </row>
    <row r="109" spans="1:17" x14ac:dyDescent="0.35">
      <c r="A109" s="1">
        <v>38329</v>
      </c>
      <c r="B109" s="6">
        <v>786266</v>
      </c>
      <c r="C109" s="6">
        <v>32400</v>
      </c>
      <c r="D109" s="6">
        <v>0</v>
      </c>
      <c r="E109" s="6">
        <v>27228</v>
      </c>
      <c r="F109" s="6">
        <v>4831</v>
      </c>
      <c r="G109" s="6">
        <v>77</v>
      </c>
      <c r="H109" s="6">
        <v>265</v>
      </c>
      <c r="I109" s="6">
        <v>28171</v>
      </c>
      <c r="J109" s="6">
        <v>717167</v>
      </c>
      <c r="K109" s="6">
        <v>6927</v>
      </c>
      <c r="L109" s="6"/>
      <c r="M109" s="6">
        <v>1600</v>
      </c>
      <c r="N109" s="6">
        <v>11611</v>
      </c>
      <c r="O109" s="6">
        <v>8847</v>
      </c>
      <c r="P109" s="6">
        <v>1771</v>
      </c>
      <c r="Q109" s="6">
        <v>22229</v>
      </c>
    </row>
    <row r="110" spans="1:17" x14ac:dyDescent="0.35">
      <c r="A110" s="1">
        <v>38336</v>
      </c>
      <c r="B110" s="6">
        <v>784196</v>
      </c>
      <c r="C110" s="6">
        <v>30501</v>
      </c>
      <c r="D110" s="6">
        <v>0</v>
      </c>
      <c r="E110" s="6">
        <v>25104</v>
      </c>
      <c r="F110" s="6">
        <v>5019</v>
      </c>
      <c r="G110" s="6">
        <v>115</v>
      </c>
      <c r="H110" s="6">
        <v>262</v>
      </c>
      <c r="I110" s="6">
        <v>27846</v>
      </c>
      <c r="J110" s="6">
        <v>717511</v>
      </c>
      <c r="K110" s="6">
        <v>6759</v>
      </c>
      <c r="L110" s="6"/>
      <c r="M110" s="6">
        <v>1579</v>
      </c>
      <c r="N110" s="6">
        <v>11640</v>
      </c>
      <c r="O110" s="6">
        <v>8847</v>
      </c>
      <c r="P110" s="6">
        <v>2345</v>
      </c>
      <c r="Q110" s="6">
        <v>22832</v>
      </c>
    </row>
    <row r="111" spans="1:17" x14ac:dyDescent="0.35">
      <c r="A111" s="1">
        <v>38343</v>
      </c>
      <c r="B111" s="6">
        <v>788366</v>
      </c>
      <c r="C111" s="6">
        <v>29806</v>
      </c>
      <c r="D111" s="6">
        <v>0</v>
      </c>
      <c r="E111" s="6">
        <v>25406</v>
      </c>
      <c r="F111" s="6">
        <v>4047</v>
      </c>
      <c r="G111" s="6">
        <v>88</v>
      </c>
      <c r="H111" s="6">
        <v>264</v>
      </c>
      <c r="I111" s="6">
        <v>28056</v>
      </c>
      <c r="J111" s="6">
        <v>721917</v>
      </c>
      <c r="K111" s="6">
        <v>6973</v>
      </c>
      <c r="L111" s="6"/>
      <c r="M111" s="6">
        <v>1614</v>
      </c>
      <c r="N111" s="6">
        <v>11638</v>
      </c>
      <c r="O111" s="6">
        <v>8847</v>
      </c>
      <c r="P111" s="6">
        <v>2482</v>
      </c>
      <c r="Q111" s="6">
        <v>22967</v>
      </c>
    </row>
    <row r="112" spans="1:17" x14ac:dyDescent="0.35">
      <c r="A112" s="1">
        <v>38350</v>
      </c>
      <c r="B112" s="6">
        <v>787612</v>
      </c>
      <c r="C112" s="6">
        <v>27476</v>
      </c>
      <c r="D112" s="6">
        <v>0</v>
      </c>
      <c r="E112" s="6">
        <v>21433</v>
      </c>
      <c r="F112" s="6">
        <v>5734</v>
      </c>
      <c r="G112" s="6">
        <v>87</v>
      </c>
      <c r="H112" s="6">
        <v>221</v>
      </c>
      <c r="I112" s="6">
        <v>29938</v>
      </c>
      <c r="J112" s="6">
        <v>722904</v>
      </c>
      <c r="K112" s="6">
        <v>5634</v>
      </c>
      <c r="L112" s="6"/>
      <c r="M112" s="6">
        <v>1659</v>
      </c>
      <c r="N112" s="6">
        <v>11641</v>
      </c>
      <c r="O112" s="6">
        <v>8847</v>
      </c>
      <c r="P112" s="6">
        <v>2845</v>
      </c>
      <c r="Q112" s="6">
        <v>23333</v>
      </c>
    </row>
    <row r="113" spans="1:17" x14ac:dyDescent="0.35">
      <c r="A113" s="1">
        <v>38357</v>
      </c>
      <c r="B113" s="6">
        <v>792928</v>
      </c>
      <c r="C113" s="6">
        <v>36930</v>
      </c>
      <c r="D113" s="6">
        <v>0</v>
      </c>
      <c r="E113" s="6">
        <v>31818</v>
      </c>
      <c r="F113" s="6">
        <v>4791</v>
      </c>
      <c r="G113" s="6">
        <v>93</v>
      </c>
      <c r="H113" s="6">
        <v>229</v>
      </c>
      <c r="I113" s="6">
        <v>28647</v>
      </c>
      <c r="J113" s="6">
        <v>718481</v>
      </c>
      <c r="K113" s="6">
        <v>7689</v>
      </c>
      <c r="L113" s="6"/>
      <c r="M113" s="6">
        <v>1180</v>
      </c>
      <c r="N113" s="6">
        <v>11846</v>
      </c>
      <c r="O113" s="6">
        <v>10820</v>
      </c>
      <c r="P113" s="6">
        <v>109</v>
      </c>
      <c r="Q113" s="6">
        <v>22774</v>
      </c>
    </row>
    <row r="114" spans="1:17" x14ac:dyDescent="0.35">
      <c r="A114" s="1">
        <v>38364</v>
      </c>
      <c r="B114" s="6">
        <v>775062</v>
      </c>
      <c r="C114" s="6">
        <v>26032</v>
      </c>
      <c r="D114" s="6">
        <v>0</v>
      </c>
      <c r="E114" s="6">
        <v>20709</v>
      </c>
      <c r="F114" s="6">
        <v>4951</v>
      </c>
      <c r="G114" s="6">
        <v>88</v>
      </c>
      <c r="H114" s="6">
        <v>284</v>
      </c>
      <c r="I114" s="6">
        <v>27231</v>
      </c>
      <c r="J114" s="6">
        <v>713851</v>
      </c>
      <c r="K114" s="6">
        <v>6723</v>
      </c>
      <c r="L114" s="6"/>
      <c r="M114" s="6">
        <v>1226</v>
      </c>
      <c r="N114" s="6">
        <v>12008</v>
      </c>
      <c r="O114" s="6">
        <v>10953</v>
      </c>
      <c r="P114" s="6">
        <v>431</v>
      </c>
      <c r="Q114" s="6">
        <v>23392</v>
      </c>
    </row>
    <row r="115" spans="1:17" x14ac:dyDescent="0.35">
      <c r="A115" s="1">
        <v>38371</v>
      </c>
      <c r="B115" s="6">
        <v>783768</v>
      </c>
      <c r="C115" s="6">
        <v>32148</v>
      </c>
      <c r="D115" s="6">
        <v>0</v>
      </c>
      <c r="E115" s="6">
        <v>26540</v>
      </c>
      <c r="F115" s="6">
        <v>5142</v>
      </c>
      <c r="G115" s="6">
        <v>79</v>
      </c>
      <c r="H115" s="6">
        <v>387</v>
      </c>
      <c r="I115" s="6">
        <v>27594</v>
      </c>
      <c r="J115" s="6">
        <v>713464</v>
      </c>
      <c r="K115" s="6">
        <v>9362</v>
      </c>
      <c r="L115" s="6"/>
      <c r="M115" s="6">
        <v>1200</v>
      </c>
      <c r="N115" s="6">
        <v>12015</v>
      </c>
      <c r="O115" s="6">
        <v>10946</v>
      </c>
      <c r="P115" s="6">
        <v>231</v>
      </c>
      <c r="Q115" s="6">
        <v>23192</v>
      </c>
    </row>
    <row r="116" spans="1:17" x14ac:dyDescent="0.35">
      <c r="A116" s="1">
        <v>38378</v>
      </c>
      <c r="B116" s="6">
        <v>783828</v>
      </c>
      <c r="C116" s="6">
        <v>33368</v>
      </c>
      <c r="D116" s="6">
        <v>0</v>
      </c>
      <c r="E116" s="6">
        <v>27858</v>
      </c>
      <c r="F116" s="6">
        <v>5117</v>
      </c>
      <c r="G116" s="6">
        <v>76</v>
      </c>
      <c r="H116" s="6">
        <v>317</v>
      </c>
      <c r="I116" s="6">
        <v>31074</v>
      </c>
      <c r="J116" s="6">
        <v>711992</v>
      </c>
      <c r="K116" s="6">
        <v>6160</v>
      </c>
      <c r="L116" s="6"/>
      <c r="M116" s="6">
        <v>1235</v>
      </c>
      <c r="N116" s="6">
        <v>12020</v>
      </c>
      <c r="O116" s="6">
        <v>10994</v>
      </c>
      <c r="P116" s="6">
        <v>420</v>
      </c>
      <c r="Q116" s="6">
        <v>23433</v>
      </c>
    </row>
    <row r="117" spans="1:17" x14ac:dyDescent="0.35">
      <c r="A117" s="1">
        <v>38385</v>
      </c>
      <c r="B117" s="6">
        <v>781030</v>
      </c>
      <c r="C117" s="6">
        <v>29741</v>
      </c>
      <c r="D117" s="6">
        <v>0</v>
      </c>
      <c r="E117" s="6">
        <v>24179</v>
      </c>
      <c r="F117" s="6">
        <v>5097</v>
      </c>
      <c r="G117" s="6">
        <v>156</v>
      </c>
      <c r="H117" s="6">
        <v>309</v>
      </c>
      <c r="I117" s="6">
        <v>27872</v>
      </c>
      <c r="J117" s="6">
        <v>714249</v>
      </c>
      <c r="K117" s="6">
        <v>7956</v>
      </c>
      <c r="L117" s="6"/>
      <c r="M117" s="6">
        <v>1213</v>
      </c>
      <c r="N117" s="6">
        <v>12437</v>
      </c>
      <c r="O117" s="6">
        <v>10996</v>
      </c>
      <c r="P117" s="6">
        <v>283</v>
      </c>
      <c r="Q117" s="6">
        <v>23716</v>
      </c>
    </row>
    <row r="118" spans="1:17" x14ac:dyDescent="0.35">
      <c r="A118" s="1">
        <v>38392</v>
      </c>
      <c r="B118" s="6">
        <v>773753</v>
      </c>
      <c r="C118" s="6">
        <v>20097</v>
      </c>
      <c r="D118" s="6">
        <v>0</v>
      </c>
      <c r="E118" s="6">
        <v>14979</v>
      </c>
      <c r="F118" s="6">
        <v>4747</v>
      </c>
      <c r="G118" s="6">
        <v>85</v>
      </c>
      <c r="H118" s="6">
        <v>287</v>
      </c>
      <c r="I118" s="6">
        <v>28355</v>
      </c>
      <c r="J118" s="6">
        <v>716961</v>
      </c>
      <c r="K118" s="6">
        <v>7053</v>
      </c>
      <c r="L118" s="6"/>
      <c r="M118" s="6">
        <v>1287</v>
      </c>
      <c r="N118" s="6">
        <v>12438</v>
      </c>
      <c r="O118" s="6">
        <v>10906</v>
      </c>
      <c r="P118" s="6">
        <v>201</v>
      </c>
      <c r="Q118" s="6">
        <v>23546</v>
      </c>
    </row>
    <row r="119" spans="1:17" x14ac:dyDescent="0.35">
      <c r="A119" s="1">
        <v>38399</v>
      </c>
      <c r="B119" s="6">
        <v>771565</v>
      </c>
      <c r="C119" s="6">
        <v>22459</v>
      </c>
      <c r="D119" s="6">
        <v>0</v>
      </c>
      <c r="E119" s="6">
        <v>17067</v>
      </c>
      <c r="F119" s="6">
        <v>5010</v>
      </c>
      <c r="G119" s="6">
        <v>85</v>
      </c>
      <c r="H119" s="6">
        <v>297</v>
      </c>
      <c r="I119" s="6">
        <v>23346</v>
      </c>
      <c r="J119" s="6">
        <v>717365</v>
      </c>
      <c r="K119" s="6">
        <v>7149</v>
      </c>
      <c r="L119" s="6"/>
      <c r="M119" s="6">
        <v>1246</v>
      </c>
      <c r="N119" s="6">
        <v>12444</v>
      </c>
      <c r="O119" s="6">
        <v>11029</v>
      </c>
      <c r="P119" s="6">
        <v>568</v>
      </c>
      <c r="Q119" s="6">
        <v>24041</v>
      </c>
    </row>
    <row r="120" spans="1:17" x14ac:dyDescent="0.35">
      <c r="A120" s="1">
        <v>38406</v>
      </c>
      <c r="B120" s="6">
        <v>780286</v>
      </c>
      <c r="C120" s="6">
        <v>28345</v>
      </c>
      <c r="D120" s="6">
        <v>0</v>
      </c>
      <c r="E120" s="6">
        <v>23502</v>
      </c>
      <c r="F120" s="6">
        <v>4487</v>
      </c>
      <c r="G120" s="6">
        <v>81</v>
      </c>
      <c r="H120" s="6">
        <v>275</v>
      </c>
      <c r="I120" s="6">
        <v>23474</v>
      </c>
      <c r="J120" s="6">
        <v>718371</v>
      </c>
      <c r="K120" s="6">
        <v>8781</v>
      </c>
      <c r="L120" s="6"/>
      <c r="M120" s="6">
        <v>1315</v>
      </c>
      <c r="N120" s="6">
        <v>12508</v>
      </c>
      <c r="O120" s="6">
        <v>11114</v>
      </c>
      <c r="P120" s="6">
        <v>668</v>
      </c>
      <c r="Q120" s="6">
        <v>24290</v>
      </c>
    </row>
    <row r="121" spans="1:17" x14ac:dyDescent="0.35">
      <c r="A121" s="1">
        <v>38413</v>
      </c>
      <c r="B121" s="6">
        <v>777039</v>
      </c>
      <c r="C121" s="6">
        <v>25177</v>
      </c>
      <c r="D121" s="6">
        <v>0</v>
      </c>
      <c r="E121" s="6">
        <v>19888</v>
      </c>
      <c r="F121" s="6">
        <v>4906</v>
      </c>
      <c r="G121" s="6">
        <v>83</v>
      </c>
      <c r="H121" s="6">
        <v>301</v>
      </c>
      <c r="I121" s="6">
        <v>25375</v>
      </c>
      <c r="J121" s="6">
        <v>717152</v>
      </c>
      <c r="K121" s="6">
        <v>8036</v>
      </c>
      <c r="L121" s="6"/>
      <c r="M121" s="6">
        <v>1298</v>
      </c>
      <c r="N121" s="6">
        <v>12522</v>
      </c>
      <c r="O121" s="6">
        <v>11125</v>
      </c>
      <c r="P121" s="6">
        <v>565</v>
      </c>
      <c r="Q121" s="6">
        <v>24213</v>
      </c>
    </row>
    <row r="122" spans="1:17" x14ac:dyDescent="0.35">
      <c r="A122" s="1">
        <v>38420</v>
      </c>
      <c r="B122" s="6">
        <v>774523</v>
      </c>
      <c r="C122" s="6">
        <v>23139</v>
      </c>
      <c r="D122" s="6">
        <v>0</v>
      </c>
      <c r="E122" s="6">
        <v>18173</v>
      </c>
      <c r="F122" s="6">
        <v>4599</v>
      </c>
      <c r="G122" s="6">
        <v>82</v>
      </c>
      <c r="H122" s="6">
        <v>286</v>
      </c>
      <c r="I122" s="6">
        <v>25430</v>
      </c>
      <c r="J122" s="6">
        <v>717406</v>
      </c>
      <c r="K122" s="6">
        <v>7195</v>
      </c>
      <c r="L122" s="6"/>
      <c r="M122" s="6">
        <v>1353</v>
      </c>
      <c r="N122" s="6">
        <v>12535</v>
      </c>
      <c r="O122" s="6">
        <v>11216</v>
      </c>
      <c r="P122" s="6">
        <v>975</v>
      </c>
      <c r="Q122" s="6">
        <v>24727</v>
      </c>
    </row>
    <row r="123" spans="1:17" x14ac:dyDescent="0.35">
      <c r="A123" s="1">
        <v>38427</v>
      </c>
      <c r="B123" s="6">
        <v>782462</v>
      </c>
      <c r="C123" s="6">
        <v>31373</v>
      </c>
      <c r="D123" s="6">
        <v>0</v>
      </c>
      <c r="E123" s="6">
        <v>26291</v>
      </c>
      <c r="F123" s="6">
        <v>4746</v>
      </c>
      <c r="G123" s="6">
        <v>82</v>
      </c>
      <c r="H123" s="6">
        <v>254</v>
      </c>
      <c r="I123" s="6">
        <v>24939</v>
      </c>
      <c r="J123" s="6">
        <v>717783</v>
      </c>
      <c r="K123" s="6">
        <v>7055</v>
      </c>
      <c r="L123" s="6"/>
      <c r="M123" s="6">
        <v>1312</v>
      </c>
      <c r="N123" s="6">
        <v>12536</v>
      </c>
      <c r="O123" s="6">
        <v>11247</v>
      </c>
      <c r="P123" s="6">
        <v>966</v>
      </c>
      <c r="Q123" s="6">
        <v>24749</v>
      </c>
    </row>
    <row r="124" spans="1:17" x14ac:dyDescent="0.35">
      <c r="A124" s="1">
        <v>38434</v>
      </c>
      <c r="B124" s="6">
        <v>772794</v>
      </c>
      <c r="C124" s="6">
        <v>22691</v>
      </c>
      <c r="D124" s="6">
        <v>0</v>
      </c>
      <c r="E124" s="6">
        <v>17693</v>
      </c>
      <c r="F124" s="6">
        <v>4677</v>
      </c>
      <c r="G124" s="6">
        <v>83</v>
      </c>
      <c r="H124" s="6">
        <v>239</v>
      </c>
      <c r="I124" s="6">
        <v>24491</v>
      </c>
      <c r="J124" s="6">
        <v>717572</v>
      </c>
      <c r="K124" s="6">
        <v>6655</v>
      </c>
      <c r="L124" s="6"/>
      <c r="M124" s="6">
        <v>1385</v>
      </c>
      <c r="N124" s="6">
        <v>12558</v>
      </c>
      <c r="O124" s="6">
        <v>11200</v>
      </c>
      <c r="P124" s="6">
        <v>542</v>
      </c>
      <c r="Q124" s="6">
        <v>24300</v>
      </c>
    </row>
    <row r="125" spans="1:17" x14ac:dyDescent="0.35">
      <c r="A125" s="1">
        <v>38441</v>
      </c>
      <c r="B125" s="6">
        <v>783102</v>
      </c>
      <c r="C125" s="6">
        <v>31783</v>
      </c>
      <c r="D125" s="6">
        <v>0</v>
      </c>
      <c r="E125" s="6">
        <v>26249</v>
      </c>
      <c r="F125" s="6">
        <v>5198</v>
      </c>
      <c r="G125" s="6">
        <v>102</v>
      </c>
      <c r="H125" s="6">
        <v>235</v>
      </c>
      <c r="I125" s="6">
        <v>23691</v>
      </c>
      <c r="J125" s="6">
        <v>719688</v>
      </c>
      <c r="K125" s="6">
        <v>6529</v>
      </c>
      <c r="L125" s="6"/>
      <c r="M125" s="6">
        <v>1412</v>
      </c>
      <c r="N125" s="6">
        <v>12559</v>
      </c>
      <c r="O125" s="6">
        <v>11177</v>
      </c>
      <c r="P125" s="6">
        <v>714</v>
      </c>
      <c r="Q125" s="6">
        <v>24449</v>
      </c>
    </row>
    <row r="126" spans="1:17" x14ac:dyDescent="0.35">
      <c r="A126" s="1">
        <v>38448</v>
      </c>
      <c r="B126" s="6">
        <v>772820</v>
      </c>
      <c r="C126" s="6">
        <v>20703</v>
      </c>
      <c r="D126" s="6">
        <v>0</v>
      </c>
      <c r="E126" s="6">
        <v>15791</v>
      </c>
      <c r="F126" s="6">
        <v>4530</v>
      </c>
      <c r="G126" s="6">
        <v>82</v>
      </c>
      <c r="H126" s="6">
        <v>300</v>
      </c>
      <c r="I126" s="6">
        <v>22986</v>
      </c>
      <c r="J126" s="6">
        <v>720324</v>
      </c>
      <c r="K126" s="6">
        <v>7419</v>
      </c>
      <c r="L126" s="6"/>
      <c r="M126" s="6">
        <v>1388</v>
      </c>
      <c r="N126" s="6">
        <v>12585</v>
      </c>
      <c r="O126" s="6">
        <v>11165</v>
      </c>
      <c r="P126" s="6">
        <v>757</v>
      </c>
      <c r="Q126" s="6">
        <v>24507</v>
      </c>
    </row>
    <row r="127" spans="1:17" x14ac:dyDescent="0.35">
      <c r="A127" s="1">
        <v>38455</v>
      </c>
      <c r="B127" s="6">
        <v>780640</v>
      </c>
      <c r="C127" s="6">
        <v>29496</v>
      </c>
      <c r="D127" s="6">
        <v>0</v>
      </c>
      <c r="E127" s="6">
        <v>24181</v>
      </c>
      <c r="F127" s="6">
        <v>4926</v>
      </c>
      <c r="G127" s="6">
        <v>80</v>
      </c>
      <c r="H127" s="6">
        <v>308</v>
      </c>
      <c r="I127" s="6">
        <v>22758</v>
      </c>
      <c r="J127" s="6">
        <v>719483</v>
      </c>
      <c r="K127" s="6">
        <v>7474</v>
      </c>
      <c r="L127" s="6"/>
      <c r="M127" s="6">
        <v>1428</v>
      </c>
      <c r="N127" s="6">
        <v>12724</v>
      </c>
      <c r="O127" s="6">
        <v>11229</v>
      </c>
      <c r="P127" s="6">
        <v>1114</v>
      </c>
      <c r="Q127" s="6">
        <v>25067</v>
      </c>
    </row>
    <row r="128" spans="1:17" x14ac:dyDescent="0.35">
      <c r="A128" s="1">
        <v>38462</v>
      </c>
      <c r="B128" s="6">
        <v>776528</v>
      </c>
      <c r="C128" s="6">
        <v>24326</v>
      </c>
      <c r="D128" s="6">
        <v>0</v>
      </c>
      <c r="E128" s="6">
        <v>19824</v>
      </c>
      <c r="F128" s="6">
        <v>4102</v>
      </c>
      <c r="G128" s="6">
        <v>84</v>
      </c>
      <c r="H128" s="6">
        <v>315</v>
      </c>
      <c r="I128" s="6">
        <v>25100</v>
      </c>
      <c r="J128" s="6">
        <v>718534</v>
      </c>
      <c r="K128" s="6">
        <v>7154</v>
      </c>
      <c r="L128" s="6"/>
      <c r="M128" s="6">
        <v>1414</v>
      </c>
      <c r="N128" s="6">
        <v>12732</v>
      </c>
      <c r="O128" s="6">
        <v>11320</v>
      </c>
      <c r="P128" s="6">
        <v>1212</v>
      </c>
      <c r="Q128" s="6">
        <v>25265</v>
      </c>
    </row>
    <row r="129" spans="1:17" x14ac:dyDescent="0.35">
      <c r="A129" s="1">
        <v>38469</v>
      </c>
      <c r="B129" s="6">
        <v>784609</v>
      </c>
      <c r="C129" s="6">
        <v>31652</v>
      </c>
      <c r="D129" s="6">
        <v>0</v>
      </c>
      <c r="E129" s="6">
        <v>24915</v>
      </c>
      <c r="F129" s="6">
        <v>6356</v>
      </c>
      <c r="G129" s="6">
        <v>88</v>
      </c>
      <c r="H129" s="6">
        <v>294</v>
      </c>
      <c r="I129" s="6">
        <v>25068</v>
      </c>
      <c r="J129" s="6">
        <v>718816</v>
      </c>
      <c r="K129" s="6">
        <v>7600</v>
      </c>
      <c r="L129" s="6"/>
      <c r="M129" s="6">
        <v>1473</v>
      </c>
      <c r="N129" s="6">
        <v>12742</v>
      </c>
      <c r="O129" s="6">
        <v>11357</v>
      </c>
      <c r="P129" s="6">
        <v>1089</v>
      </c>
      <c r="Q129" s="6">
        <v>25188</v>
      </c>
    </row>
    <row r="130" spans="1:17" x14ac:dyDescent="0.35">
      <c r="A130" s="1">
        <v>38476</v>
      </c>
      <c r="B130" s="6">
        <v>777061</v>
      </c>
      <c r="C130" s="6">
        <v>22164</v>
      </c>
      <c r="D130" s="6">
        <v>0</v>
      </c>
      <c r="E130" s="6">
        <v>17110</v>
      </c>
      <c r="F130" s="6">
        <v>4618</v>
      </c>
      <c r="G130" s="6">
        <v>79</v>
      </c>
      <c r="H130" s="6">
        <v>357</v>
      </c>
      <c r="I130" s="6">
        <v>26060</v>
      </c>
      <c r="J130" s="6">
        <v>719737</v>
      </c>
      <c r="K130" s="6">
        <v>7657</v>
      </c>
      <c r="L130" s="6"/>
      <c r="M130" s="6">
        <v>1443</v>
      </c>
      <c r="N130" s="6">
        <v>12753</v>
      </c>
      <c r="O130" s="6">
        <v>11397</v>
      </c>
      <c r="P130" s="6">
        <v>1200</v>
      </c>
      <c r="Q130" s="6">
        <v>25351</v>
      </c>
    </row>
    <row r="131" spans="1:17" x14ac:dyDescent="0.35">
      <c r="A131" s="1">
        <v>38483</v>
      </c>
      <c r="B131" s="6">
        <v>783085</v>
      </c>
      <c r="C131" s="6">
        <v>29416</v>
      </c>
      <c r="D131" s="6">
        <v>0</v>
      </c>
      <c r="E131" s="6">
        <v>24025</v>
      </c>
      <c r="F131" s="6">
        <v>4998</v>
      </c>
      <c r="G131" s="6">
        <v>79</v>
      </c>
      <c r="H131" s="6">
        <v>315</v>
      </c>
      <c r="I131" s="6">
        <v>25308</v>
      </c>
      <c r="J131" s="6">
        <v>720324</v>
      </c>
      <c r="K131" s="6">
        <v>6555</v>
      </c>
      <c r="L131" s="6"/>
      <c r="M131" s="6">
        <v>1482</v>
      </c>
      <c r="N131" s="6">
        <v>12771</v>
      </c>
      <c r="O131" s="6">
        <v>11412</v>
      </c>
      <c r="P131" s="6">
        <v>1110</v>
      </c>
      <c r="Q131" s="6">
        <v>25293</v>
      </c>
    </row>
    <row r="132" spans="1:17" x14ac:dyDescent="0.35">
      <c r="A132" s="1">
        <v>38490</v>
      </c>
      <c r="B132" s="6">
        <v>776115</v>
      </c>
      <c r="C132" s="6">
        <v>22857</v>
      </c>
      <c r="D132" s="6">
        <v>0</v>
      </c>
      <c r="E132" s="6">
        <v>17391</v>
      </c>
      <c r="F132" s="6">
        <v>5080</v>
      </c>
      <c r="G132" s="6">
        <v>112</v>
      </c>
      <c r="H132" s="6">
        <v>273</v>
      </c>
      <c r="I132" s="6">
        <v>26179</v>
      </c>
      <c r="J132" s="6">
        <v>719274</v>
      </c>
      <c r="K132" s="6">
        <v>6337</v>
      </c>
      <c r="L132" s="6"/>
      <c r="M132" s="6">
        <v>1468</v>
      </c>
      <c r="N132" s="6">
        <v>12909</v>
      </c>
      <c r="O132" s="6">
        <v>11393</v>
      </c>
      <c r="P132" s="6">
        <v>1128</v>
      </c>
      <c r="Q132" s="6">
        <v>25431</v>
      </c>
    </row>
    <row r="133" spans="1:17" x14ac:dyDescent="0.35">
      <c r="A133" s="1">
        <v>38497</v>
      </c>
      <c r="B133" s="6">
        <v>784545</v>
      </c>
      <c r="C133" s="6">
        <v>29757</v>
      </c>
      <c r="D133" s="6">
        <v>0</v>
      </c>
      <c r="E133" s="6">
        <v>23881</v>
      </c>
      <c r="F133" s="6">
        <v>5518</v>
      </c>
      <c r="G133" s="6">
        <v>79</v>
      </c>
      <c r="H133" s="6">
        <v>278</v>
      </c>
      <c r="I133" s="6">
        <v>25186</v>
      </c>
      <c r="J133" s="6">
        <v>721744</v>
      </c>
      <c r="K133" s="6">
        <v>6334</v>
      </c>
      <c r="L133" s="6"/>
      <c r="M133" s="6">
        <v>1524</v>
      </c>
      <c r="N133" s="6">
        <v>12859</v>
      </c>
      <c r="O133" s="6">
        <v>11417</v>
      </c>
      <c r="P133" s="6">
        <v>1340</v>
      </c>
      <c r="Q133" s="6">
        <v>25615</v>
      </c>
    </row>
    <row r="134" spans="1:17" x14ac:dyDescent="0.35">
      <c r="A134" s="1">
        <v>38504</v>
      </c>
      <c r="B134" s="6">
        <v>792040</v>
      </c>
      <c r="C134" s="6">
        <v>30965</v>
      </c>
      <c r="D134" s="6">
        <v>0</v>
      </c>
      <c r="E134" s="6">
        <v>26531</v>
      </c>
      <c r="F134" s="6">
        <v>4039</v>
      </c>
      <c r="G134" s="6">
        <v>80</v>
      </c>
      <c r="H134" s="6">
        <v>314</v>
      </c>
      <c r="I134" s="6">
        <v>24732</v>
      </c>
      <c r="J134" s="6">
        <v>726465</v>
      </c>
      <c r="K134" s="6">
        <v>8404</v>
      </c>
      <c r="L134" s="6"/>
      <c r="M134" s="6">
        <v>1475</v>
      </c>
      <c r="N134" s="6">
        <v>12894</v>
      </c>
      <c r="O134" s="6">
        <v>11364</v>
      </c>
      <c r="P134" s="6">
        <v>1037</v>
      </c>
      <c r="Q134" s="6">
        <v>25295</v>
      </c>
    </row>
    <row r="135" spans="1:17" x14ac:dyDescent="0.35">
      <c r="A135" s="1">
        <v>38511</v>
      </c>
      <c r="B135" s="6">
        <v>788280</v>
      </c>
      <c r="C135" s="6">
        <v>30360</v>
      </c>
      <c r="D135" s="6">
        <v>0</v>
      </c>
      <c r="E135" s="6">
        <v>25122</v>
      </c>
      <c r="F135" s="6">
        <v>4626</v>
      </c>
      <c r="G135" s="6">
        <v>112</v>
      </c>
      <c r="H135" s="6">
        <v>501</v>
      </c>
      <c r="I135" s="6">
        <v>23956</v>
      </c>
      <c r="J135" s="6">
        <v>725701</v>
      </c>
      <c r="K135" s="6">
        <v>6706</v>
      </c>
      <c r="L135" s="6"/>
      <c r="M135" s="6">
        <v>1556</v>
      </c>
      <c r="N135" s="6">
        <v>12904</v>
      </c>
      <c r="O135" s="6">
        <v>11440</v>
      </c>
      <c r="P135" s="6">
        <v>1548</v>
      </c>
      <c r="Q135" s="6">
        <v>25892</v>
      </c>
    </row>
    <row r="136" spans="1:17" x14ac:dyDescent="0.35">
      <c r="A136" s="1">
        <v>38518</v>
      </c>
      <c r="B136" s="6">
        <v>785728</v>
      </c>
      <c r="C136" s="6">
        <v>30165</v>
      </c>
      <c r="D136" s="6">
        <v>0</v>
      </c>
      <c r="E136" s="6">
        <v>19971</v>
      </c>
      <c r="F136" s="6">
        <v>9849</v>
      </c>
      <c r="G136" s="6">
        <v>91</v>
      </c>
      <c r="H136" s="6">
        <v>255</v>
      </c>
      <c r="I136" s="6">
        <v>23147</v>
      </c>
      <c r="J136" s="6">
        <v>724579</v>
      </c>
      <c r="K136" s="6">
        <v>6295</v>
      </c>
      <c r="L136" s="6"/>
      <c r="M136" s="6">
        <v>1542</v>
      </c>
      <c r="N136" s="6">
        <v>12921</v>
      </c>
      <c r="O136" s="6">
        <v>11396</v>
      </c>
      <c r="P136" s="6">
        <v>1152</v>
      </c>
      <c r="Q136" s="6">
        <v>25470</v>
      </c>
    </row>
    <row r="137" spans="1:17" x14ac:dyDescent="0.35">
      <c r="A137" s="1">
        <v>38525</v>
      </c>
      <c r="B137" s="6">
        <v>784555</v>
      </c>
      <c r="C137" s="6">
        <v>29112</v>
      </c>
      <c r="D137" s="6">
        <v>0</v>
      </c>
      <c r="E137" s="6">
        <v>23662</v>
      </c>
      <c r="F137" s="6">
        <v>5099</v>
      </c>
      <c r="G137" s="6">
        <v>84</v>
      </c>
      <c r="H137" s="6">
        <v>267</v>
      </c>
      <c r="I137" s="6">
        <v>23362</v>
      </c>
      <c r="J137" s="6">
        <v>724328</v>
      </c>
      <c r="K137" s="6">
        <v>6174</v>
      </c>
      <c r="L137" s="6"/>
      <c r="M137" s="6">
        <v>1580</v>
      </c>
      <c r="N137" s="6">
        <v>12935</v>
      </c>
      <c r="O137" s="6">
        <v>11451</v>
      </c>
      <c r="P137" s="6">
        <v>1488</v>
      </c>
      <c r="Q137" s="6">
        <v>25874</v>
      </c>
    </row>
    <row r="138" spans="1:17" x14ac:dyDescent="0.35">
      <c r="A138" s="1">
        <v>38532</v>
      </c>
      <c r="B138" s="6">
        <v>784310</v>
      </c>
      <c r="C138" s="6">
        <v>24635</v>
      </c>
      <c r="D138" s="6">
        <v>0</v>
      </c>
      <c r="E138" s="6">
        <v>20127</v>
      </c>
      <c r="F138" s="6">
        <v>4173</v>
      </c>
      <c r="G138" s="6">
        <v>83</v>
      </c>
      <c r="H138" s="6">
        <v>252</v>
      </c>
      <c r="I138" s="6">
        <v>24237</v>
      </c>
      <c r="J138" s="6">
        <v>727640</v>
      </c>
      <c r="K138" s="6">
        <v>6162</v>
      </c>
      <c r="L138" s="6"/>
      <c r="M138" s="6">
        <v>1637</v>
      </c>
      <c r="N138" s="6">
        <v>12936</v>
      </c>
      <c r="O138" s="6">
        <v>11456</v>
      </c>
      <c r="P138" s="6">
        <v>1379</v>
      </c>
      <c r="Q138" s="6">
        <v>25771</v>
      </c>
    </row>
    <row r="139" spans="1:17" x14ac:dyDescent="0.35">
      <c r="A139" s="1">
        <v>38539</v>
      </c>
      <c r="B139" s="6">
        <v>795987</v>
      </c>
      <c r="C139" s="6">
        <v>29344</v>
      </c>
      <c r="D139" s="6">
        <v>0</v>
      </c>
      <c r="E139" s="6">
        <v>24424</v>
      </c>
      <c r="F139" s="6">
        <v>4544</v>
      </c>
      <c r="G139" s="6">
        <v>82</v>
      </c>
      <c r="H139" s="6">
        <v>295</v>
      </c>
      <c r="I139" s="6">
        <v>24464</v>
      </c>
      <c r="J139" s="6">
        <v>732517</v>
      </c>
      <c r="K139" s="6">
        <v>8432</v>
      </c>
      <c r="L139" s="6"/>
      <c r="M139" s="6">
        <v>1230</v>
      </c>
      <c r="N139" s="6">
        <v>12939</v>
      </c>
      <c r="O139" s="6">
        <v>11437</v>
      </c>
      <c r="P139" s="6">
        <v>1194</v>
      </c>
      <c r="Q139" s="6">
        <v>25569</v>
      </c>
    </row>
    <row r="140" spans="1:17" x14ac:dyDescent="0.35">
      <c r="A140" s="1">
        <v>38546</v>
      </c>
      <c r="B140" s="6">
        <v>782498</v>
      </c>
      <c r="C140" s="6">
        <v>19771</v>
      </c>
      <c r="D140" s="6">
        <v>0</v>
      </c>
      <c r="E140" s="6">
        <v>14577</v>
      </c>
      <c r="F140" s="6">
        <v>4790</v>
      </c>
      <c r="G140" s="6">
        <v>100</v>
      </c>
      <c r="H140" s="6">
        <v>304</v>
      </c>
      <c r="I140" s="6">
        <v>25597</v>
      </c>
      <c r="J140" s="6">
        <v>729691</v>
      </c>
      <c r="K140" s="6">
        <v>6178</v>
      </c>
      <c r="L140" s="6"/>
      <c r="M140" s="6">
        <v>1260</v>
      </c>
      <c r="N140" s="6">
        <v>13369</v>
      </c>
      <c r="O140" s="6">
        <v>11482</v>
      </c>
      <c r="P140" s="6">
        <v>1513</v>
      </c>
      <c r="Q140" s="6">
        <v>26363</v>
      </c>
    </row>
    <row r="141" spans="1:17" x14ac:dyDescent="0.35">
      <c r="A141" s="1">
        <v>38553</v>
      </c>
      <c r="B141" s="6">
        <v>790488</v>
      </c>
      <c r="C141" s="6">
        <v>27905</v>
      </c>
      <c r="D141" s="6">
        <v>0</v>
      </c>
      <c r="E141" s="6">
        <v>22653</v>
      </c>
      <c r="F141" s="6">
        <v>4660</v>
      </c>
      <c r="G141" s="6">
        <v>283</v>
      </c>
      <c r="H141" s="6">
        <v>309</v>
      </c>
      <c r="I141" s="6">
        <v>28196</v>
      </c>
      <c r="J141" s="6">
        <v>726814</v>
      </c>
      <c r="K141" s="6">
        <v>6341</v>
      </c>
      <c r="L141" s="6"/>
      <c r="M141" s="6">
        <v>1232</v>
      </c>
      <c r="N141" s="6">
        <v>13385</v>
      </c>
      <c r="O141" s="6">
        <v>11484</v>
      </c>
      <c r="P141" s="6">
        <v>1448</v>
      </c>
      <c r="Q141" s="6">
        <v>26316</v>
      </c>
    </row>
    <row r="142" spans="1:17" x14ac:dyDescent="0.35">
      <c r="A142" s="1">
        <v>38560</v>
      </c>
      <c r="B142" s="6">
        <v>787656</v>
      </c>
      <c r="C142" s="6">
        <v>25644</v>
      </c>
      <c r="D142" s="6">
        <v>0</v>
      </c>
      <c r="E142" s="6">
        <v>20854</v>
      </c>
      <c r="F142" s="6">
        <v>4417</v>
      </c>
      <c r="G142" s="6">
        <v>81</v>
      </c>
      <c r="H142" s="6">
        <v>291</v>
      </c>
      <c r="I142" s="6">
        <v>27277</v>
      </c>
      <c r="J142" s="6">
        <v>727258</v>
      </c>
      <c r="K142" s="6">
        <v>6197</v>
      </c>
      <c r="L142" s="6"/>
      <c r="M142" s="6">
        <v>1281</v>
      </c>
      <c r="N142" s="6">
        <v>13389</v>
      </c>
      <c r="O142" s="6">
        <v>11513</v>
      </c>
      <c r="P142" s="6">
        <v>1701</v>
      </c>
      <c r="Q142" s="6">
        <v>26603</v>
      </c>
    </row>
    <row r="143" spans="1:17" x14ac:dyDescent="0.35">
      <c r="A143" s="1">
        <v>38567</v>
      </c>
      <c r="B143" s="6">
        <v>791800</v>
      </c>
      <c r="C143" s="6">
        <v>31373</v>
      </c>
      <c r="D143" s="6">
        <v>0</v>
      </c>
      <c r="E143" s="6">
        <v>26130</v>
      </c>
      <c r="F143" s="6">
        <v>4813</v>
      </c>
      <c r="G143" s="6">
        <v>84</v>
      </c>
      <c r="H143" s="6">
        <v>346</v>
      </c>
      <c r="I143" s="6">
        <v>22575</v>
      </c>
      <c r="J143" s="6">
        <v>729601</v>
      </c>
      <c r="K143" s="6">
        <v>6989</v>
      </c>
      <c r="L143" s="6"/>
      <c r="M143" s="6">
        <v>1263</v>
      </c>
      <c r="N143" s="6">
        <v>13390</v>
      </c>
      <c r="O143" s="6">
        <v>11567</v>
      </c>
      <c r="P143" s="6">
        <v>2083</v>
      </c>
      <c r="Q143" s="6">
        <v>27040</v>
      </c>
    </row>
    <row r="144" spans="1:17" x14ac:dyDescent="0.35">
      <c r="A144" s="1">
        <v>38574</v>
      </c>
      <c r="B144" s="6">
        <v>781561</v>
      </c>
      <c r="C144" s="6">
        <v>20428</v>
      </c>
      <c r="D144" s="6">
        <v>0</v>
      </c>
      <c r="E144" s="6">
        <v>14291</v>
      </c>
      <c r="F144" s="6">
        <v>5679</v>
      </c>
      <c r="G144" s="6">
        <v>156</v>
      </c>
      <c r="H144" s="6">
        <v>302</v>
      </c>
      <c r="I144" s="6">
        <v>23640</v>
      </c>
      <c r="J144" s="6">
        <v>730022</v>
      </c>
      <c r="K144" s="6">
        <v>6154</v>
      </c>
      <c r="L144" s="6"/>
      <c r="M144" s="6">
        <v>1318</v>
      </c>
      <c r="N144" s="6">
        <v>13407</v>
      </c>
      <c r="O144" s="6">
        <v>11600</v>
      </c>
      <c r="P144" s="6">
        <v>1977</v>
      </c>
      <c r="Q144" s="6">
        <v>26983</v>
      </c>
    </row>
    <row r="145" spans="1:17" x14ac:dyDescent="0.35">
      <c r="A145" s="1">
        <v>38581</v>
      </c>
      <c r="B145" s="6">
        <v>786685</v>
      </c>
      <c r="C145" s="6">
        <v>26443</v>
      </c>
      <c r="D145" s="6">
        <v>0</v>
      </c>
      <c r="E145" s="6">
        <v>20377</v>
      </c>
      <c r="F145" s="6">
        <v>5669</v>
      </c>
      <c r="G145" s="6">
        <v>78</v>
      </c>
      <c r="H145" s="6">
        <v>319</v>
      </c>
      <c r="I145" s="6">
        <v>23503</v>
      </c>
      <c r="J145" s="6">
        <v>729141</v>
      </c>
      <c r="K145" s="6">
        <v>6301</v>
      </c>
      <c r="L145" s="6"/>
      <c r="M145" s="6">
        <v>1296</v>
      </c>
      <c r="N145" s="6">
        <v>13441</v>
      </c>
      <c r="O145" s="6">
        <v>11629</v>
      </c>
      <c r="P145" s="6">
        <v>2019</v>
      </c>
      <c r="Q145" s="6">
        <v>27089</v>
      </c>
    </row>
    <row r="146" spans="1:17" x14ac:dyDescent="0.35">
      <c r="A146" s="1">
        <v>38588</v>
      </c>
      <c r="B146" s="6">
        <v>784273</v>
      </c>
      <c r="C146" s="6">
        <v>25048</v>
      </c>
      <c r="D146" s="6">
        <v>0</v>
      </c>
      <c r="E146" s="6">
        <v>20069</v>
      </c>
      <c r="F146" s="6">
        <v>4603</v>
      </c>
      <c r="G146" s="6">
        <v>80</v>
      </c>
      <c r="H146" s="6">
        <v>296</v>
      </c>
      <c r="I146" s="6">
        <v>24114</v>
      </c>
      <c r="J146" s="6">
        <v>727930</v>
      </c>
      <c r="K146" s="6">
        <v>5826</v>
      </c>
      <c r="L146" s="6"/>
      <c r="M146" s="6">
        <v>1355</v>
      </c>
      <c r="N146" s="6">
        <v>13441</v>
      </c>
      <c r="O146" s="6">
        <v>11630</v>
      </c>
      <c r="P146" s="6">
        <v>1969</v>
      </c>
      <c r="Q146" s="6">
        <v>27040</v>
      </c>
    </row>
    <row r="147" spans="1:17" x14ac:dyDescent="0.35">
      <c r="A147" s="1">
        <v>38595</v>
      </c>
      <c r="B147" s="6">
        <v>796051</v>
      </c>
      <c r="C147" s="6">
        <v>31698</v>
      </c>
      <c r="D147" s="6">
        <v>0</v>
      </c>
      <c r="E147" s="6">
        <v>25702</v>
      </c>
      <c r="F147" s="6">
        <v>5650</v>
      </c>
      <c r="G147" s="6">
        <v>81</v>
      </c>
      <c r="H147" s="6">
        <v>265</v>
      </c>
      <c r="I147" s="6">
        <v>26487</v>
      </c>
      <c r="J147" s="6">
        <v>730211</v>
      </c>
      <c r="K147" s="6">
        <v>6339</v>
      </c>
      <c r="L147" s="6"/>
      <c r="M147" s="6">
        <v>1315</v>
      </c>
      <c r="N147" s="6">
        <v>13402</v>
      </c>
      <c r="O147" s="6">
        <v>11630</v>
      </c>
      <c r="P147" s="6">
        <v>2155</v>
      </c>
      <c r="Q147" s="6">
        <v>27186</v>
      </c>
    </row>
    <row r="148" spans="1:17" x14ac:dyDescent="0.35">
      <c r="A148" s="1">
        <v>38602</v>
      </c>
      <c r="B148" s="6">
        <v>795129</v>
      </c>
      <c r="C148" s="6">
        <v>24846</v>
      </c>
      <c r="D148" s="6">
        <v>0</v>
      </c>
      <c r="E148" s="6">
        <v>20005</v>
      </c>
      <c r="F148" s="6">
        <v>4445</v>
      </c>
      <c r="G148" s="6">
        <v>82</v>
      </c>
      <c r="H148" s="6">
        <v>314</v>
      </c>
      <c r="I148" s="6">
        <v>25154</v>
      </c>
      <c r="J148" s="6">
        <v>735201</v>
      </c>
      <c r="K148" s="6">
        <v>8549</v>
      </c>
      <c r="L148" s="6"/>
      <c r="M148" s="6">
        <v>1379</v>
      </c>
      <c r="N148" s="6">
        <v>13403</v>
      </c>
      <c r="O148" s="6">
        <v>11630</v>
      </c>
      <c r="P148" s="6">
        <v>2338</v>
      </c>
      <c r="Q148" s="6">
        <v>27371</v>
      </c>
    </row>
    <row r="149" spans="1:17" x14ac:dyDescent="0.35">
      <c r="A149" s="1">
        <v>38609</v>
      </c>
      <c r="B149" s="6">
        <v>796534</v>
      </c>
      <c r="C149" s="6">
        <v>28718</v>
      </c>
      <c r="D149" s="6">
        <v>0</v>
      </c>
      <c r="E149" s="6">
        <v>23058</v>
      </c>
      <c r="F149" s="6">
        <v>5319</v>
      </c>
      <c r="G149" s="6">
        <v>83</v>
      </c>
      <c r="H149" s="6">
        <v>258</v>
      </c>
      <c r="I149" s="6">
        <v>25960</v>
      </c>
      <c r="J149" s="6">
        <v>733504</v>
      </c>
      <c r="K149" s="6">
        <v>6928</v>
      </c>
      <c r="L149" s="6"/>
      <c r="M149" s="6">
        <v>1424</v>
      </c>
      <c r="N149" s="6">
        <v>13297</v>
      </c>
      <c r="O149" s="6">
        <v>11630</v>
      </c>
      <c r="P149" s="6">
        <v>2129</v>
      </c>
      <c r="Q149" s="6">
        <v>27056</v>
      </c>
    </row>
    <row r="150" spans="1:17" x14ac:dyDescent="0.35">
      <c r="A150" s="1">
        <v>38616</v>
      </c>
      <c r="B150" s="6">
        <v>785892</v>
      </c>
      <c r="C150" s="6">
        <v>21709</v>
      </c>
      <c r="D150" s="6">
        <v>0</v>
      </c>
      <c r="E150" s="6">
        <v>15667</v>
      </c>
      <c r="F150" s="6">
        <v>5718</v>
      </c>
      <c r="G150" s="6">
        <v>83</v>
      </c>
      <c r="H150" s="6">
        <v>240</v>
      </c>
      <c r="I150" s="6">
        <v>23991</v>
      </c>
      <c r="J150" s="6">
        <v>731894</v>
      </c>
      <c r="K150" s="6">
        <v>6894</v>
      </c>
      <c r="L150" s="6"/>
      <c r="M150" s="6">
        <v>1405</v>
      </c>
      <c r="N150" s="6">
        <v>13302</v>
      </c>
      <c r="O150" s="6">
        <v>11630</v>
      </c>
      <c r="P150" s="6">
        <v>2102</v>
      </c>
      <c r="Q150" s="6">
        <v>27034</v>
      </c>
    </row>
    <row r="151" spans="1:17" x14ac:dyDescent="0.35">
      <c r="A151" s="1">
        <v>38623</v>
      </c>
      <c r="B151" s="6">
        <v>796881</v>
      </c>
      <c r="C151" s="6">
        <v>32607</v>
      </c>
      <c r="D151" s="6">
        <v>0</v>
      </c>
      <c r="E151" s="6">
        <v>27802</v>
      </c>
      <c r="F151" s="6">
        <v>4479</v>
      </c>
      <c r="G151" s="6">
        <v>83</v>
      </c>
      <c r="H151" s="6">
        <v>243</v>
      </c>
      <c r="I151" s="6">
        <v>23811</v>
      </c>
      <c r="J151" s="6">
        <v>732570</v>
      </c>
      <c r="K151" s="6">
        <v>6452</v>
      </c>
      <c r="L151" s="6"/>
      <c r="M151" s="6">
        <v>1441</v>
      </c>
      <c r="N151" s="6">
        <v>13306</v>
      </c>
      <c r="O151" s="6">
        <v>11623</v>
      </c>
      <c r="P151" s="6">
        <v>1961</v>
      </c>
      <c r="Q151" s="6">
        <v>26890</v>
      </c>
    </row>
    <row r="152" spans="1:17" x14ac:dyDescent="0.35">
      <c r="A152" s="1">
        <v>38630</v>
      </c>
      <c r="B152" s="6">
        <v>789958</v>
      </c>
      <c r="C152" s="6">
        <v>20773</v>
      </c>
      <c r="D152" s="6">
        <v>0</v>
      </c>
      <c r="E152" s="6">
        <v>15531</v>
      </c>
      <c r="F152" s="6">
        <v>4786</v>
      </c>
      <c r="G152" s="6">
        <v>149</v>
      </c>
      <c r="H152" s="6">
        <v>307</v>
      </c>
      <c r="I152" s="6">
        <v>25938</v>
      </c>
      <c r="J152" s="6">
        <v>733832</v>
      </c>
      <c r="K152" s="6">
        <v>7988</v>
      </c>
      <c r="L152" s="6"/>
      <c r="M152" s="6">
        <v>1427</v>
      </c>
      <c r="N152" s="6">
        <v>13426</v>
      </c>
      <c r="O152" s="6">
        <v>11630</v>
      </c>
      <c r="P152" s="6">
        <v>2124</v>
      </c>
      <c r="Q152" s="6">
        <v>27180</v>
      </c>
    </row>
    <row r="153" spans="1:17" x14ac:dyDescent="0.35">
      <c r="A153" s="1">
        <v>38637</v>
      </c>
      <c r="B153" s="6">
        <v>798959</v>
      </c>
      <c r="C153" s="6">
        <v>24057</v>
      </c>
      <c r="D153" s="6">
        <v>0</v>
      </c>
      <c r="E153" s="6">
        <v>18416</v>
      </c>
      <c r="F153" s="6">
        <v>5265</v>
      </c>
      <c r="G153" s="6">
        <v>78</v>
      </c>
      <c r="H153" s="6">
        <v>297</v>
      </c>
      <c r="I153" s="6">
        <v>26281</v>
      </c>
      <c r="J153" s="6">
        <v>736051</v>
      </c>
      <c r="K153" s="6">
        <v>11060</v>
      </c>
      <c r="L153" s="6"/>
      <c r="M153" s="6">
        <v>1510</v>
      </c>
      <c r="N153" s="6">
        <v>13429</v>
      </c>
      <c r="O153" s="6">
        <v>11630</v>
      </c>
      <c r="P153" s="6">
        <v>2288</v>
      </c>
      <c r="Q153" s="6">
        <v>27347</v>
      </c>
    </row>
    <row r="154" spans="1:17" x14ac:dyDescent="0.35">
      <c r="A154" s="1">
        <v>38644</v>
      </c>
      <c r="B154" s="6">
        <v>787033</v>
      </c>
      <c r="C154" s="6">
        <v>19824</v>
      </c>
      <c r="D154" s="6">
        <v>0</v>
      </c>
      <c r="E154" s="6">
        <v>14960</v>
      </c>
      <c r="F154" s="6">
        <v>4469</v>
      </c>
      <c r="G154" s="6">
        <v>87</v>
      </c>
      <c r="H154" s="6">
        <v>308</v>
      </c>
      <c r="I154" s="6">
        <v>25082</v>
      </c>
      <c r="J154" s="6">
        <v>733671</v>
      </c>
      <c r="K154" s="6">
        <v>6983</v>
      </c>
      <c r="L154" s="6"/>
      <c r="M154" s="6">
        <v>1473</v>
      </c>
      <c r="N154" s="6">
        <v>13435</v>
      </c>
      <c r="O154" s="6">
        <v>11630</v>
      </c>
      <c r="P154" s="6">
        <v>2184</v>
      </c>
      <c r="Q154" s="6">
        <v>27249</v>
      </c>
    </row>
    <row r="155" spans="1:17" x14ac:dyDescent="0.35">
      <c r="A155" s="1">
        <v>38651</v>
      </c>
      <c r="B155" s="6">
        <v>791627</v>
      </c>
      <c r="C155" s="6">
        <v>26699</v>
      </c>
      <c r="D155" s="6">
        <v>0</v>
      </c>
      <c r="E155" s="6">
        <v>21504</v>
      </c>
      <c r="F155" s="6">
        <v>4727</v>
      </c>
      <c r="G155" s="6">
        <v>165</v>
      </c>
      <c r="H155" s="6">
        <v>303</v>
      </c>
      <c r="I155" s="6">
        <v>23654</v>
      </c>
      <c r="J155" s="6">
        <v>733631</v>
      </c>
      <c r="K155" s="6">
        <v>6134</v>
      </c>
      <c r="L155" s="6"/>
      <c r="M155" s="6">
        <v>1510</v>
      </c>
      <c r="N155" s="6">
        <v>13451</v>
      </c>
      <c r="O155" s="6">
        <v>11630</v>
      </c>
      <c r="P155" s="6">
        <v>2397</v>
      </c>
      <c r="Q155" s="6">
        <v>27478</v>
      </c>
    </row>
    <row r="156" spans="1:17" x14ac:dyDescent="0.35">
      <c r="A156" s="1">
        <v>38658</v>
      </c>
      <c r="B156" s="6">
        <v>787164</v>
      </c>
      <c r="C156" s="6">
        <v>18734</v>
      </c>
      <c r="D156" s="6">
        <v>0</v>
      </c>
      <c r="E156" s="6">
        <v>13813</v>
      </c>
      <c r="F156" s="6">
        <v>4499</v>
      </c>
      <c r="G156" s="6">
        <v>106</v>
      </c>
      <c r="H156" s="6">
        <v>316</v>
      </c>
      <c r="I156" s="6">
        <v>24939</v>
      </c>
      <c r="J156" s="6">
        <v>734523</v>
      </c>
      <c r="K156" s="6">
        <v>7469</v>
      </c>
      <c r="L156" s="6"/>
      <c r="M156" s="6">
        <v>1500</v>
      </c>
      <c r="N156" s="6">
        <v>13455</v>
      </c>
      <c r="O156" s="6">
        <v>11630</v>
      </c>
      <c r="P156" s="6">
        <v>2322</v>
      </c>
      <c r="Q156" s="6">
        <v>27406</v>
      </c>
    </row>
    <row r="157" spans="1:17" x14ac:dyDescent="0.35">
      <c r="A157" s="1">
        <v>38665</v>
      </c>
      <c r="B157" s="6">
        <v>797743</v>
      </c>
      <c r="C157" s="6">
        <v>25177</v>
      </c>
      <c r="D157" s="6">
        <v>0</v>
      </c>
      <c r="E157" s="6">
        <v>19443</v>
      </c>
      <c r="F157" s="6">
        <v>5388</v>
      </c>
      <c r="G157" s="6">
        <v>83</v>
      </c>
      <c r="H157" s="6">
        <v>264</v>
      </c>
      <c r="I157" s="6">
        <v>25021</v>
      </c>
      <c r="J157" s="6">
        <v>739610</v>
      </c>
      <c r="K157" s="6">
        <v>6398</v>
      </c>
      <c r="L157" s="6"/>
      <c r="M157" s="6">
        <v>1536</v>
      </c>
      <c r="N157" s="6">
        <v>13446</v>
      </c>
      <c r="O157" s="6">
        <v>11625</v>
      </c>
      <c r="P157" s="6">
        <v>2177</v>
      </c>
      <c r="Q157" s="6">
        <v>27248</v>
      </c>
    </row>
    <row r="158" spans="1:17" x14ac:dyDescent="0.35">
      <c r="A158" s="1">
        <v>38672</v>
      </c>
      <c r="B158" s="6">
        <v>795861</v>
      </c>
      <c r="C158" s="6">
        <v>19718</v>
      </c>
      <c r="D158" s="6">
        <v>0</v>
      </c>
      <c r="E158" s="6">
        <v>14961</v>
      </c>
      <c r="F158" s="6">
        <v>4416</v>
      </c>
      <c r="G158" s="6">
        <v>81</v>
      </c>
      <c r="H158" s="6">
        <v>261</v>
      </c>
      <c r="I158" s="6">
        <v>25318</v>
      </c>
      <c r="J158" s="6">
        <v>741291</v>
      </c>
      <c r="K158" s="6">
        <v>8008</v>
      </c>
      <c r="L158" s="6"/>
      <c r="M158" s="6">
        <v>1526</v>
      </c>
      <c r="N158" s="6">
        <v>13458</v>
      </c>
      <c r="O158" s="6">
        <v>11630</v>
      </c>
      <c r="P158" s="6">
        <v>2314</v>
      </c>
      <c r="Q158" s="6">
        <v>27402</v>
      </c>
    </row>
    <row r="159" spans="1:17" x14ac:dyDescent="0.35">
      <c r="A159" s="1">
        <v>38679</v>
      </c>
      <c r="B159" s="6">
        <v>805221</v>
      </c>
      <c r="C159" s="6">
        <v>26896</v>
      </c>
      <c r="D159" s="6">
        <v>0</v>
      </c>
      <c r="E159" s="6">
        <v>22384</v>
      </c>
      <c r="F159" s="6">
        <v>4162</v>
      </c>
      <c r="G159" s="6">
        <v>80</v>
      </c>
      <c r="H159" s="6">
        <v>270</v>
      </c>
      <c r="I159" s="6">
        <v>24487</v>
      </c>
      <c r="J159" s="6">
        <v>745582</v>
      </c>
      <c r="K159" s="6">
        <v>6699</v>
      </c>
      <c r="L159" s="6"/>
      <c r="M159" s="6">
        <v>1557</v>
      </c>
      <c r="N159" s="6">
        <v>13498</v>
      </c>
      <c r="O159" s="6">
        <v>11630</v>
      </c>
      <c r="P159" s="6">
        <v>2775</v>
      </c>
      <c r="Q159" s="6">
        <v>27903</v>
      </c>
    </row>
    <row r="160" spans="1:17" x14ac:dyDescent="0.35">
      <c r="A160" s="1">
        <v>38686</v>
      </c>
      <c r="B160" s="6">
        <v>807425</v>
      </c>
      <c r="C160" s="6">
        <v>25174</v>
      </c>
      <c r="D160" s="6">
        <v>0</v>
      </c>
      <c r="E160" s="6">
        <v>20204</v>
      </c>
      <c r="F160" s="6">
        <v>4634</v>
      </c>
      <c r="G160" s="6">
        <v>82</v>
      </c>
      <c r="H160" s="6">
        <v>255</v>
      </c>
      <c r="I160" s="6">
        <v>30055</v>
      </c>
      <c r="J160" s="6">
        <v>744567</v>
      </c>
      <c r="K160" s="6">
        <v>6091</v>
      </c>
      <c r="L160" s="6"/>
      <c r="M160" s="6">
        <v>1538</v>
      </c>
      <c r="N160" s="6">
        <v>13501</v>
      </c>
      <c r="O160" s="6">
        <v>11630</v>
      </c>
      <c r="P160" s="6">
        <v>2503</v>
      </c>
      <c r="Q160" s="6">
        <v>27634</v>
      </c>
    </row>
    <row r="161" spans="1:17" x14ac:dyDescent="0.35">
      <c r="A161" s="1">
        <v>38693</v>
      </c>
      <c r="B161" s="6">
        <v>805651</v>
      </c>
      <c r="C161" s="6">
        <v>25626</v>
      </c>
      <c r="D161" s="6">
        <v>0</v>
      </c>
      <c r="E161" s="6">
        <v>20188</v>
      </c>
      <c r="F161" s="6">
        <v>5076</v>
      </c>
      <c r="G161" s="6">
        <v>81</v>
      </c>
      <c r="H161" s="6">
        <v>281</v>
      </c>
      <c r="I161" s="6">
        <v>27792</v>
      </c>
      <c r="J161" s="6">
        <v>743496</v>
      </c>
      <c r="K161" s="6">
        <v>7105</v>
      </c>
      <c r="L161" s="6"/>
      <c r="M161" s="6">
        <v>1633</v>
      </c>
      <c r="N161" s="6">
        <v>13523</v>
      </c>
      <c r="O161" s="6">
        <v>11630</v>
      </c>
      <c r="P161" s="6">
        <v>2446</v>
      </c>
      <c r="Q161" s="6">
        <v>27599</v>
      </c>
    </row>
    <row r="162" spans="1:17" x14ac:dyDescent="0.35">
      <c r="A162" s="1">
        <v>38700</v>
      </c>
      <c r="B162" s="6">
        <v>802541</v>
      </c>
      <c r="C162" s="6">
        <v>21546</v>
      </c>
      <c r="D162" s="6">
        <v>0</v>
      </c>
      <c r="E162" s="6">
        <v>16228</v>
      </c>
      <c r="F162" s="6">
        <v>4990</v>
      </c>
      <c r="G162" s="6">
        <v>84</v>
      </c>
      <c r="H162" s="6">
        <v>244</v>
      </c>
      <c r="I162" s="6">
        <v>26575</v>
      </c>
      <c r="J162" s="6">
        <v>746571</v>
      </c>
      <c r="K162" s="6">
        <v>6179</v>
      </c>
      <c r="L162" s="6"/>
      <c r="M162" s="6">
        <v>1670</v>
      </c>
      <c r="N162" s="6">
        <v>13530</v>
      </c>
      <c r="O162" s="6">
        <v>11630</v>
      </c>
      <c r="P162" s="6">
        <v>3250</v>
      </c>
      <c r="Q162" s="6">
        <v>28409</v>
      </c>
    </row>
    <row r="163" spans="1:17" x14ac:dyDescent="0.35">
      <c r="A163" s="1">
        <v>38707</v>
      </c>
      <c r="B163" s="6">
        <v>820536</v>
      </c>
      <c r="C163" s="6">
        <v>32061</v>
      </c>
      <c r="D163" s="6">
        <v>0</v>
      </c>
      <c r="E163" s="6">
        <v>26405</v>
      </c>
      <c r="F163" s="6">
        <v>5290</v>
      </c>
      <c r="G163" s="6">
        <v>86</v>
      </c>
      <c r="H163" s="6">
        <v>280</v>
      </c>
      <c r="I163" s="6">
        <v>26762</v>
      </c>
      <c r="J163" s="6">
        <v>752969</v>
      </c>
      <c r="K163" s="6">
        <v>7103</v>
      </c>
      <c r="L163" s="6"/>
      <c r="M163" s="6">
        <v>1641</v>
      </c>
      <c r="N163" s="6">
        <v>13536</v>
      </c>
      <c r="O163" s="6">
        <v>11629</v>
      </c>
      <c r="P163" s="6">
        <v>2617</v>
      </c>
      <c r="Q163" s="6">
        <v>27781</v>
      </c>
    </row>
    <row r="164" spans="1:17" x14ac:dyDescent="0.35">
      <c r="A164" s="1">
        <v>38714</v>
      </c>
      <c r="B164" s="6">
        <v>819686</v>
      </c>
      <c r="C164" s="6">
        <v>21666</v>
      </c>
      <c r="D164" s="6">
        <v>0</v>
      </c>
      <c r="E164" s="6">
        <v>17062</v>
      </c>
      <c r="F164" s="6">
        <v>4243</v>
      </c>
      <c r="G164" s="6">
        <v>85</v>
      </c>
      <c r="H164" s="6">
        <v>276</v>
      </c>
      <c r="I164" s="6">
        <v>30372</v>
      </c>
      <c r="J164" s="6">
        <v>759246</v>
      </c>
      <c r="K164" s="6">
        <v>6697</v>
      </c>
      <c r="L164" s="6"/>
      <c r="M164" s="6">
        <v>1706</v>
      </c>
      <c r="N164" s="6">
        <v>13536</v>
      </c>
      <c r="O164" s="6">
        <v>11630</v>
      </c>
      <c r="P164" s="6">
        <v>2849</v>
      </c>
      <c r="Q164" s="6">
        <v>28014</v>
      </c>
    </row>
    <row r="165" spans="1:17" x14ac:dyDescent="0.35">
      <c r="A165" s="1">
        <v>38721</v>
      </c>
      <c r="B165" s="6">
        <v>824805</v>
      </c>
      <c r="C165" s="6">
        <v>30103</v>
      </c>
      <c r="D165" s="6">
        <v>0</v>
      </c>
      <c r="E165" s="6">
        <v>25835</v>
      </c>
      <c r="F165" s="6">
        <v>3922</v>
      </c>
      <c r="G165" s="6">
        <v>81</v>
      </c>
      <c r="H165" s="6">
        <v>265</v>
      </c>
      <c r="I165" s="6">
        <v>27567</v>
      </c>
      <c r="J165" s="6">
        <v>756534</v>
      </c>
      <c r="K165" s="6">
        <v>9401</v>
      </c>
      <c r="L165" s="6"/>
      <c r="M165" s="6">
        <v>1200</v>
      </c>
      <c r="N165" s="6">
        <v>13542</v>
      </c>
      <c r="O165" s="6">
        <v>12905</v>
      </c>
      <c r="P165" s="6">
        <v>604</v>
      </c>
      <c r="Q165" s="6">
        <v>27051</v>
      </c>
    </row>
    <row r="166" spans="1:17" x14ac:dyDescent="0.35">
      <c r="A166" s="1">
        <v>38728</v>
      </c>
      <c r="B166" s="6">
        <v>802118</v>
      </c>
      <c r="C166" s="6">
        <v>19314</v>
      </c>
      <c r="D166" s="6">
        <v>0</v>
      </c>
      <c r="E166" s="6">
        <v>14441</v>
      </c>
      <c r="F166" s="6">
        <v>4465</v>
      </c>
      <c r="G166" s="6">
        <v>81</v>
      </c>
      <c r="H166" s="6">
        <v>327</v>
      </c>
      <c r="I166" s="6">
        <v>25020</v>
      </c>
      <c r="J166" s="6">
        <v>749419</v>
      </c>
      <c r="K166" s="6">
        <v>7116</v>
      </c>
      <c r="L166" s="6"/>
      <c r="M166" s="6">
        <v>1249</v>
      </c>
      <c r="N166" s="6">
        <v>13543</v>
      </c>
      <c r="O166" s="6">
        <v>12916</v>
      </c>
      <c r="P166" s="6">
        <v>780</v>
      </c>
      <c r="Q166" s="6">
        <v>27239</v>
      </c>
    </row>
    <row r="167" spans="1:17" x14ac:dyDescent="0.35">
      <c r="A167" s="1">
        <v>38735</v>
      </c>
      <c r="B167" s="6">
        <v>809085</v>
      </c>
      <c r="C167" s="6">
        <v>24635</v>
      </c>
      <c r="D167" s="6">
        <v>0</v>
      </c>
      <c r="E167" s="6">
        <v>18831</v>
      </c>
      <c r="F167" s="6">
        <v>5429</v>
      </c>
      <c r="G167" s="6">
        <v>78</v>
      </c>
      <c r="H167" s="6">
        <v>298</v>
      </c>
      <c r="I167" s="6">
        <v>24729</v>
      </c>
      <c r="J167" s="6">
        <v>749172</v>
      </c>
      <c r="K167" s="6">
        <v>9331</v>
      </c>
      <c r="L167" s="6"/>
      <c r="M167" s="6">
        <v>1217</v>
      </c>
      <c r="N167" s="6">
        <v>13548</v>
      </c>
      <c r="O167" s="6">
        <v>12916</v>
      </c>
      <c r="P167" s="6">
        <v>493</v>
      </c>
      <c r="Q167" s="6">
        <v>26957</v>
      </c>
    </row>
    <row r="168" spans="1:17" x14ac:dyDescent="0.35">
      <c r="A168" s="1">
        <v>38742</v>
      </c>
      <c r="B168" s="6">
        <v>801666</v>
      </c>
      <c r="C168" s="6">
        <v>25845</v>
      </c>
      <c r="D168" s="6">
        <v>0</v>
      </c>
      <c r="E168" s="6">
        <v>20123</v>
      </c>
      <c r="F168" s="6">
        <v>5266</v>
      </c>
      <c r="G168" s="6">
        <v>81</v>
      </c>
      <c r="H168" s="6">
        <v>374</v>
      </c>
      <c r="I168" s="6">
        <v>21691</v>
      </c>
      <c r="J168" s="6">
        <v>746453</v>
      </c>
      <c r="K168" s="6">
        <v>6398</v>
      </c>
      <c r="L168" s="6"/>
      <c r="M168" s="6">
        <v>1279</v>
      </c>
      <c r="N168" s="6">
        <v>13551</v>
      </c>
      <c r="O168" s="6">
        <v>12901</v>
      </c>
      <c r="P168" s="6">
        <v>783</v>
      </c>
      <c r="Q168" s="6">
        <v>27235</v>
      </c>
    </row>
    <row r="169" spans="1:17" x14ac:dyDescent="0.35">
      <c r="A169" s="1">
        <v>38749</v>
      </c>
      <c r="B169" s="6">
        <v>804963</v>
      </c>
      <c r="C169" s="6">
        <v>24905</v>
      </c>
      <c r="D169" s="6">
        <v>0</v>
      </c>
      <c r="E169" s="6">
        <v>19406</v>
      </c>
      <c r="F169" s="6">
        <v>5095</v>
      </c>
      <c r="G169" s="6">
        <v>83</v>
      </c>
      <c r="H169" s="6">
        <v>321</v>
      </c>
      <c r="I169" s="6">
        <v>23180</v>
      </c>
      <c r="J169" s="6">
        <v>748178</v>
      </c>
      <c r="K169" s="6">
        <v>7453</v>
      </c>
      <c r="L169" s="6"/>
      <c r="M169" s="6">
        <v>1247</v>
      </c>
      <c r="N169" s="6">
        <v>13558</v>
      </c>
      <c r="O169" s="6">
        <v>12879</v>
      </c>
      <c r="P169" s="6">
        <v>408</v>
      </c>
      <c r="Q169" s="6">
        <v>26845</v>
      </c>
    </row>
    <row r="170" spans="1:17" x14ac:dyDescent="0.35">
      <c r="A170" s="1">
        <v>38756</v>
      </c>
      <c r="B170" s="6">
        <v>800665</v>
      </c>
      <c r="C170" s="6">
        <v>18924</v>
      </c>
      <c r="D170" s="6">
        <v>0</v>
      </c>
      <c r="E170" s="6">
        <v>14613</v>
      </c>
      <c r="F170" s="6">
        <v>3973</v>
      </c>
      <c r="G170" s="6">
        <v>82</v>
      </c>
      <c r="H170" s="6">
        <v>256</v>
      </c>
      <c r="I170" s="6">
        <v>22678</v>
      </c>
      <c r="J170" s="6">
        <v>751007</v>
      </c>
      <c r="K170" s="6">
        <v>6744</v>
      </c>
      <c r="L170" s="6"/>
      <c r="M170" s="6">
        <v>1311</v>
      </c>
      <c r="N170" s="6">
        <v>13573</v>
      </c>
      <c r="O170" s="6">
        <v>12884</v>
      </c>
      <c r="P170" s="6">
        <v>491</v>
      </c>
      <c r="Q170" s="6">
        <v>26948</v>
      </c>
    </row>
    <row r="171" spans="1:17" x14ac:dyDescent="0.35">
      <c r="A171" s="1">
        <v>38763</v>
      </c>
      <c r="B171" s="6">
        <v>807906</v>
      </c>
      <c r="C171" s="6">
        <v>25518</v>
      </c>
      <c r="D171" s="6">
        <v>0</v>
      </c>
      <c r="E171" s="6">
        <v>20030</v>
      </c>
      <c r="F171" s="6">
        <v>5125</v>
      </c>
      <c r="G171" s="6">
        <v>101</v>
      </c>
      <c r="H171" s="6">
        <v>262</v>
      </c>
      <c r="I171" s="6">
        <v>22695</v>
      </c>
      <c r="J171" s="6">
        <v>752258</v>
      </c>
      <c r="K171" s="6">
        <v>6142</v>
      </c>
      <c r="L171" s="6"/>
      <c r="M171" s="6">
        <v>1294</v>
      </c>
      <c r="N171" s="6">
        <v>13715</v>
      </c>
      <c r="O171" s="6">
        <v>12901</v>
      </c>
      <c r="P171" s="6">
        <v>718</v>
      </c>
      <c r="Q171" s="6">
        <v>27334</v>
      </c>
    </row>
    <row r="172" spans="1:17" x14ac:dyDescent="0.35">
      <c r="A172" s="1">
        <v>38770</v>
      </c>
      <c r="B172" s="6">
        <v>813142</v>
      </c>
      <c r="C172" s="6">
        <v>26048</v>
      </c>
      <c r="D172" s="6">
        <v>0</v>
      </c>
      <c r="E172" s="6">
        <v>21369</v>
      </c>
      <c r="F172" s="6">
        <v>4334</v>
      </c>
      <c r="G172" s="6">
        <v>88</v>
      </c>
      <c r="H172" s="6">
        <v>257</v>
      </c>
      <c r="I172" s="6">
        <v>24510</v>
      </c>
      <c r="J172" s="6">
        <v>753325</v>
      </c>
      <c r="K172" s="6">
        <v>7915</v>
      </c>
      <c r="L172" s="6"/>
      <c r="M172" s="6">
        <v>1345</v>
      </c>
      <c r="N172" s="6">
        <v>13716</v>
      </c>
      <c r="O172" s="6">
        <v>12901</v>
      </c>
      <c r="P172" s="6">
        <v>796</v>
      </c>
      <c r="Q172" s="6">
        <v>27413</v>
      </c>
    </row>
    <row r="173" spans="1:17" x14ac:dyDescent="0.35">
      <c r="A173" s="1">
        <v>38777</v>
      </c>
      <c r="B173" s="6">
        <v>811710</v>
      </c>
      <c r="C173" s="6">
        <v>25899</v>
      </c>
      <c r="D173" s="6">
        <v>0</v>
      </c>
      <c r="E173" s="6">
        <v>20097</v>
      </c>
      <c r="F173" s="6">
        <v>5427</v>
      </c>
      <c r="G173" s="6">
        <v>85</v>
      </c>
      <c r="H173" s="6">
        <v>290</v>
      </c>
      <c r="I173" s="6">
        <v>24672</v>
      </c>
      <c r="J173" s="6">
        <v>753028</v>
      </c>
      <c r="K173" s="6">
        <v>6793</v>
      </c>
      <c r="L173" s="6"/>
      <c r="M173" s="6">
        <v>1318</v>
      </c>
      <c r="N173" s="6">
        <v>13739</v>
      </c>
      <c r="O173" s="6">
        <v>12901</v>
      </c>
      <c r="P173" s="6">
        <v>1006</v>
      </c>
      <c r="Q173" s="6">
        <v>27646</v>
      </c>
    </row>
    <row r="174" spans="1:17" x14ac:dyDescent="0.35">
      <c r="A174" s="1">
        <v>38784</v>
      </c>
      <c r="B174" s="6">
        <v>811584</v>
      </c>
      <c r="C174" s="6">
        <v>25722</v>
      </c>
      <c r="D174" s="6">
        <v>0</v>
      </c>
      <c r="E174" s="6">
        <v>20556</v>
      </c>
      <c r="F174" s="6">
        <v>4851</v>
      </c>
      <c r="G174" s="6">
        <v>86</v>
      </c>
      <c r="H174" s="6">
        <v>230</v>
      </c>
      <c r="I174" s="6">
        <v>23810</v>
      </c>
      <c r="J174" s="6">
        <v>753788</v>
      </c>
      <c r="K174" s="6">
        <v>6882</v>
      </c>
      <c r="L174" s="6"/>
      <c r="M174" s="6">
        <v>1382</v>
      </c>
      <c r="N174" s="6">
        <v>13730</v>
      </c>
      <c r="O174" s="6">
        <v>12901</v>
      </c>
      <c r="P174" s="6">
        <v>1019</v>
      </c>
      <c r="Q174" s="6">
        <v>27650</v>
      </c>
    </row>
    <row r="175" spans="1:17" x14ac:dyDescent="0.35">
      <c r="A175" s="1">
        <v>38791</v>
      </c>
      <c r="B175" s="6">
        <v>815075</v>
      </c>
      <c r="C175" s="6">
        <v>29301</v>
      </c>
      <c r="D175" s="6">
        <v>0</v>
      </c>
      <c r="E175" s="6">
        <v>26046</v>
      </c>
      <c r="F175" s="6">
        <v>2844</v>
      </c>
      <c r="G175" s="6">
        <v>150</v>
      </c>
      <c r="H175" s="6">
        <v>261</v>
      </c>
      <c r="I175" s="6">
        <v>24293</v>
      </c>
      <c r="J175" s="6">
        <v>753886</v>
      </c>
      <c r="K175" s="6">
        <v>6238</v>
      </c>
      <c r="L175" s="6"/>
      <c r="M175" s="6">
        <v>1357</v>
      </c>
      <c r="N175" s="6">
        <v>13705</v>
      </c>
      <c r="O175" s="6">
        <v>12901</v>
      </c>
      <c r="P175" s="6">
        <v>1328</v>
      </c>
      <c r="Q175" s="6">
        <v>27935</v>
      </c>
    </row>
    <row r="176" spans="1:17" x14ac:dyDescent="0.35">
      <c r="A176" s="1">
        <v>38798</v>
      </c>
      <c r="B176" s="6">
        <v>810040</v>
      </c>
      <c r="C176" s="6">
        <v>25480</v>
      </c>
      <c r="D176" s="6">
        <v>0</v>
      </c>
      <c r="E176" s="6">
        <v>20771</v>
      </c>
      <c r="F176" s="6">
        <v>4414</v>
      </c>
      <c r="G176" s="6">
        <v>71</v>
      </c>
      <c r="H176" s="6">
        <v>223</v>
      </c>
      <c r="I176" s="6">
        <v>24151</v>
      </c>
      <c r="J176" s="6">
        <v>752905</v>
      </c>
      <c r="K176" s="6">
        <v>6092</v>
      </c>
      <c r="L176" s="6"/>
      <c r="M176" s="6">
        <v>1412</v>
      </c>
      <c r="N176" s="6">
        <v>13731</v>
      </c>
      <c r="O176" s="6">
        <v>12901</v>
      </c>
      <c r="P176" s="6">
        <v>1331</v>
      </c>
      <c r="Q176" s="6">
        <v>27963</v>
      </c>
    </row>
    <row r="177" spans="1:17" x14ac:dyDescent="0.35">
      <c r="A177" s="1">
        <v>38805</v>
      </c>
      <c r="B177" s="6">
        <v>805841</v>
      </c>
      <c r="C177" s="6">
        <v>22881</v>
      </c>
      <c r="D177" s="6">
        <v>0</v>
      </c>
      <c r="E177" s="6">
        <v>17959</v>
      </c>
      <c r="F177" s="6">
        <v>4619</v>
      </c>
      <c r="G177" s="6">
        <v>84</v>
      </c>
      <c r="H177" s="6">
        <v>219</v>
      </c>
      <c r="I177" s="6">
        <v>22419</v>
      </c>
      <c r="J177" s="6">
        <v>753127</v>
      </c>
      <c r="K177" s="6">
        <v>5953</v>
      </c>
      <c r="L177" s="6"/>
      <c r="M177" s="6">
        <v>1460</v>
      </c>
      <c r="N177" s="6">
        <v>13748</v>
      </c>
      <c r="O177" s="6">
        <v>12901</v>
      </c>
      <c r="P177" s="6">
        <v>1186</v>
      </c>
      <c r="Q177" s="6">
        <v>27835</v>
      </c>
    </row>
    <row r="178" spans="1:17" x14ac:dyDescent="0.35">
      <c r="A178" s="1">
        <v>38812</v>
      </c>
      <c r="B178" s="6">
        <v>806406</v>
      </c>
      <c r="C178" s="6">
        <v>20022</v>
      </c>
      <c r="D178" s="6">
        <v>0</v>
      </c>
      <c r="E178" s="6">
        <v>14923</v>
      </c>
      <c r="F178" s="6">
        <v>4663</v>
      </c>
      <c r="G178" s="6">
        <v>84</v>
      </c>
      <c r="H178" s="6">
        <v>352</v>
      </c>
      <c r="I178" s="6">
        <v>23523</v>
      </c>
      <c r="J178" s="6">
        <v>754567</v>
      </c>
      <c r="K178" s="6">
        <v>6859</v>
      </c>
      <c r="L178" s="6"/>
      <c r="M178" s="6">
        <v>1435</v>
      </c>
      <c r="N178" s="6">
        <v>13766</v>
      </c>
      <c r="O178" s="6">
        <v>12901</v>
      </c>
      <c r="P178" s="6">
        <v>1515</v>
      </c>
      <c r="Q178" s="6">
        <v>28183</v>
      </c>
    </row>
    <row r="179" spans="1:17" x14ac:dyDescent="0.35">
      <c r="A179" s="1">
        <v>38819</v>
      </c>
      <c r="B179" s="6">
        <v>808949</v>
      </c>
      <c r="C179" s="6">
        <v>21355</v>
      </c>
      <c r="D179" s="6">
        <v>0</v>
      </c>
      <c r="E179" s="6">
        <v>16646</v>
      </c>
      <c r="F179" s="6">
        <v>4334</v>
      </c>
      <c r="G179" s="6">
        <v>90</v>
      </c>
      <c r="H179" s="6">
        <v>285</v>
      </c>
      <c r="I179" s="6">
        <v>24016</v>
      </c>
      <c r="J179" s="6">
        <v>755634</v>
      </c>
      <c r="K179" s="6">
        <v>6455</v>
      </c>
      <c r="L179" s="6"/>
      <c r="M179" s="6">
        <v>1489</v>
      </c>
      <c r="N179" s="6">
        <v>13771</v>
      </c>
      <c r="O179" s="6">
        <v>12901</v>
      </c>
      <c r="P179" s="6">
        <v>1241</v>
      </c>
      <c r="Q179" s="6">
        <v>27913</v>
      </c>
    </row>
    <row r="180" spans="1:17" x14ac:dyDescent="0.35">
      <c r="A180" s="1">
        <v>38826</v>
      </c>
      <c r="B180" s="6">
        <v>807982</v>
      </c>
      <c r="C180" s="6">
        <v>20194</v>
      </c>
      <c r="D180" s="6">
        <v>0</v>
      </c>
      <c r="E180" s="6">
        <v>14583</v>
      </c>
      <c r="F180" s="6">
        <v>5245</v>
      </c>
      <c r="G180" s="6">
        <v>85</v>
      </c>
      <c r="H180" s="6">
        <v>281</v>
      </c>
      <c r="I180" s="6">
        <v>24729</v>
      </c>
      <c r="J180" s="6">
        <v>755276</v>
      </c>
      <c r="K180" s="6">
        <v>6309</v>
      </c>
      <c r="L180" s="6"/>
      <c r="M180" s="6">
        <v>1475</v>
      </c>
      <c r="N180" s="6">
        <v>13751</v>
      </c>
      <c r="O180" s="6">
        <v>12901</v>
      </c>
      <c r="P180" s="6">
        <v>1717</v>
      </c>
      <c r="Q180" s="6">
        <v>28370</v>
      </c>
    </row>
    <row r="181" spans="1:17" x14ac:dyDescent="0.35">
      <c r="A181" s="1">
        <v>38833</v>
      </c>
      <c r="B181" s="6">
        <v>816034</v>
      </c>
      <c r="C181" s="6">
        <v>30259</v>
      </c>
      <c r="D181" s="6">
        <v>0</v>
      </c>
      <c r="E181" s="6">
        <v>24284</v>
      </c>
      <c r="F181" s="6">
        <v>5610</v>
      </c>
      <c r="G181" s="6">
        <v>85</v>
      </c>
      <c r="H181" s="6">
        <v>280</v>
      </c>
      <c r="I181" s="6">
        <v>22910</v>
      </c>
      <c r="J181" s="6">
        <v>755158</v>
      </c>
      <c r="K181" s="6">
        <v>6194</v>
      </c>
      <c r="L181" s="6"/>
      <c r="M181" s="6">
        <v>1511</v>
      </c>
      <c r="N181" s="6">
        <v>13816</v>
      </c>
      <c r="O181" s="6">
        <v>12901</v>
      </c>
      <c r="P181" s="6">
        <v>1822</v>
      </c>
      <c r="Q181" s="6">
        <v>28538</v>
      </c>
    </row>
    <row r="182" spans="1:17" x14ac:dyDescent="0.35">
      <c r="A182" s="1">
        <v>38840</v>
      </c>
      <c r="B182" s="6">
        <v>815349</v>
      </c>
      <c r="C182" s="6">
        <v>25049</v>
      </c>
      <c r="D182" s="6">
        <v>0</v>
      </c>
      <c r="E182" s="6">
        <v>19408</v>
      </c>
      <c r="F182" s="6">
        <v>5215</v>
      </c>
      <c r="G182" s="6">
        <v>116</v>
      </c>
      <c r="H182" s="6">
        <v>310</v>
      </c>
      <c r="I182" s="6">
        <v>24478</v>
      </c>
      <c r="J182" s="6">
        <v>757215</v>
      </c>
      <c r="K182" s="6">
        <v>7109</v>
      </c>
      <c r="L182" s="6"/>
      <c r="M182" s="6">
        <v>1499</v>
      </c>
      <c r="N182" s="6">
        <v>13825</v>
      </c>
      <c r="O182" s="6">
        <v>12901</v>
      </c>
      <c r="P182" s="6">
        <v>1792</v>
      </c>
      <c r="Q182" s="6">
        <v>28518</v>
      </c>
    </row>
    <row r="183" spans="1:17" x14ac:dyDescent="0.35">
      <c r="A183" s="1">
        <v>38847</v>
      </c>
      <c r="B183" s="6">
        <v>809663</v>
      </c>
      <c r="C183" s="6">
        <v>19297</v>
      </c>
      <c r="D183" s="6">
        <v>0</v>
      </c>
      <c r="E183" s="6">
        <v>13984</v>
      </c>
      <c r="F183" s="6">
        <v>4931</v>
      </c>
      <c r="G183" s="6">
        <v>85</v>
      </c>
      <c r="H183" s="6">
        <v>296</v>
      </c>
      <c r="I183" s="6">
        <v>24535</v>
      </c>
      <c r="J183" s="6">
        <v>758466</v>
      </c>
      <c r="K183" s="6">
        <v>5820</v>
      </c>
      <c r="L183" s="6"/>
      <c r="M183" s="6">
        <v>1545</v>
      </c>
      <c r="N183" s="6">
        <v>13848</v>
      </c>
      <c r="O183" s="6">
        <v>12901</v>
      </c>
      <c r="P183" s="6">
        <v>1992</v>
      </c>
      <c r="Q183" s="6">
        <v>28742</v>
      </c>
    </row>
    <row r="184" spans="1:17" x14ac:dyDescent="0.35">
      <c r="A184" s="1">
        <v>38854</v>
      </c>
      <c r="B184" s="6">
        <v>809844</v>
      </c>
      <c r="C184" s="6">
        <v>21758</v>
      </c>
      <c r="D184" s="6">
        <v>0</v>
      </c>
      <c r="E184" s="6">
        <v>16313</v>
      </c>
      <c r="F184" s="6">
        <v>5055</v>
      </c>
      <c r="G184" s="6">
        <v>85</v>
      </c>
      <c r="H184" s="6">
        <v>304</v>
      </c>
      <c r="I184" s="6">
        <v>22569</v>
      </c>
      <c r="J184" s="6">
        <v>757969</v>
      </c>
      <c r="K184" s="6">
        <v>6024</v>
      </c>
      <c r="L184" s="6"/>
      <c r="M184" s="6">
        <v>1526</v>
      </c>
      <c r="N184" s="6">
        <v>13859</v>
      </c>
      <c r="O184" s="6">
        <v>12901</v>
      </c>
      <c r="P184" s="6">
        <v>1549</v>
      </c>
      <c r="Q184" s="6">
        <v>28309</v>
      </c>
    </row>
    <row r="185" spans="1:17" x14ac:dyDescent="0.35">
      <c r="A185" s="1">
        <v>38861</v>
      </c>
      <c r="B185" s="6">
        <v>811993</v>
      </c>
      <c r="C185" s="6">
        <v>22880</v>
      </c>
      <c r="D185" s="6">
        <v>0</v>
      </c>
      <c r="E185" s="6">
        <v>17354</v>
      </c>
      <c r="F185" s="6">
        <v>5188</v>
      </c>
      <c r="G185" s="6">
        <v>85</v>
      </c>
      <c r="H185" s="6">
        <v>252</v>
      </c>
      <c r="I185" s="6">
        <v>22803</v>
      </c>
      <c r="J185" s="6">
        <v>759280</v>
      </c>
      <c r="K185" s="6">
        <v>5427</v>
      </c>
      <c r="L185" s="6"/>
      <c r="M185" s="6">
        <v>1603</v>
      </c>
      <c r="N185" s="6">
        <v>13866</v>
      </c>
      <c r="O185" s="6">
        <v>12901</v>
      </c>
      <c r="P185" s="6">
        <v>1491</v>
      </c>
      <c r="Q185" s="6">
        <v>28258</v>
      </c>
    </row>
    <row r="186" spans="1:17" x14ac:dyDescent="0.35">
      <c r="A186" s="1">
        <v>38868</v>
      </c>
      <c r="B186" s="6">
        <v>821961</v>
      </c>
      <c r="C186" s="6">
        <v>26360</v>
      </c>
      <c r="D186" s="6">
        <v>0</v>
      </c>
      <c r="E186" s="6">
        <v>23395</v>
      </c>
      <c r="F186" s="6">
        <v>2637</v>
      </c>
      <c r="G186" s="6">
        <v>86</v>
      </c>
      <c r="H186" s="6">
        <v>242</v>
      </c>
      <c r="I186" s="6">
        <v>24603</v>
      </c>
      <c r="J186" s="6">
        <v>762030</v>
      </c>
      <c r="K186" s="6">
        <v>7383</v>
      </c>
      <c r="L186" s="6"/>
      <c r="M186" s="6">
        <v>1585</v>
      </c>
      <c r="N186" s="6">
        <v>14956</v>
      </c>
      <c r="O186" s="6">
        <v>12901</v>
      </c>
      <c r="P186" s="6">
        <v>1762</v>
      </c>
      <c r="Q186" s="6">
        <v>29619</v>
      </c>
    </row>
    <row r="187" spans="1:17" x14ac:dyDescent="0.35">
      <c r="A187" s="1">
        <v>38875</v>
      </c>
      <c r="B187" s="6">
        <v>819590</v>
      </c>
      <c r="C187" s="6">
        <v>28059</v>
      </c>
      <c r="D187" s="6">
        <v>0</v>
      </c>
      <c r="E187" s="6">
        <v>22150</v>
      </c>
      <c r="F187" s="6">
        <v>5552</v>
      </c>
      <c r="G187" s="6">
        <v>87</v>
      </c>
      <c r="H187" s="6">
        <v>270</v>
      </c>
      <c r="I187" s="6">
        <v>23769</v>
      </c>
      <c r="J187" s="6">
        <v>759914</v>
      </c>
      <c r="K187" s="6">
        <v>6202</v>
      </c>
      <c r="L187" s="6"/>
      <c r="M187" s="6">
        <v>1646</v>
      </c>
      <c r="N187" s="6">
        <v>14965</v>
      </c>
      <c r="O187" s="6">
        <v>12901</v>
      </c>
      <c r="P187" s="6">
        <v>1618</v>
      </c>
      <c r="Q187" s="6">
        <v>29484</v>
      </c>
    </row>
    <row r="188" spans="1:17" x14ac:dyDescent="0.35">
      <c r="A188" s="1">
        <v>38882</v>
      </c>
      <c r="B188" s="6">
        <v>816441</v>
      </c>
      <c r="C188" s="6">
        <v>25172</v>
      </c>
      <c r="D188" s="6">
        <v>0</v>
      </c>
      <c r="E188" s="6">
        <v>20378</v>
      </c>
      <c r="F188" s="6">
        <v>4468</v>
      </c>
      <c r="G188" s="6">
        <v>84</v>
      </c>
      <c r="H188" s="6">
        <v>242</v>
      </c>
      <c r="I188" s="6">
        <v>26002</v>
      </c>
      <c r="J188" s="6">
        <v>758103</v>
      </c>
      <c r="K188" s="6">
        <v>5477</v>
      </c>
      <c r="L188" s="6"/>
      <c r="M188" s="6">
        <v>1687</v>
      </c>
      <c r="N188" s="6">
        <v>14965</v>
      </c>
      <c r="O188" s="6">
        <v>12901</v>
      </c>
      <c r="P188" s="6">
        <v>1562</v>
      </c>
      <c r="Q188" s="6">
        <v>29428</v>
      </c>
    </row>
    <row r="189" spans="1:17" x14ac:dyDescent="0.35">
      <c r="A189" s="1">
        <v>38889</v>
      </c>
      <c r="B189" s="6">
        <v>815064</v>
      </c>
      <c r="C189" s="6">
        <v>25360</v>
      </c>
      <c r="D189" s="6">
        <v>0</v>
      </c>
      <c r="E189" s="6">
        <v>19651</v>
      </c>
      <c r="F189" s="6">
        <v>5385</v>
      </c>
      <c r="G189" s="6">
        <v>87</v>
      </c>
      <c r="H189" s="6">
        <v>238</v>
      </c>
      <c r="I189" s="6">
        <v>25677</v>
      </c>
      <c r="J189" s="6">
        <v>756935</v>
      </c>
      <c r="K189" s="6">
        <v>5432</v>
      </c>
      <c r="L189" s="6"/>
      <c r="M189" s="6">
        <v>1658</v>
      </c>
      <c r="N189" s="6">
        <v>14966</v>
      </c>
      <c r="O189" s="6">
        <v>12901</v>
      </c>
      <c r="P189" s="6">
        <v>1843</v>
      </c>
      <c r="Q189" s="6">
        <v>29710</v>
      </c>
    </row>
    <row r="190" spans="1:17" x14ac:dyDescent="0.35">
      <c r="A190" s="1">
        <v>38896</v>
      </c>
      <c r="B190" s="6">
        <v>814974</v>
      </c>
      <c r="C190" s="6">
        <v>19439</v>
      </c>
      <c r="D190" s="6">
        <v>0</v>
      </c>
      <c r="E190" s="6">
        <v>14239</v>
      </c>
      <c r="F190" s="6">
        <v>4879</v>
      </c>
      <c r="G190" s="6">
        <v>90</v>
      </c>
      <c r="H190" s="6">
        <v>231</v>
      </c>
      <c r="I190" s="6">
        <v>30400</v>
      </c>
      <c r="J190" s="6">
        <v>758321</v>
      </c>
      <c r="K190" s="6">
        <v>5097</v>
      </c>
      <c r="L190" s="6"/>
      <c r="M190" s="6">
        <v>1717</v>
      </c>
      <c r="N190" s="6">
        <v>14968</v>
      </c>
      <c r="O190" s="6">
        <v>12901</v>
      </c>
      <c r="P190" s="6">
        <v>1593</v>
      </c>
      <c r="Q190" s="6">
        <v>29462</v>
      </c>
    </row>
    <row r="191" spans="1:17" x14ac:dyDescent="0.35">
      <c r="A191" s="1">
        <v>38903</v>
      </c>
      <c r="B191" s="6">
        <v>821756</v>
      </c>
      <c r="C191" s="6">
        <v>23397</v>
      </c>
      <c r="D191" s="6">
        <v>0</v>
      </c>
      <c r="E191" s="6">
        <v>17521</v>
      </c>
      <c r="F191" s="6">
        <v>5528</v>
      </c>
      <c r="G191" s="6">
        <v>90</v>
      </c>
      <c r="H191" s="6">
        <v>258</v>
      </c>
      <c r="I191" s="6">
        <v>29086</v>
      </c>
      <c r="J191" s="6">
        <v>763532</v>
      </c>
      <c r="K191" s="6">
        <v>4505</v>
      </c>
      <c r="L191" s="6"/>
      <c r="M191" s="6">
        <v>1237</v>
      </c>
      <c r="N191" s="6">
        <v>14975</v>
      </c>
      <c r="O191" s="6">
        <v>12901</v>
      </c>
      <c r="P191" s="6">
        <v>2026</v>
      </c>
      <c r="Q191" s="6">
        <v>29902</v>
      </c>
    </row>
    <row r="192" spans="1:17" x14ac:dyDescent="0.35">
      <c r="A192" s="1">
        <v>38910</v>
      </c>
      <c r="B192" s="6">
        <v>814615</v>
      </c>
      <c r="C192" s="6">
        <v>18658</v>
      </c>
      <c r="D192" s="6">
        <v>0</v>
      </c>
      <c r="E192" s="6">
        <v>13269</v>
      </c>
      <c r="F192" s="6">
        <v>5024</v>
      </c>
      <c r="G192" s="6">
        <v>89</v>
      </c>
      <c r="H192" s="6">
        <v>277</v>
      </c>
      <c r="I192" s="6">
        <v>28538</v>
      </c>
      <c r="J192" s="6">
        <v>760652</v>
      </c>
      <c r="K192" s="6">
        <v>5472</v>
      </c>
      <c r="L192" s="6"/>
      <c r="M192" s="6">
        <v>1294</v>
      </c>
      <c r="N192" s="6">
        <v>14977</v>
      </c>
      <c r="O192" s="6">
        <v>12901</v>
      </c>
      <c r="P192" s="6">
        <v>1898</v>
      </c>
      <c r="Q192" s="6">
        <v>29776</v>
      </c>
    </row>
    <row r="193" spans="1:17" x14ac:dyDescent="0.35">
      <c r="A193" s="1">
        <v>38917</v>
      </c>
      <c r="B193" s="6">
        <v>820342</v>
      </c>
      <c r="C193" s="6">
        <v>26795</v>
      </c>
      <c r="D193" s="6">
        <v>0</v>
      </c>
      <c r="E193" s="6">
        <v>21141</v>
      </c>
      <c r="F193" s="6">
        <v>5272</v>
      </c>
      <c r="G193" s="6">
        <v>88</v>
      </c>
      <c r="H193" s="6">
        <v>294</v>
      </c>
      <c r="I193" s="6">
        <v>29587</v>
      </c>
      <c r="J193" s="6">
        <v>757441</v>
      </c>
      <c r="K193" s="6">
        <v>5254</v>
      </c>
      <c r="L193" s="6"/>
      <c r="M193" s="6">
        <v>1266</v>
      </c>
      <c r="N193" s="6">
        <v>14986</v>
      </c>
      <c r="O193" s="6">
        <v>12901</v>
      </c>
      <c r="P193" s="6">
        <v>1665</v>
      </c>
      <c r="Q193" s="6">
        <v>29552</v>
      </c>
    </row>
    <row r="194" spans="1:17" x14ac:dyDescent="0.35">
      <c r="A194" s="1">
        <v>38924</v>
      </c>
      <c r="B194" s="6">
        <v>811667</v>
      </c>
      <c r="C194" s="6">
        <v>20121</v>
      </c>
      <c r="D194" s="6">
        <v>0</v>
      </c>
      <c r="E194" s="6">
        <v>14874</v>
      </c>
      <c r="F194" s="6">
        <v>4824</v>
      </c>
      <c r="G194" s="6">
        <v>140</v>
      </c>
      <c r="H194" s="6">
        <v>283</v>
      </c>
      <c r="I194" s="6">
        <v>28468</v>
      </c>
      <c r="J194" s="6">
        <v>756639</v>
      </c>
      <c r="K194" s="6">
        <v>5122</v>
      </c>
      <c r="L194" s="6"/>
      <c r="M194" s="6">
        <v>1317</v>
      </c>
      <c r="N194" s="6">
        <v>14993</v>
      </c>
      <c r="O194" s="6">
        <v>12901</v>
      </c>
      <c r="P194" s="6">
        <v>1990</v>
      </c>
      <c r="Q194" s="6">
        <v>29884</v>
      </c>
    </row>
    <row r="195" spans="1:17" x14ac:dyDescent="0.35">
      <c r="A195" s="1">
        <v>38931</v>
      </c>
      <c r="B195" s="6">
        <v>820125</v>
      </c>
      <c r="C195" s="6">
        <v>26912</v>
      </c>
      <c r="D195" s="6">
        <v>0</v>
      </c>
      <c r="E195" s="6">
        <v>20965</v>
      </c>
      <c r="F195" s="6">
        <v>5471</v>
      </c>
      <c r="G195" s="6">
        <v>91</v>
      </c>
      <c r="H195" s="6">
        <v>386</v>
      </c>
      <c r="I195" s="6">
        <v>28798</v>
      </c>
      <c r="J195" s="6">
        <v>757416</v>
      </c>
      <c r="K195" s="6">
        <v>5696</v>
      </c>
      <c r="L195" s="6"/>
      <c r="M195" s="6">
        <v>1302</v>
      </c>
      <c r="N195" s="6">
        <v>14997</v>
      </c>
      <c r="O195" s="6">
        <v>12901</v>
      </c>
      <c r="P195" s="6">
        <v>2240</v>
      </c>
      <c r="Q195" s="6">
        <v>30139</v>
      </c>
    </row>
    <row r="196" spans="1:17" x14ac:dyDescent="0.35">
      <c r="A196" s="1">
        <v>38938</v>
      </c>
      <c r="B196" s="6">
        <v>810011</v>
      </c>
      <c r="C196" s="6">
        <v>17314</v>
      </c>
      <c r="D196" s="6">
        <v>0</v>
      </c>
      <c r="E196" s="6">
        <v>14051</v>
      </c>
      <c r="F196" s="6">
        <v>2907</v>
      </c>
      <c r="G196" s="6">
        <v>88</v>
      </c>
      <c r="H196" s="6">
        <v>268</v>
      </c>
      <c r="I196" s="6">
        <v>27860</v>
      </c>
      <c r="J196" s="6">
        <v>758723</v>
      </c>
      <c r="K196" s="6">
        <v>4743</v>
      </c>
      <c r="L196" s="6"/>
      <c r="M196" s="6">
        <v>1371</v>
      </c>
      <c r="N196" s="6">
        <v>15016</v>
      </c>
      <c r="O196" s="6">
        <v>12901</v>
      </c>
      <c r="P196" s="6">
        <v>2077</v>
      </c>
      <c r="Q196" s="6">
        <v>29995</v>
      </c>
    </row>
    <row r="197" spans="1:17" x14ac:dyDescent="0.35">
      <c r="A197" s="1">
        <v>38945</v>
      </c>
      <c r="B197" s="6">
        <v>812906</v>
      </c>
      <c r="C197" s="6">
        <v>20922</v>
      </c>
      <c r="D197" s="6">
        <v>0</v>
      </c>
      <c r="E197" s="6">
        <v>16113</v>
      </c>
      <c r="F197" s="6">
        <v>4443</v>
      </c>
      <c r="G197" s="6">
        <v>88</v>
      </c>
      <c r="H197" s="6">
        <v>277</v>
      </c>
      <c r="I197" s="6">
        <v>27509</v>
      </c>
      <c r="J197" s="6">
        <v>758327</v>
      </c>
      <c r="K197" s="6">
        <v>4805</v>
      </c>
      <c r="L197" s="6"/>
      <c r="M197" s="6">
        <v>1344</v>
      </c>
      <c r="N197" s="6">
        <v>15030</v>
      </c>
      <c r="O197" s="6">
        <v>12901</v>
      </c>
      <c r="P197" s="6">
        <v>2039</v>
      </c>
      <c r="Q197" s="6">
        <v>29970</v>
      </c>
    </row>
    <row r="198" spans="1:17" x14ac:dyDescent="0.35">
      <c r="A198" s="1">
        <v>38952</v>
      </c>
      <c r="B198" s="6">
        <v>808028</v>
      </c>
      <c r="C198" s="6">
        <v>18725</v>
      </c>
      <c r="D198" s="6">
        <v>0</v>
      </c>
      <c r="E198" s="6">
        <v>13373</v>
      </c>
      <c r="F198" s="6">
        <v>4943</v>
      </c>
      <c r="G198" s="6">
        <v>90</v>
      </c>
      <c r="H198" s="6">
        <v>318</v>
      </c>
      <c r="I198" s="6">
        <v>26553</v>
      </c>
      <c r="J198" s="6">
        <v>756769</v>
      </c>
      <c r="K198" s="6">
        <v>4580</v>
      </c>
      <c r="L198" s="6"/>
      <c r="M198" s="6">
        <v>1402</v>
      </c>
      <c r="N198" s="6">
        <v>15047</v>
      </c>
      <c r="O198" s="6">
        <v>12901</v>
      </c>
      <c r="P198" s="6">
        <v>2011</v>
      </c>
      <c r="Q198" s="6">
        <v>29959</v>
      </c>
    </row>
    <row r="199" spans="1:17" x14ac:dyDescent="0.35">
      <c r="A199" s="1">
        <v>38959</v>
      </c>
      <c r="B199" s="6">
        <v>820832</v>
      </c>
      <c r="C199" s="6">
        <v>28831</v>
      </c>
      <c r="D199" s="6">
        <v>0</v>
      </c>
      <c r="E199" s="6">
        <v>23568</v>
      </c>
      <c r="F199" s="6">
        <v>4919</v>
      </c>
      <c r="G199" s="6">
        <v>89</v>
      </c>
      <c r="H199" s="6">
        <v>255</v>
      </c>
      <c r="I199" s="6">
        <v>26084</v>
      </c>
      <c r="J199" s="6">
        <v>760006</v>
      </c>
      <c r="K199" s="6">
        <v>4462</v>
      </c>
      <c r="L199" s="6"/>
      <c r="M199" s="6">
        <v>1448</v>
      </c>
      <c r="N199" s="6">
        <v>15060</v>
      </c>
      <c r="O199" s="6">
        <v>12901</v>
      </c>
      <c r="P199" s="6">
        <v>2131</v>
      </c>
      <c r="Q199" s="6">
        <v>30092</v>
      </c>
    </row>
    <row r="200" spans="1:17" x14ac:dyDescent="0.35">
      <c r="A200" s="1">
        <v>38966</v>
      </c>
      <c r="B200" s="6">
        <v>818479</v>
      </c>
      <c r="C200" s="6">
        <v>21565</v>
      </c>
      <c r="D200" s="6">
        <v>0</v>
      </c>
      <c r="E200" s="6">
        <v>16811</v>
      </c>
      <c r="F200" s="6">
        <v>4373</v>
      </c>
      <c r="G200" s="6">
        <v>104</v>
      </c>
      <c r="H200" s="6">
        <v>277</v>
      </c>
      <c r="I200" s="6">
        <v>26878</v>
      </c>
      <c r="J200" s="6">
        <v>762197</v>
      </c>
      <c r="K200" s="6">
        <v>6418</v>
      </c>
      <c r="L200" s="6"/>
      <c r="M200" s="6">
        <v>1421</v>
      </c>
      <c r="N200" s="6">
        <v>15064</v>
      </c>
      <c r="O200" s="6">
        <v>12901</v>
      </c>
      <c r="P200" s="6">
        <v>2151</v>
      </c>
      <c r="Q200" s="6">
        <v>30116</v>
      </c>
    </row>
    <row r="201" spans="1:17" x14ac:dyDescent="0.35">
      <c r="A201" s="1">
        <v>38973</v>
      </c>
      <c r="B201" s="6">
        <v>810803</v>
      </c>
      <c r="C201" s="6">
        <v>19162</v>
      </c>
      <c r="D201" s="6">
        <v>0</v>
      </c>
      <c r="E201" s="6">
        <v>14112</v>
      </c>
      <c r="F201" s="6">
        <v>4690</v>
      </c>
      <c r="G201" s="6">
        <v>93</v>
      </c>
      <c r="H201" s="6">
        <v>266</v>
      </c>
      <c r="I201" s="6">
        <v>26923</v>
      </c>
      <c r="J201" s="6">
        <v>758542</v>
      </c>
      <c r="K201" s="6">
        <v>4705</v>
      </c>
      <c r="L201" s="6"/>
      <c r="M201" s="6">
        <v>1472</v>
      </c>
      <c r="N201" s="6">
        <v>15068</v>
      </c>
      <c r="O201" s="6">
        <v>12901</v>
      </c>
      <c r="P201" s="6">
        <v>2114</v>
      </c>
      <c r="Q201" s="6">
        <v>30083</v>
      </c>
    </row>
    <row r="202" spans="1:17" x14ac:dyDescent="0.35">
      <c r="A202" s="1">
        <v>38980</v>
      </c>
      <c r="B202" s="6">
        <v>807971</v>
      </c>
      <c r="C202" s="6">
        <v>17655</v>
      </c>
      <c r="D202" s="6">
        <v>0</v>
      </c>
      <c r="E202" s="6">
        <v>12077</v>
      </c>
      <c r="F202" s="6">
        <v>5216</v>
      </c>
      <c r="G202" s="6">
        <v>85</v>
      </c>
      <c r="H202" s="6">
        <v>276</v>
      </c>
      <c r="I202" s="6">
        <v>28499</v>
      </c>
      <c r="J202" s="6">
        <v>755670</v>
      </c>
      <c r="K202" s="6">
        <v>4701</v>
      </c>
      <c r="L202" s="6"/>
      <c r="M202" s="6">
        <v>1446</v>
      </c>
      <c r="N202" s="6">
        <v>15057</v>
      </c>
      <c r="O202" s="6">
        <v>12901</v>
      </c>
      <c r="P202" s="6">
        <v>2262</v>
      </c>
      <c r="Q202" s="6">
        <v>30220</v>
      </c>
    </row>
    <row r="203" spans="1:17" x14ac:dyDescent="0.35">
      <c r="A203" s="1">
        <v>38987</v>
      </c>
      <c r="B203" s="6">
        <v>819789</v>
      </c>
      <c r="C203" s="6">
        <v>27063</v>
      </c>
      <c r="D203" s="6">
        <v>0</v>
      </c>
      <c r="E203" s="6">
        <v>22151</v>
      </c>
      <c r="F203" s="6">
        <v>4585</v>
      </c>
      <c r="G203" s="6">
        <v>91</v>
      </c>
      <c r="H203" s="6">
        <v>236</v>
      </c>
      <c r="I203" s="6">
        <v>31466</v>
      </c>
      <c r="J203" s="6">
        <v>755142</v>
      </c>
      <c r="K203" s="6">
        <v>4607</v>
      </c>
      <c r="L203" s="6"/>
      <c r="M203" s="6">
        <v>1511</v>
      </c>
      <c r="N203" s="6">
        <v>15067</v>
      </c>
      <c r="O203" s="6">
        <v>12901</v>
      </c>
      <c r="P203" s="6">
        <v>2214</v>
      </c>
      <c r="Q203" s="6">
        <v>30182</v>
      </c>
    </row>
    <row r="204" spans="1:17" x14ac:dyDescent="0.35">
      <c r="A204" s="1">
        <v>38994</v>
      </c>
      <c r="B204" s="6">
        <v>812076</v>
      </c>
      <c r="C204" s="6">
        <v>19523</v>
      </c>
      <c r="D204" s="6">
        <v>0</v>
      </c>
      <c r="E204" s="6">
        <v>12875</v>
      </c>
      <c r="F204" s="6">
        <v>6222</v>
      </c>
      <c r="G204" s="6">
        <v>92</v>
      </c>
      <c r="H204" s="6">
        <v>334</v>
      </c>
      <c r="I204" s="6">
        <v>29212</v>
      </c>
      <c r="J204" s="6">
        <v>757093</v>
      </c>
      <c r="K204" s="6">
        <v>4851</v>
      </c>
      <c r="L204" s="6"/>
      <c r="M204" s="6">
        <v>1397</v>
      </c>
      <c r="N204" s="6">
        <v>15077</v>
      </c>
      <c r="O204" s="6">
        <v>12901</v>
      </c>
      <c r="P204" s="6">
        <v>2242</v>
      </c>
      <c r="Q204" s="6">
        <v>30220</v>
      </c>
    </row>
    <row r="205" spans="1:17" x14ac:dyDescent="0.35">
      <c r="A205" s="1">
        <v>39001</v>
      </c>
      <c r="B205" s="6">
        <v>829219</v>
      </c>
      <c r="C205" s="6">
        <v>30890</v>
      </c>
      <c r="D205" s="6">
        <v>0</v>
      </c>
      <c r="E205" s="6">
        <v>26408</v>
      </c>
      <c r="F205" s="6">
        <v>4103</v>
      </c>
      <c r="G205" s="6">
        <v>90</v>
      </c>
      <c r="H205" s="6">
        <v>288</v>
      </c>
      <c r="I205" s="6">
        <v>30614</v>
      </c>
      <c r="J205" s="6">
        <v>759361</v>
      </c>
      <c r="K205" s="6">
        <v>6823</v>
      </c>
      <c r="L205" s="6"/>
      <c r="M205" s="6">
        <v>1532</v>
      </c>
      <c r="N205" s="6">
        <v>15077</v>
      </c>
      <c r="O205" s="6">
        <v>12901</v>
      </c>
      <c r="P205" s="6">
        <v>2142</v>
      </c>
      <c r="Q205" s="6">
        <v>30120</v>
      </c>
    </row>
    <row r="206" spans="1:17" x14ac:dyDescent="0.35">
      <c r="A206" s="1">
        <v>39008</v>
      </c>
      <c r="B206" s="6">
        <v>813821</v>
      </c>
      <c r="C206" s="6">
        <v>15996</v>
      </c>
      <c r="D206" s="6">
        <v>0</v>
      </c>
      <c r="E206" s="6">
        <v>10079</v>
      </c>
      <c r="F206" s="6">
        <v>5540</v>
      </c>
      <c r="G206" s="6">
        <v>91</v>
      </c>
      <c r="H206" s="6">
        <v>287</v>
      </c>
      <c r="I206" s="6">
        <v>32895</v>
      </c>
      <c r="J206" s="6">
        <v>758745</v>
      </c>
      <c r="K206" s="6">
        <v>4671</v>
      </c>
      <c r="L206" s="6"/>
      <c r="M206" s="6">
        <v>1515</v>
      </c>
      <c r="N206" s="6">
        <v>15096</v>
      </c>
      <c r="O206" s="6">
        <v>12901</v>
      </c>
      <c r="P206" s="6">
        <v>2382</v>
      </c>
      <c r="Q206" s="6">
        <v>30379</v>
      </c>
    </row>
    <row r="207" spans="1:17" x14ac:dyDescent="0.35">
      <c r="A207" s="1">
        <v>39015</v>
      </c>
      <c r="B207" s="6">
        <v>822149</v>
      </c>
      <c r="C207" s="6">
        <v>26736</v>
      </c>
      <c r="D207" s="6">
        <v>0</v>
      </c>
      <c r="E207" s="6">
        <v>21006</v>
      </c>
      <c r="F207" s="6">
        <v>5346</v>
      </c>
      <c r="G207" s="6">
        <v>90</v>
      </c>
      <c r="H207" s="6">
        <v>293</v>
      </c>
      <c r="I207" s="6">
        <v>31151</v>
      </c>
      <c r="J207" s="6">
        <v>758469</v>
      </c>
      <c r="K207" s="6">
        <v>4235</v>
      </c>
      <c r="L207" s="6"/>
      <c r="M207" s="6">
        <v>1558</v>
      </c>
      <c r="N207" s="6">
        <v>15099</v>
      </c>
      <c r="O207" s="6">
        <v>12901</v>
      </c>
      <c r="P207" s="6">
        <v>2499</v>
      </c>
      <c r="Q207" s="6">
        <v>30500</v>
      </c>
    </row>
    <row r="208" spans="1:17" x14ac:dyDescent="0.35">
      <c r="A208" s="1">
        <v>39022</v>
      </c>
      <c r="B208" s="6">
        <v>824836</v>
      </c>
      <c r="C208" s="6">
        <v>27192</v>
      </c>
      <c r="D208" s="6">
        <v>0</v>
      </c>
      <c r="E208" s="6">
        <v>21771</v>
      </c>
      <c r="F208" s="6">
        <v>5007</v>
      </c>
      <c r="G208" s="6">
        <v>91</v>
      </c>
      <c r="H208" s="6">
        <v>323</v>
      </c>
      <c r="I208" s="6">
        <v>31186</v>
      </c>
      <c r="J208" s="6">
        <v>760089</v>
      </c>
      <c r="K208" s="6">
        <v>4820</v>
      </c>
      <c r="L208" s="6"/>
      <c r="M208" s="6">
        <v>1549</v>
      </c>
      <c r="N208" s="6">
        <v>15113</v>
      </c>
      <c r="O208" s="6">
        <v>12901</v>
      </c>
      <c r="P208" s="6">
        <v>2686</v>
      </c>
      <c r="Q208" s="6">
        <v>30700</v>
      </c>
    </row>
    <row r="209" spans="1:17" x14ac:dyDescent="0.35">
      <c r="A209" s="1">
        <v>39029</v>
      </c>
      <c r="B209" s="6">
        <v>828027</v>
      </c>
      <c r="C209" s="6">
        <v>27306</v>
      </c>
      <c r="D209" s="6">
        <v>0</v>
      </c>
      <c r="E209" s="6">
        <v>22252</v>
      </c>
      <c r="F209" s="6">
        <v>4624</v>
      </c>
      <c r="G209" s="6">
        <v>155</v>
      </c>
      <c r="H209" s="6">
        <v>275</v>
      </c>
      <c r="I209" s="6">
        <v>31487</v>
      </c>
      <c r="J209" s="6">
        <v>763183</v>
      </c>
      <c r="K209" s="6">
        <v>4450</v>
      </c>
      <c r="L209" s="6"/>
      <c r="M209" s="6">
        <v>1601</v>
      </c>
      <c r="N209" s="6">
        <v>15296</v>
      </c>
      <c r="O209" s="6">
        <v>12901</v>
      </c>
      <c r="P209" s="6">
        <v>2406</v>
      </c>
      <c r="Q209" s="6">
        <v>30603</v>
      </c>
    </row>
    <row r="210" spans="1:17" x14ac:dyDescent="0.35">
      <c r="A210" s="1">
        <v>39036</v>
      </c>
      <c r="B210" s="6">
        <v>826873</v>
      </c>
      <c r="C210" s="6">
        <v>22869</v>
      </c>
      <c r="D210" s="6">
        <v>0</v>
      </c>
      <c r="E210" s="6">
        <v>17664</v>
      </c>
      <c r="F210" s="6">
        <v>4820</v>
      </c>
      <c r="G210" s="6">
        <v>92</v>
      </c>
      <c r="H210" s="6">
        <v>294</v>
      </c>
      <c r="I210" s="6">
        <v>32764</v>
      </c>
      <c r="J210" s="6">
        <v>764955</v>
      </c>
      <c r="K210" s="6">
        <v>4358</v>
      </c>
      <c r="L210" s="6"/>
      <c r="M210" s="6">
        <v>1927</v>
      </c>
      <c r="N210" s="6">
        <v>15289</v>
      </c>
      <c r="O210" s="6">
        <v>10554</v>
      </c>
      <c r="P210" s="6">
        <v>2835</v>
      </c>
      <c r="Q210" s="6">
        <v>28678</v>
      </c>
    </row>
    <row r="211" spans="1:17" x14ac:dyDescent="0.35">
      <c r="A211" s="1">
        <v>39043</v>
      </c>
      <c r="B211" s="6">
        <v>835662</v>
      </c>
      <c r="C211" s="6">
        <v>29228</v>
      </c>
      <c r="D211" s="6">
        <v>0</v>
      </c>
      <c r="E211" s="6">
        <v>24727</v>
      </c>
      <c r="F211" s="6">
        <v>4128</v>
      </c>
      <c r="G211" s="6">
        <v>92</v>
      </c>
      <c r="H211" s="6">
        <v>280</v>
      </c>
      <c r="I211" s="6">
        <v>29335</v>
      </c>
      <c r="J211" s="6">
        <v>770633</v>
      </c>
      <c r="K211" s="6">
        <v>4501</v>
      </c>
      <c r="L211" s="6"/>
      <c r="M211" s="6">
        <v>1965</v>
      </c>
      <c r="N211" s="6">
        <v>15295</v>
      </c>
      <c r="O211" s="6">
        <v>10554</v>
      </c>
      <c r="P211" s="6">
        <v>3616</v>
      </c>
      <c r="Q211" s="6">
        <v>29465</v>
      </c>
    </row>
    <row r="212" spans="1:17" x14ac:dyDescent="0.35">
      <c r="A212" s="1">
        <v>39050</v>
      </c>
      <c r="B212" s="6">
        <v>826909</v>
      </c>
      <c r="C212" s="6">
        <v>19242</v>
      </c>
      <c r="D212" s="6">
        <v>0</v>
      </c>
      <c r="E212" s="6">
        <v>14028</v>
      </c>
      <c r="F212" s="6">
        <v>4807</v>
      </c>
      <c r="G212" s="6">
        <v>92</v>
      </c>
      <c r="H212" s="6">
        <v>316</v>
      </c>
      <c r="I212" s="6">
        <v>30723</v>
      </c>
      <c r="J212" s="6">
        <v>771067</v>
      </c>
      <c r="K212" s="6">
        <v>3873</v>
      </c>
      <c r="L212" s="6"/>
      <c r="M212" s="6">
        <v>2003</v>
      </c>
      <c r="N212" s="6">
        <v>15305</v>
      </c>
      <c r="O212" s="6">
        <v>10554</v>
      </c>
      <c r="P212" s="6">
        <v>3904</v>
      </c>
      <c r="Q212" s="6">
        <v>29762</v>
      </c>
    </row>
    <row r="213" spans="1:17" x14ac:dyDescent="0.35">
      <c r="A213" s="1">
        <v>39057</v>
      </c>
      <c r="B213" s="6">
        <v>831992</v>
      </c>
      <c r="C213" s="6">
        <v>26459</v>
      </c>
      <c r="D213" s="6">
        <v>0</v>
      </c>
      <c r="E213" s="6">
        <v>21575</v>
      </c>
      <c r="F213" s="6">
        <v>4523</v>
      </c>
      <c r="G213" s="6">
        <v>94</v>
      </c>
      <c r="H213" s="6">
        <v>267</v>
      </c>
      <c r="I213" s="6">
        <v>29039</v>
      </c>
      <c r="J213" s="6">
        <v>769657</v>
      </c>
      <c r="K213" s="6">
        <v>4832</v>
      </c>
      <c r="L213" s="6"/>
      <c r="M213" s="6">
        <v>2006</v>
      </c>
      <c r="N213" s="6">
        <v>15308</v>
      </c>
      <c r="O213" s="6">
        <v>10554</v>
      </c>
      <c r="P213" s="6">
        <v>4323</v>
      </c>
      <c r="Q213" s="6">
        <v>30185</v>
      </c>
    </row>
    <row r="214" spans="1:17" x14ac:dyDescent="0.35">
      <c r="A214" s="1">
        <v>39064</v>
      </c>
      <c r="B214" s="6">
        <v>823744</v>
      </c>
      <c r="C214" s="6">
        <v>17209</v>
      </c>
      <c r="D214" s="6">
        <v>0</v>
      </c>
      <c r="E214" s="6">
        <v>12358</v>
      </c>
      <c r="F214" s="6">
        <v>4500</v>
      </c>
      <c r="G214" s="6">
        <v>91</v>
      </c>
      <c r="H214" s="6">
        <v>260</v>
      </c>
      <c r="I214" s="6">
        <v>28302</v>
      </c>
      <c r="J214" s="6">
        <v>771295</v>
      </c>
      <c r="K214" s="6">
        <v>4879</v>
      </c>
      <c r="L214" s="6"/>
      <c r="M214" s="6">
        <v>2058</v>
      </c>
      <c r="N214" s="6">
        <v>15314</v>
      </c>
      <c r="O214" s="6">
        <v>10554</v>
      </c>
      <c r="P214" s="6">
        <v>4240</v>
      </c>
      <c r="Q214" s="6">
        <v>30108</v>
      </c>
    </row>
    <row r="215" spans="1:17" x14ac:dyDescent="0.35">
      <c r="A215" s="1">
        <v>39071</v>
      </c>
      <c r="B215" s="6">
        <v>834565</v>
      </c>
      <c r="C215" s="6">
        <v>22272</v>
      </c>
      <c r="D215" s="6">
        <v>0</v>
      </c>
      <c r="E215" s="6">
        <v>16489</v>
      </c>
      <c r="F215" s="6">
        <v>5436</v>
      </c>
      <c r="G215" s="6">
        <v>89</v>
      </c>
      <c r="H215" s="6">
        <v>258</v>
      </c>
      <c r="I215" s="6">
        <v>29903</v>
      </c>
      <c r="J215" s="6">
        <v>775909</v>
      </c>
      <c r="K215" s="6">
        <v>4467</v>
      </c>
      <c r="L215" s="6"/>
      <c r="M215" s="6">
        <v>2014</v>
      </c>
      <c r="N215" s="6">
        <v>15326</v>
      </c>
      <c r="O215" s="6">
        <v>10554</v>
      </c>
      <c r="P215" s="6">
        <v>4565</v>
      </c>
      <c r="Q215" s="6">
        <v>30445</v>
      </c>
    </row>
    <row r="216" spans="1:17" x14ac:dyDescent="0.35">
      <c r="A216" s="1">
        <v>39078</v>
      </c>
      <c r="B216" s="6">
        <v>839257</v>
      </c>
      <c r="C216" s="6">
        <v>17591</v>
      </c>
      <c r="D216" s="6">
        <v>0</v>
      </c>
      <c r="E216" s="6">
        <v>12772</v>
      </c>
      <c r="F216" s="6">
        <v>4470</v>
      </c>
      <c r="G216" s="6">
        <v>92</v>
      </c>
      <c r="H216" s="6">
        <v>258</v>
      </c>
      <c r="I216" s="6">
        <v>32126</v>
      </c>
      <c r="J216" s="6">
        <v>782733</v>
      </c>
      <c r="K216" s="6">
        <v>4727</v>
      </c>
      <c r="L216" s="6"/>
      <c r="M216" s="6">
        <v>2081</v>
      </c>
      <c r="N216" s="6">
        <v>15328</v>
      </c>
      <c r="O216" s="6">
        <v>10554</v>
      </c>
      <c r="P216" s="6">
        <v>4848</v>
      </c>
      <c r="Q216" s="6">
        <v>30731</v>
      </c>
    </row>
    <row r="217" spans="1:17" x14ac:dyDescent="0.35">
      <c r="A217" s="1">
        <v>39085</v>
      </c>
      <c r="B217" s="6">
        <v>844022</v>
      </c>
      <c r="C217" s="6">
        <v>26529</v>
      </c>
      <c r="D217" s="6">
        <v>0</v>
      </c>
      <c r="E217" s="6">
        <v>20044</v>
      </c>
      <c r="F217" s="6">
        <v>6156</v>
      </c>
      <c r="G217" s="6">
        <v>90</v>
      </c>
      <c r="H217" s="6">
        <v>239</v>
      </c>
      <c r="I217" s="6">
        <v>29742</v>
      </c>
      <c r="J217" s="6">
        <v>781347</v>
      </c>
      <c r="K217" s="6">
        <v>4840</v>
      </c>
      <c r="L217" s="6"/>
      <c r="M217" s="6">
        <v>1564</v>
      </c>
      <c r="N217" s="6">
        <v>15328</v>
      </c>
      <c r="O217" s="6">
        <v>15029</v>
      </c>
      <c r="P217" s="6">
        <v>248</v>
      </c>
      <c r="Q217" s="6">
        <v>30604</v>
      </c>
    </row>
    <row r="218" spans="1:17" x14ac:dyDescent="0.35">
      <c r="A218" s="1">
        <v>39092</v>
      </c>
      <c r="B218" s="6">
        <v>823991</v>
      </c>
      <c r="C218" s="6">
        <v>15426</v>
      </c>
      <c r="D218" s="6">
        <v>0</v>
      </c>
      <c r="E218" s="6">
        <v>10107</v>
      </c>
      <c r="F218" s="6">
        <v>4999</v>
      </c>
      <c r="G218" s="6">
        <v>91</v>
      </c>
      <c r="H218" s="6">
        <v>230</v>
      </c>
      <c r="I218" s="6">
        <v>28921</v>
      </c>
      <c r="J218" s="6">
        <v>772946</v>
      </c>
      <c r="K218" s="6">
        <v>5050</v>
      </c>
      <c r="L218" s="6"/>
      <c r="M218" s="6">
        <v>1647</v>
      </c>
      <c r="N218" s="6">
        <v>15331</v>
      </c>
      <c r="O218" s="6">
        <v>15031</v>
      </c>
      <c r="P218" s="6">
        <v>466</v>
      </c>
      <c r="Q218" s="6">
        <v>30828</v>
      </c>
    </row>
    <row r="219" spans="1:17" x14ac:dyDescent="0.35">
      <c r="A219" s="1">
        <v>39099</v>
      </c>
      <c r="B219" s="6">
        <v>828390</v>
      </c>
      <c r="C219" s="6">
        <v>19642</v>
      </c>
      <c r="D219" s="6">
        <v>0</v>
      </c>
      <c r="E219" s="6">
        <v>13713</v>
      </c>
      <c r="F219" s="6">
        <v>5533</v>
      </c>
      <c r="G219" s="6">
        <v>90</v>
      </c>
      <c r="H219" s="6">
        <v>307</v>
      </c>
      <c r="I219" s="6">
        <v>31055</v>
      </c>
      <c r="J219" s="6">
        <v>769658</v>
      </c>
      <c r="K219" s="6">
        <v>6388</v>
      </c>
      <c r="L219" s="6"/>
      <c r="M219" s="6">
        <v>1647</v>
      </c>
      <c r="N219" s="6">
        <v>15332</v>
      </c>
      <c r="O219" s="6">
        <v>15066</v>
      </c>
      <c r="P219" s="6">
        <v>575</v>
      </c>
      <c r="Q219" s="6">
        <v>30973</v>
      </c>
    </row>
    <row r="220" spans="1:17" x14ac:dyDescent="0.35">
      <c r="A220" s="1">
        <v>39106</v>
      </c>
      <c r="B220" s="6">
        <v>820203</v>
      </c>
      <c r="C220" s="6">
        <v>19013</v>
      </c>
      <c r="D220" s="6">
        <v>0</v>
      </c>
      <c r="E220" s="6">
        <v>13208</v>
      </c>
      <c r="F220" s="6">
        <v>5412</v>
      </c>
      <c r="G220" s="6">
        <v>90</v>
      </c>
      <c r="H220" s="6">
        <v>303</v>
      </c>
      <c r="I220" s="6">
        <v>29419</v>
      </c>
      <c r="J220" s="6">
        <v>765838</v>
      </c>
      <c r="K220" s="6">
        <v>4211</v>
      </c>
      <c r="L220" s="6"/>
      <c r="M220" s="6">
        <v>1722</v>
      </c>
      <c r="N220" s="6">
        <v>15332</v>
      </c>
      <c r="O220" s="6">
        <v>15092</v>
      </c>
      <c r="P220" s="6">
        <v>1128</v>
      </c>
      <c r="Q220" s="6">
        <v>31552</v>
      </c>
    </row>
    <row r="221" spans="1:17" x14ac:dyDescent="0.35">
      <c r="A221" s="1">
        <v>39113</v>
      </c>
      <c r="B221" s="6">
        <v>834571</v>
      </c>
      <c r="C221" s="6">
        <v>30657</v>
      </c>
      <c r="D221" s="6">
        <v>0</v>
      </c>
      <c r="E221" s="6">
        <v>24228</v>
      </c>
      <c r="F221" s="6">
        <v>6053</v>
      </c>
      <c r="G221" s="6">
        <v>90</v>
      </c>
      <c r="H221" s="6">
        <v>285</v>
      </c>
      <c r="I221" s="6">
        <v>32379</v>
      </c>
      <c r="J221" s="6">
        <v>765586</v>
      </c>
      <c r="K221" s="6">
        <v>4211</v>
      </c>
      <c r="L221" s="6"/>
      <c r="M221" s="6">
        <v>1739</v>
      </c>
      <c r="N221" s="6">
        <v>15358</v>
      </c>
      <c r="O221" s="6">
        <v>15127</v>
      </c>
      <c r="P221" s="6">
        <v>674</v>
      </c>
      <c r="Q221" s="6">
        <v>31159</v>
      </c>
    </row>
    <row r="222" spans="1:17" x14ac:dyDescent="0.35">
      <c r="A222" s="1">
        <v>39120</v>
      </c>
      <c r="B222" s="6">
        <v>823875</v>
      </c>
      <c r="C222" s="6">
        <v>16144</v>
      </c>
      <c r="D222" s="6">
        <v>0</v>
      </c>
      <c r="E222" s="6">
        <v>10492</v>
      </c>
      <c r="F222" s="6">
        <v>5255</v>
      </c>
      <c r="G222" s="6">
        <v>90</v>
      </c>
      <c r="H222" s="6">
        <v>306</v>
      </c>
      <c r="I222" s="6">
        <v>33630</v>
      </c>
      <c r="J222" s="6">
        <v>767917</v>
      </c>
      <c r="K222" s="6">
        <v>4376</v>
      </c>
      <c r="L222" s="6"/>
      <c r="M222" s="6">
        <v>1808</v>
      </c>
      <c r="N222" s="6">
        <v>15361</v>
      </c>
      <c r="O222" s="6">
        <v>15156</v>
      </c>
      <c r="P222" s="6">
        <v>665</v>
      </c>
      <c r="Q222" s="6">
        <v>31182</v>
      </c>
    </row>
    <row r="223" spans="1:17" x14ac:dyDescent="0.35">
      <c r="A223" s="1">
        <v>39127</v>
      </c>
      <c r="B223" s="6">
        <v>835881</v>
      </c>
      <c r="C223" s="6">
        <v>22640</v>
      </c>
      <c r="D223" s="6">
        <v>0</v>
      </c>
      <c r="E223" s="6">
        <v>17189</v>
      </c>
      <c r="F223" s="6">
        <v>5102</v>
      </c>
      <c r="G223" s="6">
        <v>90</v>
      </c>
      <c r="H223" s="6">
        <v>259</v>
      </c>
      <c r="I223" s="6">
        <v>37336</v>
      </c>
      <c r="J223" s="6">
        <v>769955</v>
      </c>
      <c r="K223" s="6">
        <v>4117</v>
      </c>
      <c r="L223" s="6"/>
      <c r="M223" s="6">
        <v>1833</v>
      </c>
      <c r="N223" s="6">
        <v>15351</v>
      </c>
      <c r="O223" s="6">
        <v>15197</v>
      </c>
      <c r="P223" s="6">
        <v>770</v>
      </c>
      <c r="Q223" s="6">
        <v>31319</v>
      </c>
    </row>
    <row r="224" spans="1:17" x14ac:dyDescent="0.35">
      <c r="A224" s="1">
        <v>39134</v>
      </c>
      <c r="B224" s="6">
        <v>837488</v>
      </c>
      <c r="C224" s="6">
        <v>20374</v>
      </c>
      <c r="D224" s="6">
        <v>0</v>
      </c>
      <c r="E224" s="6">
        <v>14722</v>
      </c>
      <c r="F224" s="6">
        <v>5304</v>
      </c>
      <c r="G224" s="6">
        <v>91</v>
      </c>
      <c r="H224" s="6">
        <v>257</v>
      </c>
      <c r="I224" s="6">
        <v>38144</v>
      </c>
      <c r="J224" s="6">
        <v>771238</v>
      </c>
      <c r="K224" s="6">
        <v>5910</v>
      </c>
      <c r="L224" s="6"/>
      <c r="M224" s="6">
        <v>1823</v>
      </c>
      <c r="N224" s="6">
        <v>15859</v>
      </c>
      <c r="O224" s="6">
        <v>15224</v>
      </c>
      <c r="P224" s="6">
        <v>664</v>
      </c>
      <c r="Q224" s="6">
        <v>31747</v>
      </c>
    </row>
    <row r="225" spans="1:17" x14ac:dyDescent="0.35">
      <c r="A225" s="1">
        <v>39141</v>
      </c>
      <c r="B225" s="6">
        <v>844960</v>
      </c>
      <c r="C225" s="6">
        <v>28464</v>
      </c>
      <c r="D225" s="6">
        <v>0</v>
      </c>
      <c r="E225" s="6">
        <v>22906</v>
      </c>
      <c r="F225" s="6">
        <v>5194</v>
      </c>
      <c r="G225" s="6">
        <v>91</v>
      </c>
      <c r="H225" s="6">
        <v>274</v>
      </c>
      <c r="I225" s="6">
        <v>39645</v>
      </c>
      <c r="J225" s="6">
        <v>770958</v>
      </c>
      <c r="K225" s="6">
        <v>4053</v>
      </c>
      <c r="L225" s="6"/>
      <c r="M225" s="6">
        <v>1840</v>
      </c>
      <c r="N225" s="6">
        <v>15953</v>
      </c>
      <c r="O225" s="6">
        <v>15282</v>
      </c>
      <c r="P225" s="6">
        <v>1214</v>
      </c>
      <c r="Q225" s="6">
        <v>32450</v>
      </c>
    </row>
    <row r="226" spans="1:17" x14ac:dyDescent="0.35">
      <c r="A226" s="1">
        <v>39148</v>
      </c>
      <c r="B226" s="6">
        <v>831999</v>
      </c>
      <c r="C226" s="6">
        <v>16805</v>
      </c>
      <c r="D226" s="6">
        <v>0</v>
      </c>
      <c r="E226" s="6">
        <v>12010</v>
      </c>
      <c r="F226" s="6">
        <v>4449</v>
      </c>
      <c r="G226" s="6">
        <v>96</v>
      </c>
      <c r="H226" s="6">
        <v>250</v>
      </c>
      <c r="I226" s="6">
        <v>37788</v>
      </c>
      <c r="J226" s="6">
        <v>770855</v>
      </c>
      <c r="K226" s="6">
        <v>4622</v>
      </c>
      <c r="L226" s="6"/>
      <c r="M226" s="6">
        <v>1930</v>
      </c>
      <c r="N226" s="6">
        <v>15960</v>
      </c>
      <c r="O226" s="6">
        <v>15316</v>
      </c>
      <c r="P226" s="6">
        <v>1230</v>
      </c>
      <c r="Q226" s="6">
        <v>32506</v>
      </c>
    </row>
    <row r="227" spans="1:17" x14ac:dyDescent="0.35">
      <c r="A227" s="1">
        <v>39155</v>
      </c>
      <c r="B227" s="6">
        <v>843542</v>
      </c>
      <c r="C227" s="6">
        <v>27188</v>
      </c>
      <c r="D227" s="6">
        <v>0</v>
      </c>
      <c r="E227" s="6">
        <v>21746</v>
      </c>
      <c r="F227" s="6">
        <v>5113</v>
      </c>
      <c r="G227" s="6">
        <v>90</v>
      </c>
      <c r="H227" s="6">
        <v>240</v>
      </c>
      <c r="I227" s="6">
        <v>39727</v>
      </c>
      <c r="J227" s="6">
        <v>770745</v>
      </c>
      <c r="K227" s="6">
        <v>3956</v>
      </c>
      <c r="L227" s="6"/>
      <c r="M227" s="6">
        <v>1926</v>
      </c>
      <c r="N227" s="6">
        <v>15823</v>
      </c>
      <c r="O227" s="6">
        <v>15339</v>
      </c>
      <c r="P227" s="6">
        <v>1404</v>
      </c>
      <c r="Q227" s="6">
        <v>32566</v>
      </c>
    </row>
    <row r="228" spans="1:17" x14ac:dyDescent="0.35">
      <c r="A228" s="1">
        <v>39162</v>
      </c>
      <c r="B228" s="6">
        <v>830609</v>
      </c>
      <c r="C228" s="6">
        <v>16321</v>
      </c>
      <c r="D228" s="6">
        <v>0</v>
      </c>
      <c r="E228" s="6">
        <v>11290</v>
      </c>
      <c r="F228" s="6">
        <v>4721</v>
      </c>
      <c r="G228" s="6">
        <v>90</v>
      </c>
      <c r="H228" s="6">
        <v>220</v>
      </c>
      <c r="I228" s="6">
        <v>38497</v>
      </c>
      <c r="J228" s="6">
        <v>770052</v>
      </c>
      <c r="K228" s="6">
        <v>3813</v>
      </c>
      <c r="L228" s="6"/>
      <c r="M228" s="6">
        <v>1926</v>
      </c>
      <c r="N228" s="6">
        <v>15857</v>
      </c>
      <c r="O228" s="6">
        <v>15339</v>
      </c>
      <c r="P228" s="6">
        <v>1262</v>
      </c>
      <c r="Q228" s="6">
        <v>32458</v>
      </c>
    </row>
    <row r="229" spans="1:17" x14ac:dyDescent="0.35">
      <c r="A229" s="1">
        <v>39169</v>
      </c>
      <c r="B229" s="6">
        <v>837188</v>
      </c>
      <c r="C229" s="6">
        <v>23524</v>
      </c>
      <c r="D229" s="6">
        <v>0</v>
      </c>
      <c r="E229" s="6">
        <v>18429</v>
      </c>
      <c r="F229" s="6">
        <v>4772</v>
      </c>
      <c r="G229" s="6">
        <v>91</v>
      </c>
      <c r="H229" s="6">
        <v>231</v>
      </c>
      <c r="I229" s="6">
        <v>37643</v>
      </c>
      <c r="J229" s="6">
        <v>770238</v>
      </c>
      <c r="K229" s="6">
        <v>3808</v>
      </c>
      <c r="L229" s="6"/>
      <c r="M229" s="6">
        <v>1974</v>
      </c>
      <c r="N229" s="6">
        <v>15841</v>
      </c>
      <c r="O229" s="6">
        <v>15361</v>
      </c>
      <c r="P229" s="6">
        <v>1414</v>
      </c>
      <c r="Q229" s="6">
        <v>32615</v>
      </c>
    </row>
    <row r="230" spans="1:17" x14ac:dyDescent="0.35">
      <c r="A230" s="1">
        <v>39176</v>
      </c>
      <c r="B230" s="6">
        <v>829931</v>
      </c>
      <c r="C230" s="6">
        <v>16157</v>
      </c>
      <c r="D230" s="6">
        <v>0</v>
      </c>
      <c r="E230" s="6">
        <v>10733</v>
      </c>
      <c r="F230" s="6">
        <v>4973</v>
      </c>
      <c r="G230" s="6">
        <v>131</v>
      </c>
      <c r="H230" s="6">
        <v>319</v>
      </c>
      <c r="I230" s="6">
        <v>35475</v>
      </c>
      <c r="J230" s="6">
        <v>771780</v>
      </c>
      <c r="K230" s="6">
        <v>4502</v>
      </c>
      <c r="L230" s="6"/>
      <c r="M230" s="6">
        <v>2017</v>
      </c>
      <c r="N230" s="6">
        <v>15847</v>
      </c>
      <c r="O230" s="6">
        <v>15361</v>
      </c>
      <c r="P230" s="6">
        <v>1180</v>
      </c>
      <c r="Q230" s="6">
        <v>32388</v>
      </c>
    </row>
    <row r="231" spans="1:17" x14ac:dyDescent="0.35">
      <c r="A231" s="1">
        <v>39183</v>
      </c>
      <c r="B231" s="6">
        <v>832832</v>
      </c>
      <c r="C231" s="6">
        <v>19753</v>
      </c>
      <c r="D231" s="6">
        <v>0</v>
      </c>
      <c r="E231" s="6">
        <v>14628</v>
      </c>
      <c r="F231" s="6">
        <v>4758</v>
      </c>
      <c r="G231" s="6">
        <v>93</v>
      </c>
      <c r="H231" s="6">
        <v>274</v>
      </c>
      <c r="I231" s="6">
        <v>34134</v>
      </c>
      <c r="J231" s="6">
        <v>773017</v>
      </c>
      <c r="K231" s="6">
        <v>3903</v>
      </c>
      <c r="L231" s="6"/>
      <c r="M231" s="6">
        <v>2026</v>
      </c>
      <c r="N231" s="6">
        <v>15854</v>
      </c>
      <c r="O231" s="6">
        <v>15362</v>
      </c>
      <c r="P231" s="6">
        <v>1393</v>
      </c>
      <c r="Q231" s="6">
        <v>32609</v>
      </c>
    </row>
    <row r="232" spans="1:17" x14ac:dyDescent="0.35">
      <c r="A232" s="1">
        <v>39190</v>
      </c>
      <c r="B232" s="6">
        <v>828558</v>
      </c>
      <c r="C232" s="6">
        <v>16201</v>
      </c>
      <c r="D232" s="6">
        <v>0</v>
      </c>
      <c r="E232" s="6">
        <v>10600</v>
      </c>
      <c r="F232" s="6">
        <v>5235</v>
      </c>
      <c r="G232" s="6">
        <v>95</v>
      </c>
      <c r="H232" s="6">
        <v>271</v>
      </c>
      <c r="I232" s="6">
        <v>33971</v>
      </c>
      <c r="J232" s="6">
        <v>771894</v>
      </c>
      <c r="K232" s="6">
        <v>4467</v>
      </c>
      <c r="L232" s="6"/>
      <c r="M232" s="6">
        <v>2025</v>
      </c>
      <c r="N232" s="6">
        <v>15856</v>
      </c>
      <c r="O232" s="6">
        <v>15362</v>
      </c>
      <c r="P232" s="6">
        <v>1559</v>
      </c>
      <c r="Q232" s="6">
        <v>32776</v>
      </c>
    </row>
    <row r="233" spans="1:17" x14ac:dyDescent="0.35">
      <c r="A233" s="1">
        <v>39197</v>
      </c>
      <c r="B233" s="6">
        <v>847032</v>
      </c>
      <c r="C233" s="6">
        <v>34982</v>
      </c>
      <c r="D233" s="6">
        <v>0</v>
      </c>
      <c r="E233" s="6">
        <v>22366</v>
      </c>
      <c r="F233" s="6">
        <v>12250</v>
      </c>
      <c r="G233" s="6">
        <v>92</v>
      </c>
      <c r="H233" s="6">
        <v>274</v>
      </c>
      <c r="I233" s="6">
        <v>34025</v>
      </c>
      <c r="J233" s="6">
        <v>771431</v>
      </c>
      <c r="K233" s="6">
        <v>4532</v>
      </c>
      <c r="L233" s="6"/>
      <c r="M233" s="6">
        <v>2062</v>
      </c>
      <c r="N233" s="6">
        <v>15872</v>
      </c>
      <c r="O233" s="6">
        <v>15362</v>
      </c>
      <c r="P233" s="6">
        <v>1419</v>
      </c>
      <c r="Q233" s="6">
        <v>32653</v>
      </c>
    </row>
    <row r="234" spans="1:17" x14ac:dyDescent="0.35">
      <c r="A234" s="1">
        <v>39204</v>
      </c>
      <c r="B234" s="6">
        <v>858432</v>
      </c>
      <c r="C234" s="6">
        <v>37594</v>
      </c>
      <c r="D234" s="6">
        <v>0</v>
      </c>
      <c r="E234" s="6">
        <v>11873</v>
      </c>
      <c r="F234" s="6">
        <v>25350</v>
      </c>
      <c r="G234" s="6">
        <v>93</v>
      </c>
      <c r="H234" s="6">
        <v>278</v>
      </c>
      <c r="I234" s="6">
        <v>41421</v>
      </c>
      <c r="J234" s="6">
        <v>772163</v>
      </c>
      <c r="K234" s="6">
        <v>5120</v>
      </c>
      <c r="L234" s="6"/>
      <c r="M234" s="6">
        <v>2135</v>
      </c>
      <c r="N234" s="6">
        <v>15875</v>
      </c>
      <c r="O234" s="6">
        <v>15374</v>
      </c>
      <c r="P234" s="6">
        <v>1176</v>
      </c>
      <c r="Q234" s="6">
        <v>32425</v>
      </c>
    </row>
    <row r="235" spans="1:17" x14ac:dyDescent="0.35">
      <c r="A235" s="1">
        <v>39211</v>
      </c>
      <c r="B235" s="6">
        <v>842631</v>
      </c>
      <c r="C235" s="6">
        <v>27583</v>
      </c>
      <c r="D235" s="6">
        <v>0</v>
      </c>
      <c r="E235" s="6">
        <v>22503</v>
      </c>
      <c r="F235" s="6">
        <v>4726</v>
      </c>
      <c r="G235" s="6">
        <v>93</v>
      </c>
      <c r="H235" s="6">
        <v>261</v>
      </c>
      <c r="I235" s="6">
        <v>35410</v>
      </c>
      <c r="J235" s="6">
        <v>773279</v>
      </c>
      <c r="K235" s="6">
        <v>4179</v>
      </c>
      <c r="L235" s="6"/>
      <c r="M235" s="6">
        <v>2179</v>
      </c>
      <c r="N235" s="6">
        <v>15891</v>
      </c>
      <c r="O235" s="6">
        <v>15374</v>
      </c>
      <c r="P235" s="6">
        <v>1375</v>
      </c>
      <c r="Q235" s="6">
        <v>32640</v>
      </c>
    </row>
    <row r="236" spans="1:17" x14ac:dyDescent="0.35">
      <c r="A236" s="1">
        <v>39218</v>
      </c>
      <c r="B236" s="6">
        <v>826884</v>
      </c>
      <c r="C236" s="6">
        <v>15714</v>
      </c>
      <c r="D236" s="6">
        <v>0</v>
      </c>
      <c r="E236" s="6">
        <v>11218</v>
      </c>
      <c r="F236" s="6">
        <v>4125</v>
      </c>
      <c r="G236" s="6">
        <v>93</v>
      </c>
      <c r="H236" s="6">
        <v>279</v>
      </c>
      <c r="I236" s="6">
        <v>32446</v>
      </c>
      <c r="J236" s="6">
        <v>772923</v>
      </c>
      <c r="K236" s="6">
        <v>3675</v>
      </c>
      <c r="L236" s="6"/>
      <c r="M236" s="6">
        <v>2127</v>
      </c>
      <c r="N236" s="6">
        <v>15983</v>
      </c>
      <c r="O236" s="6">
        <v>15374</v>
      </c>
      <c r="P236" s="6">
        <v>1317</v>
      </c>
      <c r="Q236" s="6">
        <v>32675</v>
      </c>
    </row>
    <row r="237" spans="1:17" x14ac:dyDescent="0.35">
      <c r="A237" s="1">
        <v>39225</v>
      </c>
      <c r="B237" s="6">
        <v>841106</v>
      </c>
      <c r="C237" s="6">
        <v>27894</v>
      </c>
      <c r="D237" s="6">
        <v>0</v>
      </c>
      <c r="E237" s="6">
        <v>23223</v>
      </c>
      <c r="F237" s="6">
        <v>4312</v>
      </c>
      <c r="G237" s="6">
        <v>93</v>
      </c>
      <c r="H237" s="6">
        <v>266</v>
      </c>
      <c r="I237" s="6">
        <v>32618</v>
      </c>
      <c r="J237" s="6">
        <v>774106</v>
      </c>
      <c r="K237" s="6">
        <v>4308</v>
      </c>
      <c r="L237" s="6"/>
      <c r="M237" s="6">
        <v>2179</v>
      </c>
      <c r="N237" s="6">
        <v>16021</v>
      </c>
      <c r="O237" s="6">
        <v>15374</v>
      </c>
      <c r="P237" s="6">
        <v>1434</v>
      </c>
      <c r="Q237" s="6">
        <v>32829</v>
      </c>
    </row>
    <row r="238" spans="1:17" x14ac:dyDescent="0.35">
      <c r="A238" s="1">
        <v>39232</v>
      </c>
      <c r="B238" s="6">
        <v>844065</v>
      </c>
      <c r="C238" s="6">
        <v>24032</v>
      </c>
      <c r="D238" s="6">
        <v>0</v>
      </c>
      <c r="E238" s="6">
        <v>19049</v>
      </c>
      <c r="F238" s="6">
        <v>4637</v>
      </c>
      <c r="G238" s="6">
        <v>94</v>
      </c>
      <c r="H238" s="6">
        <v>253</v>
      </c>
      <c r="I238" s="6">
        <v>34860</v>
      </c>
      <c r="J238" s="6">
        <v>777855</v>
      </c>
      <c r="K238" s="6">
        <v>5077</v>
      </c>
      <c r="L238" s="6"/>
      <c r="M238" s="6">
        <v>2242</v>
      </c>
      <c r="N238" s="6">
        <v>16102</v>
      </c>
      <c r="O238" s="6">
        <v>15375</v>
      </c>
      <c r="P238" s="6">
        <v>1444</v>
      </c>
      <c r="Q238" s="6">
        <v>32921</v>
      </c>
    </row>
    <row r="239" spans="1:17" x14ac:dyDescent="0.35">
      <c r="A239" s="1">
        <v>39239</v>
      </c>
      <c r="B239" s="6">
        <v>839573</v>
      </c>
      <c r="C239" s="6">
        <v>24454</v>
      </c>
      <c r="D239" s="6">
        <v>0</v>
      </c>
      <c r="E239" s="6">
        <v>18679</v>
      </c>
      <c r="F239" s="6">
        <v>5396</v>
      </c>
      <c r="G239" s="6">
        <v>92</v>
      </c>
      <c r="H239" s="6">
        <v>286</v>
      </c>
      <c r="I239" s="6">
        <v>32069</v>
      </c>
      <c r="J239" s="6">
        <v>776210</v>
      </c>
      <c r="K239" s="6">
        <v>4571</v>
      </c>
      <c r="L239" s="6"/>
      <c r="M239" s="6">
        <v>2271</v>
      </c>
      <c r="N239" s="6">
        <v>16106</v>
      </c>
      <c r="O239" s="6">
        <v>15386</v>
      </c>
      <c r="P239" s="6">
        <v>1641</v>
      </c>
      <c r="Q239" s="6">
        <v>33133</v>
      </c>
    </row>
    <row r="240" spans="1:17" x14ac:dyDescent="0.35">
      <c r="A240" s="1">
        <v>39246</v>
      </c>
      <c r="B240" s="6">
        <v>832199</v>
      </c>
      <c r="C240" s="6">
        <v>19153</v>
      </c>
      <c r="D240" s="6">
        <v>0</v>
      </c>
      <c r="E240" s="6">
        <v>14090</v>
      </c>
      <c r="F240" s="6">
        <v>4742</v>
      </c>
      <c r="G240" s="6">
        <v>95</v>
      </c>
      <c r="H240" s="6">
        <v>226</v>
      </c>
      <c r="I240" s="6">
        <v>31579</v>
      </c>
      <c r="J240" s="6">
        <v>774970</v>
      </c>
      <c r="K240" s="6">
        <v>4210</v>
      </c>
      <c r="L240" s="6"/>
      <c r="M240" s="6">
        <v>2287</v>
      </c>
      <c r="N240" s="6">
        <v>16097</v>
      </c>
      <c r="O240" s="6">
        <v>15371</v>
      </c>
      <c r="P240" s="6">
        <v>1323</v>
      </c>
      <c r="Q240" s="6">
        <v>32791</v>
      </c>
    </row>
    <row r="241" spans="1:17" x14ac:dyDescent="0.35">
      <c r="A241" s="1">
        <v>39253</v>
      </c>
      <c r="B241" s="6">
        <v>832979</v>
      </c>
      <c r="C241" s="6">
        <v>22478</v>
      </c>
      <c r="D241" s="6">
        <v>0</v>
      </c>
      <c r="E241" s="6">
        <v>16138</v>
      </c>
      <c r="F241" s="6">
        <v>6022</v>
      </c>
      <c r="G241" s="6">
        <v>96</v>
      </c>
      <c r="H241" s="6">
        <v>222</v>
      </c>
      <c r="I241" s="6">
        <v>30443</v>
      </c>
      <c r="J241" s="6">
        <v>773636</v>
      </c>
      <c r="K241" s="6">
        <v>4150</v>
      </c>
      <c r="L241" s="6"/>
      <c r="M241" s="6">
        <v>2273</v>
      </c>
      <c r="N241" s="6">
        <v>16106</v>
      </c>
      <c r="O241" s="6">
        <v>15387</v>
      </c>
      <c r="P241" s="6">
        <v>1617</v>
      </c>
      <c r="Q241" s="6">
        <v>33110</v>
      </c>
    </row>
    <row r="242" spans="1:17" x14ac:dyDescent="0.35">
      <c r="A242" s="1">
        <v>39260</v>
      </c>
      <c r="B242" s="6">
        <v>831961</v>
      </c>
      <c r="C242" s="6">
        <v>20574</v>
      </c>
      <c r="D242" s="6">
        <v>0</v>
      </c>
      <c r="E242" s="6">
        <v>16221</v>
      </c>
      <c r="F242" s="6">
        <v>4039</v>
      </c>
      <c r="G242" s="6">
        <v>97</v>
      </c>
      <c r="H242" s="6">
        <v>218</v>
      </c>
      <c r="I242" s="6">
        <v>30134</v>
      </c>
      <c r="J242" s="6">
        <v>775052</v>
      </c>
      <c r="K242" s="6">
        <v>3838</v>
      </c>
      <c r="L242" s="6"/>
      <c r="M242" s="6">
        <v>2362</v>
      </c>
      <c r="N242" s="6">
        <v>16111</v>
      </c>
      <c r="O242" s="6">
        <v>15398</v>
      </c>
      <c r="P242" s="6">
        <v>1636</v>
      </c>
      <c r="Q242" s="6">
        <v>33145</v>
      </c>
    </row>
    <row r="243" spans="1:17" x14ac:dyDescent="0.35">
      <c r="A243" s="1">
        <v>39267</v>
      </c>
      <c r="B243" s="6">
        <v>842523</v>
      </c>
      <c r="C243" s="6">
        <v>21238</v>
      </c>
      <c r="D243" s="6">
        <v>0</v>
      </c>
      <c r="E243" s="6">
        <v>16755</v>
      </c>
      <c r="F243" s="6">
        <v>4117</v>
      </c>
      <c r="G243" s="6">
        <v>96</v>
      </c>
      <c r="H243" s="6">
        <v>269</v>
      </c>
      <c r="I243" s="6">
        <v>32209</v>
      </c>
      <c r="J243" s="6">
        <v>781376</v>
      </c>
      <c r="K243" s="6">
        <v>5822</v>
      </c>
      <c r="L243" s="6"/>
      <c r="M243" s="6">
        <v>1877</v>
      </c>
      <c r="N243" s="6">
        <v>16163</v>
      </c>
      <c r="O243" s="6">
        <v>15399</v>
      </c>
      <c r="P243" s="6">
        <v>2527</v>
      </c>
      <c r="Q243" s="6">
        <v>34088</v>
      </c>
    </row>
    <row r="244" spans="1:17" x14ac:dyDescent="0.35">
      <c r="A244" s="1">
        <v>39274</v>
      </c>
      <c r="B244" s="6">
        <v>836216</v>
      </c>
      <c r="C244" s="6">
        <v>16010</v>
      </c>
      <c r="D244" s="6">
        <v>0</v>
      </c>
      <c r="E244" s="6">
        <v>10723</v>
      </c>
      <c r="F244" s="6">
        <v>4914</v>
      </c>
      <c r="G244" s="6">
        <v>95</v>
      </c>
      <c r="H244" s="6">
        <v>277</v>
      </c>
      <c r="I244" s="6">
        <v>31296</v>
      </c>
      <c r="J244" s="6">
        <v>779891</v>
      </c>
      <c r="K244" s="6">
        <v>7113</v>
      </c>
      <c r="L244" s="6"/>
      <c r="M244" s="6">
        <v>1906</v>
      </c>
      <c r="N244" s="6">
        <v>16165</v>
      </c>
      <c r="O244" s="6">
        <v>15399</v>
      </c>
      <c r="P244" s="6">
        <v>1627</v>
      </c>
      <c r="Q244" s="6">
        <v>33191</v>
      </c>
    </row>
    <row r="245" spans="1:17" x14ac:dyDescent="0.35">
      <c r="A245" s="1">
        <v>39281</v>
      </c>
      <c r="B245" s="6">
        <v>839741</v>
      </c>
      <c r="C245" s="6">
        <v>24603</v>
      </c>
      <c r="D245" s="6">
        <v>0</v>
      </c>
      <c r="E245" s="6">
        <v>19916</v>
      </c>
      <c r="F245" s="6">
        <v>4100</v>
      </c>
      <c r="G245" s="6">
        <v>293</v>
      </c>
      <c r="H245" s="6">
        <v>294</v>
      </c>
      <c r="I245" s="6">
        <v>32507</v>
      </c>
      <c r="J245" s="6">
        <v>776944</v>
      </c>
      <c r="K245" s="6">
        <v>3800</v>
      </c>
      <c r="L245" s="6"/>
      <c r="M245" s="6">
        <v>1887</v>
      </c>
      <c r="N245" s="6">
        <v>16169</v>
      </c>
      <c r="O245" s="6">
        <v>15399</v>
      </c>
      <c r="P245" s="6">
        <v>1607</v>
      </c>
      <c r="Q245" s="6">
        <v>33174</v>
      </c>
    </row>
    <row r="246" spans="1:17" x14ac:dyDescent="0.35">
      <c r="A246" s="1">
        <v>39288</v>
      </c>
      <c r="B246" s="6">
        <v>830805</v>
      </c>
      <c r="C246" s="6">
        <v>17886</v>
      </c>
      <c r="D246" s="6">
        <v>0</v>
      </c>
      <c r="E246" s="6">
        <v>12558</v>
      </c>
      <c r="F246" s="6">
        <v>4931</v>
      </c>
      <c r="G246" s="6">
        <v>98</v>
      </c>
      <c r="H246" s="6">
        <v>300</v>
      </c>
      <c r="I246" s="6">
        <v>31109</v>
      </c>
      <c r="J246" s="6">
        <v>776483</v>
      </c>
      <c r="K246" s="6">
        <v>3366</v>
      </c>
      <c r="L246" s="6"/>
      <c r="M246" s="6">
        <v>1961</v>
      </c>
      <c r="N246" s="6">
        <v>16171</v>
      </c>
      <c r="O246" s="6">
        <v>15399</v>
      </c>
      <c r="P246" s="6">
        <v>1515</v>
      </c>
      <c r="Q246" s="6">
        <v>33085</v>
      </c>
    </row>
    <row r="247" spans="1:17" x14ac:dyDescent="0.35">
      <c r="A247" s="1">
        <v>39295</v>
      </c>
      <c r="B247" s="6">
        <v>836623</v>
      </c>
      <c r="C247" s="6">
        <v>22243</v>
      </c>
      <c r="D247" s="6">
        <v>0</v>
      </c>
      <c r="E247" s="6">
        <v>17084</v>
      </c>
      <c r="F247" s="6">
        <v>4769</v>
      </c>
      <c r="G247" s="6">
        <v>95</v>
      </c>
      <c r="H247" s="6">
        <v>295</v>
      </c>
      <c r="I247" s="6">
        <v>31546</v>
      </c>
      <c r="J247" s="6">
        <v>776953</v>
      </c>
      <c r="K247" s="6">
        <v>3908</v>
      </c>
      <c r="L247" s="6"/>
      <c r="M247" s="6">
        <v>1973</v>
      </c>
      <c r="N247" s="6">
        <v>16649</v>
      </c>
      <c r="O247" s="6">
        <v>15411</v>
      </c>
      <c r="P247" s="6">
        <v>1578</v>
      </c>
      <c r="Q247" s="6">
        <v>33638</v>
      </c>
    </row>
    <row r="248" spans="1:17" x14ac:dyDescent="0.35">
      <c r="A248" s="1">
        <v>39302</v>
      </c>
      <c r="B248" s="6">
        <v>831775</v>
      </c>
      <c r="C248" s="6">
        <v>18494</v>
      </c>
      <c r="D248" s="6">
        <v>0</v>
      </c>
      <c r="E248" s="6">
        <v>13456</v>
      </c>
      <c r="F248" s="6">
        <v>4670</v>
      </c>
      <c r="G248" s="6">
        <v>94</v>
      </c>
      <c r="H248" s="6">
        <v>274</v>
      </c>
      <c r="I248" s="6">
        <v>30132</v>
      </c>
      <c r="J248" s="6">
        <v>777350</v>
      </c>
      <c r="K248" s="6">
        <v>3750</v>
      </c>
      <c r="L248" s="6"/>
      <c r="M248" s="6">
        <v>2049</v>
      </c>
      <c r="N248" s="6">
        <v>16660</v>
      </c>
      <c r="O248" s="6">
        <v>15412</v>
      </c>
      <c r="P248" s="6">
        <v>1607</v>
      </c>
      <c r="Q248" s="6">
        <v>33678</v>
      </c>
    </row>
    <row r="249" spans="1:17" x14ac:dyDescent="0.35">
      <c r="A249" s="1">
        <v>39309</v>
      </c>
      <c r="B249" s="6">
        <v>831217</v>
      </c>
      <c r="C249" s="6">
        <v>18056</v>
      </c>
      <c r="D249" s="6">
        <v>0</v>
      </c>
      <c r="E249" s="6">
        <v>12565</v>
      </c>
      <c r="F249" s="6">
        <v>5109</v>
      </c>
      <c r="G249" s="6">
        <v>96</v>
      </c>
      <c r="H249" s="6">
        <v>286</v>
      </c>
      <c r="I249" s="6">
        <v>31941</v>
      </c>
      <c r="J249" s="6">
        <v>775789</v>
      </c>
      <c r="K249" s="6">
        <v>3438</v>
      </c>
      <c r="L249" s="6"/>
      <c r="M249" s="6">
        <v>1993</v>
      </c>
      <c r="N249" s="6">
        <v>16779</v>
      </c>
      <c r="O249" s="6">
        <v>15412</v>
      </c>
      <c r="P249" s="6">
        <v>1523</v>
      </c>
      <c r="Q249" s="6">
        <v>33714</v>
      </c>
    </row>
    <row r="250" spans="1:17" x14ac:dyDescent="0.35">
      <c r="A250" s="1">
        <v>39316</v>
      </c>
      <c r="B250" s="6">
        <v>828506</v>
      </c>
      <c r="C250" s="6">
        <v>18769</v>
      </c>
      <c r="D250" s="6">
        <v>0</v>
      </c>
      <c r="E250" s="6">
        <v>13082</v>
      </c>
      <c r="F250" s="6">
        <v>5329</v>
      </c>
      <c r="G250" s="6">
        <v>95</v>
      </c>
      <c r="H250" s="6">
        <v>263</v>
      </c>
      <c r="I250" s="6">
        <v>29956</v>
      </c>
      <c r="J250" s="6">
        <v>774540</v>
      </c>
      <c r="K250" s="6">
        <v>3188</v>
      </c>
      <c r="L250" s="6"/>
      <c r="M250" s="6">
        <v>2052</v>
      </c>
      <c r="N250" s="6">
        <v>16841</v>
      </c>
      <c r="O250" s="6">
        <v>15412</v>
      </c>
      <c r="P250" s="6">
        <v>2016</v>
      </c>
      <c r="Q250" s="6">
        <v>34270</v>
      </c>
    </row>
    <row r="251" spans="1:17" x14ac:dyDescent="0.35">
      <c r="A251" s="1">
        <v>39323</v>
      </c>
      <c r="B251" s="6">
        <v>838587</v>
      </c>
      <c r="C251" s="6">
        <v>26861</v>
      </c>
      <c r="D251" s="6">
        <v>0</v>
      </c>
      <c r="E251" s="6">
        <v>21592</v>
      </c>
      <c r="F251" s="6">
        <v>4924</v>
      </c>
      <c r="G251" s="6">
        <v>95</v>
      </c>
      <c r="H251" s="6">
        <v>250</v>
      </c>
      <c r="I251" s="6">
        <v>31210</v>
      </c>
      <c r="J251" s="6">
        <v>775186</v>
      </c>
      <c r="K251" s="6">
        <v>3222</v>
      </c>
      <c r="L251" s="6"/>
      <c r="M251" s="6">
        <v>2108</v>
      </c>
      <c r="N251" s="6">
        <v>16847</v>
      </c>
      <c r="O251" s="6">
        <v>15423</v>
      </c>
      <c r="P251" s="6">
        <v>2015</v>
      </c>
      <c r="Q251" s="6">
        <v>34285</v>
      </c>
    </row>
    <row r="252" spans="1:17" x14ac:dyDescent="0.35">
      <c r="A252" s="1">
        <v>39330</v>
      </c>
      <c r="B252" s="6">
        <v>836812</v>
      </c>
      <c r="C252" s="6">
        <v>16112</v>
      </c>
      <c r="D252" s="6">
        <v>0</v>
      </c>
      <c r="E252" s="6">
        <v>11286</v>
      </c>
      <c r="F252" s="6">
        <v>4489</v>
      </c>
      <c r="G252" s="6">
        <v>97</v>
      </c>
      <c r="H252" s="6">
        <v>241</v>
      </c>
      <c r="I252" s="6">
        <v>35098</v>
      </c>
      <c r="J252" s="6">
        <v>778661</v>
      </c>
      <c r="K252" s="6">
        <v>4770</v>
      </c>
      <c r="L252" s="6"/>
      <c r="M252" s="6">
        <v>2171</v>
      </c>
      <c r="N252" s="6">
        <v>16974</v>
      </c>
      <c r="O252" s="6">
        <v>15424</v>
      </c>
      <c r="P252" s="6">
        <v>1947</v>
      </c>
      <c r="Q252" s="6">
        <v>34345</v>
      </c>
    </row>
    <row r="253" spans="1:17" x14ac:dyDescent="0.35">
      <c r="A253" s="1">
        <v>39337</v>
      </c>
      <c r="B253" s="6">
        <v>851709</v>
      </c>
      <c r="C253" s="6">
        <v>37220</v>
      </c>
      <c r="D253" s="6">
        <v>0</v>
      </c>
      <c r="E253" s="6">
        <v>31681</v>
      </c>
      <c r="F253" s="6">
        <v>5188</v>
      </c>
      <c r="G253" s="6">
        <v>97</v>
      </c>
      <c r="H253" s="6">
        <v>254</v>
      </c>
      <c r="I253" s="6">
        <v>33490</v>
      </c>
      <c r="J253" s="6">
        <v>775407</v>
      </c>
      <c r="K253" s="6">
        <v>3396</v>
      </c>
      <c r="L253" s="6"/>
      <c r="M253" s="6">
        <v>2195</v>
      </c>
      <c r="N253" s="6">
        <v>16974</v>
      </c>
      <c r="O253" s="6">
        <v>15424</v>
      </c>
      <c r="P253" s="6">
        <v>2207</v>
      </c>
      <c r="Q253" s="6">
        <v>34605</v>
      </c>
    </row>
    <row r="254" spans="1:17" x14ac:dyDescent="0.35">
      <c r="A254" s="1">
        <v>39344</v>
      </c>
      <c r="B254" s="6">
        <v>833403</v>
      </c>
      <c r="C254" s="6">
        <v>18218</v>
      </c>
      <c r="D254" s="6">
        <v>0</v>
      </c>
      <c r="E254" s="6">
        <v>13452</v>
      </c>
      <c r="F254" s="6">
        <v>4455</v>
      </c>
      <c r="G254" s="6">
        <v>98</v>
      </c>
      <c r="H254" s="6">
        <v>213</v>
      </c>
      <c r="I254" s="6">
        <v>36225</v>
      </c>
      <c r="J254" s="6">
        <v>773367</v>
      </c>
      <c r="K254" s="6">
        <v>3414</v>
      </c>
      <c r="L254" s="6"/>
      <c r="M254" s="6">
        <v>2179</v>
      </c>
      <c r="N254" s="6">
        <v>16968</v>
      </c>
      <c r="O254" s="6">
        <v>15425</v>
      </c>
      <c r="P254" s="6">
        <v>1936</v>
      </c>
      <c r="Q254" s="6">
        <v>34329</v>
      </c>
    </row>
    <row r="255" spans="1:17" x14ac:dyDescent="0.35">
      <c r="A255" s="1">
        <v>39351</v>
      </c>
      <c r="B255" s="6">
        <v>855060</v>
      </c>
      <c r="C255" s="6">
        <v>39511</v>
      </c>
      <c r="D255" s="6">
        <v>0</v>
      </c>
      <c r="E255" s="6">
        <v>34239</v>
      </c>
      <c r="F255" s="6">
        <v>4943</v>
      </c>
      <c r="G255" s="6">
        <v>96</v>
      </c>
      <c r="H255" s="6">
        <v>233</v>
      </c>
      <c r="I255" s="6">
        <v>35312</v>
      </c>
      <c r="J255" s="6">
        <v>774843</v>
      </c>
      <c r="K255" s="6">
        <v>3180</v>
      </c>
      <c r="L255" s="6"/>
      <c r="M255" s="6">
        <v>2215</v>
      </c>
      <c r="N255" s="6">
        <v>17147</v>
      </c>
      <c r="O255" s="6">
        <v>15425</v>
      </c>
      <c r="P255" s="6">
        <v>2268</v>
      </c>
      <c r="Q255" s="6">
        <v>34840</v>
      </c>
    </row>
    <row r="256" spans="1:17" x14ac:dyDescent="0.35">
      <c r="A256" s="1">
        <v>39358</v>
      </c>
      <c r="B256" s="6">
        <v>834365</v>
      </c>
      <c r="C256" s="6">
        <v>16793</v>
      </c>
      <c r="D256" s="6">
        <v>0</v>
      </c>
      <c r="E256" s="6">
        <v>10744</v>
      </c>
      <c r="F256" s="6">
        <v>5645</v>
      </c>
      <c r="G256" s="6">
        <v>98</v>
      </c>
      <c r="H256" s="6">
        <v>306</v>
      </c>
      <c r="I256" s="6">
        <v>34542</v>
      </c>
      <c r="J256" s="6">
        <v>777405</v>
      </c>
      <c r="K256" s="6">
        <v>3337</v>
      </c>
      <c r="L256" s="6"/>
      <c r="M256" s="6">
        <v>2289</v>
      </c>
      <c r="N256" s="6">
        <v>17290</v>
      </c>
      <c r="O256" s="6">
        <v>15438</v>
      </c>
      <c r="P256" s="6">
        <v>1958</v>
      </c>
      <c r="Q256" s="6">
        <v>34686</v>
      </c>
    </row>
    <row r="257" spans="1:17" x14ac:dyDescent="0.35">
      <c r="A257" s="1">
        <v>39365</v>
      </c>
      <c r="B257" s="6">
        <v>851564</v>
      </c>
      <c r="C257" s="6">
        <v>30329</v>
      </c>
      <c r="D257" s="6">
        <v>0</v>
      </c>
      <c r="E257" s="6">
        <v>25538</v>
      </c>
      <c r="F257" s="6">
        <v>4166</v>
      </c>
      <c r="G257" s="6">
        <v>97</v>
      </c>
      <c r="H257" s="6">
        <v>529</v>
      </c>
      <c r="I257" s="6">
        <v>34424</v>
      </c>
      <c r="J257" s="6">
        <v>779748</v>
      </c>
      <c r="K257" s="6">
        <v>4713</v>
      </c>
      <c r="L257" s="6"/>
      <c r="M257" s="6">
        <v>2350</v>
      </c>
      <c r="N257" s="6">
        <v>17291</v>
      </c>
      <c r="O257" s="6">
        <v>15438</v>
      </c>
      <c r="P257" s="6">
        <v>2070</v>
      </c>
      <c r="Q257" s="6">
        <v>34799</v>
      </c>
    </row>
    <row r="258" spans="1:17" x14ac:dyDescent="0.35">
      <c r="A258" s="1">
        <v>39372</v>
      </c>
      <c r="B258" s="6">
        <v>834069</v>
      </c>
      <c r="C258" s="6">
        <v>15793</v>
      </c>
      <c r="D258" s="6">
        <v>0</v>
      </c>
      <c r="E258" s="6">
        <v>10276</v>
      </c>
      <c r="F258" s="6">
        <v>5105</v>
      </c>
      <c r="G258" s="6">
        <v>97</v>
      </c>
      <c r="H258" s="6">
        <v>315</v>
      </c>
      <c r="I258" s="6">
        <v>35087</v>
      </c>
      <c r="J258" s="6">
        <v>777686</v>
      </c>
      <c r="K258" s="6">
        <v>3193</v>
      </c>
      <c r="L258" s="6"/>
      <c r="M258" s="6">
        <v>2310</v>
      </c>
      <c r="N258" s="6">
        <v>17736</v>
      </c>
      <c r="O258" s="6">
        <v>15438</v>
      </c>
      <c r="P258" s="6">
        <v>2266</v>
      </c>
      <c r="Q258" s="6">
        <v>35440</v>
      </c>
    </row>
    <row r="259" spans="1:17" x14ac:dyDescent="0.35">
      <c r="A259" s="1">
        <v>39379</v>
      </c>
      <c r="B259" s="6">
        <v>845717</v>
      </c>
      <c r="C259" s="6">
        <v>26243</v>
      </c>
      <c r="D259" s="6">
        <v>0</v>
      </c>
      <c r="E259" s="6">
        <v>21107</v>
      </c>
      <c r="F259" s="6">
        <v>4737</v>
      </c>
      <c r="G259" s="6">
        <v>99</v>
      </c>
      <c r="H259" s="6">
        <v>300</v>
      </c>
      <c r="I259" s="6">
        <v>37428</v>
      </c>
      <c r="J259" s="6">
        <v>776701</v>
      </c>
      <c r="K259" s="6">
        <v>2989</v>
      </c>
      <c r="L259" s="6"/>
      <c r="M259" s="6">
        <v>2356</v>
      </c>
      <c r="N259" s="6">
        <v>17756</v>
      </c>
      <c r="O259" s="6">
        <v>15438</v>
      </c>
      <c r="P259" s="6">
        <v>2484</v>
      </c>
      <c r="Q259" s="6">
        <v>35678</v>
      </c>
    </row>
    <row r="260" spans="1:17" x14ac:dyDescent="0.35">
      <c r="A260" s="1">
        <v>39386</v>
      </c>
      <c r="B260" s="6">
        <v>847259</v>
      </c>
      <c r="C260" s="6">
        <v>25915</v>
      </c>
      <c r="D260" s="6">
        <v>0</v>
      </c>
      <c r="E260" s="6">
        <v>20720</v>
      </c>
      <c r="F260" s="6">
        <v>4307</v>
      </c>
      <c r="G260" s="6">
        <v>601</v>
      </c>
      <c r="H260" s="6">
        <v>287</v>
      </c>
      <c r="I260" s="6">
        <v>38055</v>
      </c>
      <c r="J260" s="6">
        <v>778155</v>
      </c>
      <c r="K260" s="6">
        <v>2955</v>
      </c>
      <c r="L260" s="6"/>
      <c r="M260" s="6">
        <v>2179</v>
      </c>
      <c r="N260" s="6">
        <v>17947</v>
      </c>
      <c r="O260" s="6">
        <v>15455</v>
      </c>
      <c r="P260" s="6">
        <v>2724</v>
      </c>
      <c r="Q260" s="6">
        <v>36126</v>
      </c>
    </row>
    <row r="261" spans="1:17" x14ac:dyDescent="0.35">
      <c r="A261" s="1">
        <v>39393</v>
      </c>
      <c r="B261" s="6">
        <v>849472</v>
      </c>
      <c r="C261" s="6">
        <v>25068</v>
      </c>
      <c r="D261" s="6">
        <v>0</v>
      </c>
      <c r="E261" s="6">
        <v>19797</v>
      </c>
      <c r="F261" s="6">
        <v>4902</v>
      </c>
      <c r="G261" s="6">
        <v>98</v>
      </c>
      <c r="H261" s="6">
        <v>272</v>
      </c>
      <c r="I261" s="6">
        <v>36358</v>
      </c>
      <c r="J261" s="6">
        <v>782204</v>
      </c>
      <c r="K261" s="6">
        <v>3385</v>
      </c>
      <c r="L261" s="6"/>
      <c r="M261" s="6">
        <v>2458</v>
      </c>
      <c r="N261" s="6">
        <v>17953</v>
      </c>
      <c r="O261" s="6">
        <v>15456</v>
      </c>
      <c r="P261" s="6">
        <v>2844</v>
      </c>
      <c r="Q261" s="6">
        <v>36252</v>
      </c>
    </row>
    <row r="262" spans="1:17" x14ac:dyDescent="0.35">
      <c r="A262" s="1">
        <v>39400</v>
      </c>
      <c r="B262" s="6">
        <v>853091</v>
      </c>
      <c r="C262" s="6">
        <v>26388</v>
      </c>
      <c r="D262" s="6">
        <v>0</v>
      </c>
      <c r="E262" s="6">
        <v>20467</v>
      </c>
      <c r="F262" s="6">
        <v>5540</v>
      </c>
      <c r="G262" s="6">
        <v>97</v>
      </c>
      <c r="H262" s="6">
        <v>284</v>
      </c>
      <c r="I262" s="6">
        <v>34703</v>
      </c>
      <c r="J262" s="6">
        <v>784415</v>
      </c>
      <c r="K262" s="6">
        <v>5128</v>
      </c>
      <c r="L262" s="6"/>
      <c r="M262" s="6">
        <v>2456</v>
      </c>
      <c r="N262" s="6">
        <v>18078</v>
      </c>
      <c r="O262" s="6">
        <v>15456</v>
      </c>
      <c r="P262" s="6">
        <v>2913</v>
      </c>
      <c r="Q262" s="6">
        <v>36446</v>
      </c>
    </row>
    <row r="263" spans="1:17" x14ac:dyDescent="0.35">
      <c r="A263" s="1">
        <v>39407</v>
      </c>
      <c r="B263" s="6">
        <v>853994</v>
      </c>
      <c r="C263" s="6">
        <v>26693</v>
      </c>
      <c r="D263" s="6">
        <v>0</v>
      </c>
      <c r="E263" s="6">
        <v>20967</v>
      </c>
      <c r="F263" s="6">
        <v>5324</v>
      </c>
      <c r="G263" s="6">
        <v>96</v>
      </c>
      <c r="H263" s="6">
        <v>306</v>
      </c>
      <c r="I263" s="6">
        <v>35383</v>
      </c>
      <c r="J263" s="6">
        <v>786377</v>
      </c>
      <c r="K263" s="6">
        <v>3088</v>
      </c>
      <c r="L263" s="6"/>
      <c r="M263" s="6">
        <v>2453</v>
      </c>
      <c r="N263" s="6">
        <v>18089</v>
      </c>
      <c r="O263" s="6">
        <v>15457</v>
      </c>
      <c r="P263" s="6">
        <v>3488</v>
      </c>
      <c r="Q263" s="6">
        <v>37033</v>
      </c>
    </row>
    <row r="264" spans="1:17" x14ac:dyDescent="0.35">
      <c r="A264" s="1">
        <v>39414</v>
      </c>
      <c r="B264" s="6">
        <v>842873</v>
      </c>
      <c r="C264" s="6">
        <v>19576</v>
      </c>
      <c r="D264" s="6">
        <v>0</v>
      </c>
      <c r="E264" s="6">
        <v>14477</v>
      </c>
      <c r="F264" s="6">
        <v>4711</v>
      </c>
      <c r="G264" s="6">
        <v>97</v>
      </c>
      <c r="H264" s="6">
        <v>291</v>
      </c>
      <c r="I264" s="6">
        <v>34272</v>
      </c>
      <c r="J264" s="6">
        <v>783675</v>
      </c>
      <c r="K264" s="6">
        <v>2878</v>
      </c>
      <c r="L264" s="6"/>
      <c r="M264" s="6">
        <v>2472</v>
      </c>
      <c r="N264" s="6">
        <v>18278</v>
      </c>
      <c r="O264" s="6">
        <v>15457</v>
      </c>
      <c r="P264" s="6">
        <v>2809</v>
      </c>
      <c r="Q264" s="6">
        <v>36543</v>
      </c>
    </row>
    <row r="265" spans="1:17" x14ac:dyDescent="0.35">
      <c r="A265" s="1">
        <v>39421</v>
      </c>
      <c r="B265" s="6">
        <v>846050</v>
      </c>
      <c r="C265" s="6">
        <v>21506</v>
      </c>
      <c r="D265" s="6">
        <v>0</v>
      </c>
      <c r="E265" s="6">
        <v>15981</v>
      </c>
      <c r="F265" s="6">
        <v>5079</v>
      </c>
      <c r="G265" s="6">
        <v>96</v>
      </c>
      <c r="H265" s="6">
        <v>350</v>
      </c>
      <c r="I265" s="6">
        <v>36650</v>
      </c>
      <c r="J265" s="6">
        <v>781939</v>
      </c>
      <c r="K265" s="6">
        <v>3360</v>
      </c>
      <c r="L265" s="6"/>
      <c r="M265" s="6">
        <v>2595</v>
      </c>
      <c r="N265" s="6">
        <v>18187</v>
      </c>
      <c r="O265" s="6">
        <v>15461</v>
      </c>
      <c r="P265" s="6">
        <v>3066</v>
      </c>
      <c r="Q265" s="6">
        <v>36714</v>
      </c>
    </row>
    <row r="266" spans="1:17" x14ac:dyDescent="0.35">
      <c r="A266" s="1">
        <v>39428</v>
      </c>
      <c r="B266" s="6">
        <v>844873</v>
      </c>
      <c r="C266" s="6">
        <v>18611</v>
      </c>
      <c r="D266" s="6">
        <v>0</v>
      </c>
      <c r="E266" s="6">
        <v>13889</v>
      </c>
      <c r="F266" s="6">
        <v>4333</v>
      </c>
      <c r="G266" s="6">
        <v>97</v>
      </c>
      <c r="H266" s="6">
        <v>292</v>
      </c>
      <c r="I266" s="6">
        <v>37764</v>
      </c>
      <c r="J266" s="6">
        <v>782513</v>
      </c>
      <c r="K266" s="6">
        <v>3385</v>
      </c>
      <c r="L266" s="6"/>
      <c r="M266" s="6">
        <v>2600</v>
      </c>
      <c r="N266" s="6">
        <v>18282</v>
      </c>
      <c r="O266" s="6">
        <v>15461</v>
      </c>
      <c r="P266" s="6">
        <v>3133</v>
      </c>
      <c r="Q266" s="6">
        <v>36877</v>
      </c>
    </row>
    <row r="267" spans="1:17" x14ac:dyDescent="0.35">
      <c r="A267" s="1">
        <v>39435</v>
      </c>
      <c r="B267" s="6">
        <v>851440</v>
      </c>
      <c r="C267" s="6">
        <v>22602</v>
      </c>
      <c r="D267" s="6">
        <v>0</v>
      </c>
      <c r="E267" s="6">
        <v>17661</v>
      </c>
      <c r="F267" s="6">
        <v>4586</v>
      </c>
      <c r="G267" s="6">
        <v>96</v>
      </c>
      <c r="H267" s="6">
        <v>260</v>
      </c>
      <c r="I267" s="6">
        <v>36430</v>
      </c>
      <c r="J267" s="6">
        <v>785785</v>
      </c>
      <c r="K267" s="6">
        <v>4055</v>
      </c>
      <c r="L267" s="6"/>
      <c r="M267" s="6">
        <v>2568</v>
      </c>
      <c r="N267" s="6">
        <v>18217</v>
      </c>
      <c r="O267" s="6">
        <v>15460</v>
      </c>
      <c r="P267" s="6">
        <v>2867</v>
      </c>
      <c r="Q267" s="6">
        <v>36543</v>
      </c>
    </row>
    <row r="268" spans="1:17" x14ac:dyDescent="0.35">
      <c r="A268" s="1">
        <v>39442</v>
      </c>
      <c r="B268" s="6">
        <v>853550</v>
      </c>
      <c r="C268" s="6">
        <v>16358</v>
      </c>
      <c r="D268" s="6">
        <v>0</v>
      </c>
      <c r="E268" s="6">
        <v>11439</v>
      </c>
      <c r="F268" s="6">
        <v>4529</v>
      </c>
      <c r="G268" s="6">
        <v>97</v>
      </c>
      <c r="H268" s="6">
        <v>293</v>
      </c>
      <c r="I268" s="6">
        <v>40542</v>
      </c>
      <c r="J268" s="6">
        <v>791801</v>
      </c>
      <c r="K268" s="6">
        <v>2216</v>
      </c>
      <c r="L268" s="6"/>
      <c r="M268" s="6">
        <v>2633</v>
      </c>
      <c r="N268" s="6">
        <v>18353</v>
      </c>
      <c r="O268" s="6">
        <v>15462</v>
      </c>
      <c r="P268" s="6">
        <v>3297</v>
      </c>
      <c r="Q268" s="6">
        <v>37112</v>
      </c>
    </row>
    <row r="269" spans="1:17" x14ac:dyDescent="0.35">
      <c r="A269" s="1">
        <v>39449</v>
      </c>
      <c r="B269" s="6">
        <v>884970</v>
      </c>
      <c r="C269" s="6">
        <v>47444</v>
      </c>
      <c r="D269" s="6">
        <v>0</v>
      </c>
      <c r="E269" s="6">
        <v>39769</v>
      </c>
      <c r="F269" s="6">
        <v>7277</v>
      </c>
      <c r="G269" s="6">
        <v>98</v>
      </c>
      <c r="H269" s="6">
        <v>302</v>
      </c>
      <c r="I269" s="6">
        <v>40909</v>
      </c>
      <c r="J269" s="6">
        <v>791684</v>
      </c>
      <c r="K269" s="6">
        <v>3197</v>
      </c>
      <c r="L269" s="6"/>
      <c r="M269" s="6">
        <v>1735</v>
      </c>
      <c r="N269" s="6">
        <v>18446</v>
      </c>
      <c r="O269" s="6">
        <v>18302</v>
      </c>
      <c r="P269" s="6">
        <v>470</v>
      </c>
      <c r="Q269" s="6">
        <v>37217</v>
      </c>
    </row>
    <row r="270" spans="1:17" x14ac:dyDescent="0.35">
      <c r="A270" s="1">
        <v>39456</v>
      </c>
      <c r="B270" s="6">
        <v>843332</v>
      </c>
      <c r="C270" s="6">
        <v>18561</v>
      </c>
      <c r="D270" s="6">
        <v>0</v>
      </c>
      <c r="E270" s="6">
        <v>12892</v>
      </c>
      <c r="F270" s="6">
        <v>5363</v>
      </c>
      <c r="G270" s="6">
        <v>98</v>
      </c>
      <c r="H270" s="6">
        <v>209</v>
      </c>
      <c r="I270" s="6">
        <v>37773</v>
      </c>
      <c r="J270" s="6">
        <v>781803</v>
      </c>
      <c r="K270" s="6">
        <v>3384</v>
      </c>
      <c r="L270" s="6"/>
      <c r="M270" s="6">
        <v>1810</v>
      </c>
      <c r="N270" s="6">
        <v>18459</v>
      </c>
      <c r="O270" s="6">
        <v>18356</v>
      </c>
      <c r="P270" s="6">
        <v>607</v>
      </c>
      <c r="Q270" s="6">
        <v>37422</v>
      </c>
    </row>
    <row r="271" spans="1:17" x14ac:dyDescent="0.35">
      <c r="A271" s="1">
        <v>39463</v>
      </c>
      <c r="B271" s="6">
        <v>856018</v>
      </c>
      <c r="C271" s="6">
        <v>34328</v>
      </c>
      <c r="D271" s="6">
        <v>0</v>
      </c>
      <c r="E271" s="6">
        <v>28248</v>
      </c>
      <c r="F271" s="6">
        <v>5674</v>
      </c>
      <c r="G271" s="6">
        <v>97</v>
      </c>
      <c r="H271" s="6">
        <v>309</v>
      </c>
      <c r="I271" s="6">
        <v>41079</v>
      </c>
      <c r="J271" s="6">
        <v>775503</v>
      </c>
      <c r="K271" s="6">
        <v>3287</v>
      </c>
      <c r="L271" s="6"/>
      <c r="M271" s="6">
        <v>1820</v>
      </c>
      <c r="N271" s="6">
        <v>18448</v>
      </c>
      <c r="O271" s="6">
        <v>18417</v>
      </c>
      <c r="P271" s="6">
        <v>698</v>
      </c>
      <c r="Q271" s="6">
        <v>37563</v>
      </c>
    </row>
    <row r="272" spans="1:17" x14ac:dyDescent="0.35">
      <c r="A272" s="1">
        <v>39470</v>
      </c>
      <c r="B272" s="6">
        <v>839508</v>
      </c>
      <c r="C272" s="6">
        <v>21255</v>
      </c>
      <c r="D272" s="6">
        <v>0</v>
      </c>
      <c r="E272" s="6">
        <v>15984</v>
      </c>
      <c r="F272" s="6">
        <v>4871</v>
      </c>
      <c r="G272" s="6">
        <v>97</v>
      </c>
      <c r="H272" s="6">
        <v>304</v>
      </c>
      <c r="I272" s="6">
        <v>37495</v>
      </c>
      <c r="J272" s="6">
        <v>774712</v>
      </c>
      <c r="K272" s="6">
        <v>4233</v>
      </c>
      <c r="L272" s="6"/>
      <c r="M272" s="6">
        <v>1812</v>
      </c>
      <c r="N272" s="6">
        <v>18465</v>
      </c>
      <c r="O272" s="6">
        <v>18444</v>
      </c>
      <c r="P272" s="6">
        <v>836</v>
      </c>
      <c r="Q272" s="6">
        <v>37745</v>
      </c>
    </row>
    <row r="273" spans="1:17" x14ac:dyDescent="0.35">
      <c r="A273" s="1">
        <v>39477</v>
      </c>
      <c r="B273" s="6">
        <v>862367</v>
      </c>
      <c r="C273" s="6">
        <v>43998</v>
      </c>
      <c r="D273" s="6">
        <v>0</v>
      </c>
      <c r="E273" s="6">
        <v>38497</v>
      </c>
      <c r="F273" s="6">
        <v>5082</v>
      </c>
      <c r="G273" s="6">
        <v>99</v>
      </c>
      <c r="H273" s="6">
        <v>320</v>
      </c>
      <c r="I273" s="6">
        <v>39485</v>
      </c>
      <c r="J273" s="6">
        <v>774282</v>
      </c>
      <c r="K273" s="6">
        <v>2847</v>
      </c>
      <c r="L273" s="6"/>
      <c r="M273" s="6">
        <v>1755</v>
      </c>
      <c r="N273" s="6">
        <v>18472</v>
      </c>
      <c r="O273" s="6">
        <v>18480</v>
      </c>
      <c r="P273" s="6">
        <v>945</v>
      </c>
      <c r="Q273" s="6">
        <v>37897</v>
      </c>
    </row>
    <row r="274" spans="1:17" x14ac:dyDescent="0.35">
      <c r="A274" s="1">
        <v>39484</v>
      </c>
      <c r="B274" s="6">
        <v>833624</v>
      </c>
      <c r="C274" s="6">
        <v>14694</v>
      </c>
      <c r="D274" s="6">
        <v>0</v>
      </c>
      <c r="E274" s="6">
        <v>9456</v>
      </c>
      <c r="F274" s="6">
        <v>4841</v>
      </c>
      <c r="G274" s="6">
        <v>98</v>
      </c>
      <c r="H274" s="6">
        <v>300</v>
      </c>
      <c r="I274" s="6">
        <v>36553</v>
      </c>
      <c r="J274" s="6">
        <v>777108</v>
      </c>
      <c r="K274" s="6">
        <v>3411</v>
      </c>
      <c r="L274" s="6"/>
      <c r="M274" s="6">
        <v>1858</v>
      </c>
      <c r="N274" s="6">
        <v>18477</v>
      </c>
      <c r="O274" s="6">
        <v>18457</v>
      </c>
      <c r="P274" s="6">
        <v>464</v>
      </c>
      <c r="Q274" s="6">
        <v>37398</v>
      </c>
    </row>
    <row r="275" spans="1:17" x14ac:dyDescent="0.35">
      <c r="A275" s="1">
        <v>39491</v>
      </c>
      <c r="B275" s="6">
        <v>845622</v>
      </c>
      <c r="C275" s="6">
        <v>23404</v>
      </c>
      <c r="D275" s="6">
        <v>0</v>
      </c>
      <c r="E275" s="6">
        <v>18024</v>
      </c>
      <c r="F275" s="6">
        <v>4979</v>
      </c>
      <c r="G275" s="6">
        <v>96</v>
      </c>
      <c r="H275" s="6">
        <v>305</v>
      </c>
      <c r="I275" s="6">
        <v>38590</v>
      </c>
      <c r="J275" s="6">
        <v>778937</v>
      </c>
      <c r="K275" s="6">
        <v>2808</v>
      </c>
      <c r="L275" s="6"/>
      <c r="M275" s="6">
        <v>1883</v>
      </c>
      <c r="N275" s="6">
        <v>18486</v>
      </c>
      <c r="O275" s="6">
        <v>18448</v>
      </c>
      <c r="P275" s="6">
        <v>449</v>
      </c>
      <c r="Q275" s="6">
        <v>37383</v>
      </c>
    </row>
    <row r="276" spans="1:17" x14ac:dyDescent="0.35">
      <c r="A276" s="1">
        <v>39498</v>
      </c>
      <c r="B276" s="6">
        <v>840427</v>
      </c>
      <c r="C276" s="6">
        <v>15249</v>
      </c>
      <c r="D276" s="6">
        <v>0</v>
      </c>
      <c r="E276" s="6">
        <v>10323</v>
      </c>
      <c r="F276" s="6">
        <v>4525</v>
      </c>
      <c r="G276" s="6">
        <v>101</v>
      </c>
      <c r="H276" s="6">
        <v>299</v>
      </c>
      <c r="I276" s="6">
        <v>38610</v>
      </c>
      <c r="J276" s="6">
        <v>780503</v>
      </c>
      <c r="K276" s="6">
        <v>4180</v>
      </c>
      <c r="L276" s="6"/>
      <c r="M276" s="6">
        <v>1886</v>
      </c>
      <c r="N276" s="6">
        <v>19353</v>
      </c>
      <c r="O276" s="6">
        <v>18457</v>
      </c>
      <c r="P276" s="6">
        <v>713</v>
      </c>
      <c r="Q276" s="6">
        <v>38522</v>
      </c>
    </row>
    <row r="277" spans="1:17" x14ac:dyDescent="0.35">
      <c r="A277" s="1">
        <v>39505</v>
      </c>
      <c r="B277" s="6">
        <v>854411</v>
      </c>
      <c r="C277" s="6">
        <v>27595</v>
      </c>
      <c r="D277" s="6">
        <v>0</v>
      </c>
      <c r="E277" s="6">
        <v>22123</v>
      </c>
      <c r="F277" s="6">
        <v>5103</v>
      </c>
      <c r="G277" s="6">
        <v>99</v>
      </c>
      <c r="H277" s="6">
        <v>270</v>
      </c>
      <c r="I277" s="6">
        <v>42648</v>
      </c>
      <c r="J277" s="6">
        <v>779452</v>
      </c>
      <c r="K277" s="6">
        <v>2774</v>
      </c>
      <c r="L277" s="6"/>
      <c r="M277" s="6">
        <v>1943</v>
      </c>
      <c r="N277" s="6">
        <v>19395</v>
      </c>
      <c r="O277" s="6">
        <v>18457</v>
      </c>
      <c r="P277" s="6">
        <v>1562</v>
      </c>
      <c r="Q277" s="6">
        <v>39414</v>
      </c>
    </row>
    <row r="278" spans="1:17" x14ac:dyDescent="0.35">
      <c r="A278" s="1">
        <v>39512</v>
      </c>
      <c r="B278" s="6">
        <v>841657</v>
      </c>
      <c r="C278" s="6">
        <v>14895</v>
      </c>
      <c r="D278" s="6">
        <v>0</v>
      </c>
      <c r="E278" s="6">
        <v>9729</v>
      </c>
      <c r="F278" s="6">
        <v>4794</v>
      </c>
      <c r="G278" s="6">
        <v>98</v>
      </c>
      <c r="H278" s="6">
        <v>275</v>
      </c>
      <c r="I278" s="6">
        <v>40812</v>
      </c>
      <c r="J278" s="6">
        <v>780769</v>
      </c>
      <c r="K278" s="6">
        <v>3260</v>
      </c>
      <c r="L278" s="6"/>
      <c r="M278" s="6">
        <v>1921</v>
      </c>
      <c r="N278" s="6">
        <v>19461</v>
      </c>
      <c r="O278" s="6">
        <v>18458</v>
      </c>
      <c r="P278" s="6">
        <v>1632</v>
      </c>
      <c r="Q278" s="6">
        <v>39551</v>
      </c>
    </row>
    <row r="279" spans="1:17" x14ac:dyDescent="0.35">
      <c r="A279" s="1">
        <v>39519</v>
      </c>
      <c r="B279" s="6">
        <v>856900</v>
      </c>
      <c r="C279" s="6">
        <v>30612</v>
      </c>
      <c r="D279" s="6">
        <v>0</v>
      </c>
      <c r="E279" s="6">
        <v>25006</v>
      </c>
      <c r="F279" s="6">
        <v>5249</v>
      </c>
      <c r="G279" s="6">
        <v>96</v>
      </c>
      <c r="H279" s="6">
        <v>260</v>
      </c>
      <c r="I279" s="6">
        <v>40197</v>
      </c>
      <c r="J279" s="6">
        <v>781254</v>
      </c>
      <c r="K279" s="6">
        <v>2864</v>
      </c>
      <c r="L279" s="6"/>
      <c r="M279" s="6">
        <v>1974</v>
      </c>
      <c r="N279" s="6">
        <v>19474</v>
      </c>
      <c r="O279" s="6">
        <v>18458</v>
      </c>
      <c r="P279" s="6">
        <v>1733</v>
      </c>
      <c r="Q279" s="6">
        <v>39665</v>
      </c>
    </row>
    <row r="280" spans="1:17" x14ac:dyDescent="0.35">
      <c r="A280" s="1">
        <v>39526</v>
      </c>
      <c r="B280" s="6">
        <v>848510</v>
      </c>
      <c r="C280" s="6">
        <v>15925</v>
      </c>
      <c r="D280" s="6">
        <v>0</v>
      </c>
      <c r="E280" s="6">
        <v>10175</v>
      </c>
      <c r="F280" s="6">
        <v>5364</v>
      </c>
      <c r="G280" s="6">
        <v>99</v>
      </c>
      <c r="H280" s="6">
        <v>288</v>
      </c>
      <c r="I280" s="6">
        <v>46143</v>
      </c>
      <c r="J280" s="6">
        <v>781201</v>
      </c>
      <c r="K280" s="6">
        <v>3265</v>
      </c>
      <c r="L280" s="6"/>
      <c r="M280" s="6">
        <v>1976</v>
      </c>
      <c r="N280" s="6">
        <v>19528</v>
      </c>
      <c r="O280" s="6">
        <v>18458</v>
      </c>
      <c r="P280" s="6">
        <v>2150</v>
      </c>
      <c r="Q280" s="6">
        <v>40136</v>
      </c>
    </row>
    <row r="281" spans="1:17" x14ac:dyDescent="0.35">
      <c r="A281" s="1">
        <v>39533</v>
      </c>
      <c r="B281" s="6">
        <v>853153</v>
      </c>
      <c r="C281" s="6">
        <v>27011</v>
      </c>
      <c r="D281" s="6">
        <v>0</v>
      </c>
      <c r="E281" s="6">
        <v>21567</v>
      </c>
      <c r="F281" s="6">
        <v>4944</v>
      </c>
      <c r="G281" s="6">
        <v>239</v>
      </c>
      <c r="H281" s="6">
        <v>261</v>
      </c>
      <c r="I281" s="6">
        <v>40822</v>
      </c>
      <c r="J281" s="6">
        <v>780632</v>
      </c>
      <c r="K281" s="6">
        <v>2658</v>
      </c>
      <c r="L281" s="6"/>
      <c r="M281" s="6">
        <v>2030</v>
      </c>
      <c r="N281" s="6">
        <v>19546</v>
      </c>
      <c r="O281" s="6">
        <v>18458</v>
      </c>
      <c r="P281" s="6">
        <v>2808</v>
      </c>
      <c r="Q281" s="6">
        <v>40812</v>
      </c>
    </row>
    <row r="282" spans="1:17" x14ac:dyDescent="0.35">
      <c r="A282" s="1">
        <v>39540</v>
      </c>
      <c r="B282" s="6">
        <v>843762</v>
      </c>
      <c r="C282" s="6">
        <v>17840</v>
      </c>
      <c r="D282" s="6">
        <v>0</v>
      </c>
      <c r="E282" s="6">
        <v>11417</v>
      </c>
      <c r="F282" s="6">
        <v>6013</v>
      </c>
      <c r="G282" s="6">
        <v>98</v>
      </c>
      <c r="H282" s="6">
        <v>312</v>
      </c>
      <c r="I282" s="6">
        <v>41061</v>
      </c>
      <c r="J282" s="6">
        <v>779560</v>
      </c>
      <c r="K282" s="6">
        <v>3260</v>
      </c>
      <c r="L282" s="6"/>
      <c r="M282" s="6">
        <v>2041</v>
      </c>
      <c r="N282" s="6">
        <v>19548</v>
      </c>
      <c r="O282" s="6">
        <v>18471</v>
      </c>
      <c r="P282" s="6">
        <v>1927</v>
      </c>
      <c r="Q282" s="6">
        <v>39946</v>
      </c>
    </row>
    <row r="283" spans="1:17" x14ac:dyDescent="0.35">
      <c r="A283" s="1">
        <v>39547</v>
      </c>
      <c r="B283" s="6">
        <v>852417</v>
      </c>
      <c r="C283" s="6">
        <v>29609</v>
      </c>
      <c r="D283" s="6">
        <v>0</v>
      </c>
      <c r="E283" s="6">
        <v>25756</v>
      </c>
      <c r="F283" s="6">
        <v>3437</v>
      </c>
      <c r="G283" s="6">
        <v>100</v>
      </c>
      <c r="H283" s="6">
        <v>317</v>
      </c>
      <c r="I283" s="6">
        <v>38779</v>
      </c>
      <c r="J283" s="6">
        <v>778902</v>
      </c>
      <c r="K283" s="6">
        <v>3018</v>
      </c>
      <c r="L283" s="6"/>
      <c r="M283" s="6">
        <v>2109</v>
      </c>
      <c r="N283" s="6">
        <v>19551</v>
      </c>
      <c r="O283" s="6">
        <v>18471</v>
      </c>
      <c r="P283" s="6">
        <v>2590</v>
      </c>
      <c r="Q283" s="6">
        <v>40612</v>
      </c>
    </row>
    <row r="284" spans="1:17" x14ac:dyDescent="0.35">
      <c r="A284" s="1">
        <v>39554</v>
      </c>
      <c r="B284" s="6">
        <v>841870</v>
      </c>
      <c r="C284" s="6">
        <v>17769</v>
      </c>
      <c r="D284" s="6">
        <v>0</v>
      </c>
      <c r="E284" s="6">
        <v>12743</v>
      </c>
      <c r="F284" s="6">
        <v>4614</v>
      </c>
      <c r="G284" s="6">
        <v>97</v>
      </c>
      <c r="H284" s="6">
        <v>315</v>
      </c>
      <c r="I284" s="6">
        <v>40659</v>
      </c>
      <c r="J284" s="6">
        <v>777511</v>
      </c>
      <c r="K284" s="6">
        <v>3875</v>
      </c>
      <c r="L284" s="6"/>
      <c r="M284" s="6">
        <v>2056</v>
      </c>
      <c r="N284" s="6">
        <v>19585</v>
      </c>
      <c r="O284" s="6">
        <v>18471</v>
      </c>
      <c r="P284" s="6">
        <v>1977</v>
      </c>
      <c r="Q284" s="6">
        <v>40033</v>
      </c>
    </row>
    <row r="285" spans="1:17" x14ac:dyDescent="0.35">
      <c r="A285" s="1">
        <v>39561</v>
      </c>
      <c r="B285" s="6">
        <v>846150</v>
      </c>
      <c r="C285" s="6">
        <v>23090</v>
      </c>
      <c r="D285" s="6">
        <v>0</v>
      </c>
      <c r="E285" s="6">
        <v>17100</v>
      </c>
      <c r="F285" s="6">
        <v>5570</v>
      </c>
      <c r="G285" s="6">
        <v>118</v>
      </c>
      <c r="H285" s="6">
        <v>302</v>
      </c>
      <c r="I285" s="6">
        <v>39912</v>
      </c>
      <c r="J285" s="6">
        <v>776641</v>
      </c>
      <c r="K285" s="6">
        <v>4378</v>
      </c>
      <c r="L285" s="6"/>
      <c r="M285" s="6">
        <v>2129</v>
      </c>
      <c r="N285" s="6">
        <v>19603</v>
      </c>
      <c r="O285" s="6">
        <v>18472</v>
      </c>
      <c r="P285" s="6">
        <v>1557</v>
      </c>
      <c r="Q285" s="6">
        <v>39631</v>
      </c>
    </row>
    <row r="286" spans="1:17" x14ac:dyDescent="0.35">
      <c r="A286" s="1">
        <v>39568</v>
      </c>
      <c r="B286" s="6">
        <v>848600</v>
      </c>
      <c r="C286" s="6">
        <v>25645</v>
      </c>
      <c r="D286" s="6">
        <v>0</v>
      </c>
      <c r="E286" s="6">
        <v>20299</v>
      </c>
      <c r="F286" s="6">
        <v>4955</v>
      </c>
      <c r="G286" s="6">
        <v>106</v>
      </c>
      <c r="H286" s="6">
        <v>285</v>
      </c>
      <c r="I286" s="6">
        <v>40704</v>
      </c>
      <c r="J286" s="6">
        <v>777090</v>
      </c>
      <c r="K286" s="6">
        <v>3075</v>
      </c>
      <c r="L286" s="6"/>
      <c r="M286" s="6">
        <v>2085</v>
      </c>
      <c r="N286" s="6">
        <v>19606</v>
      </c>
      <c r="O286" s="6">
        <v>18476</v>
      </c>
      <c r="P286" s="6">
        <v>1449</v>
      </c>
      <c r="Q286" s="6">
        <v>39531</v>
      </c>
    </row>
    <row r="287" spans="1:17" x14ac:dyDescent="0.35">
      <c r="A287" s="1">
        <v>39575</v>
      </c>
      <c r="B287" s="6">
        <v>849126</v>
      </c>
      <c r="C287" s="6">
        <v>25463</v>
      </c>
      <c r="D287" s="6">
        <v>0</v>
      </c>
      <c r="E287" s="6">
        <v>19366</v>
      </c>
      <c r="F287" s="6">
        <v>5730</v>
      </c>
      <c r="G287" s="6">
        <v>96</v>
      </c>
      <c r="H287" s="6">
        <v>271</v>
      </c>
      <c r="I287" s="6">
        <v>39031</v>
      </c>
      <c r="J287" s="6">
        <v>779432</v>
      </c>
      <c r="K287" s="6">
        <v>3064</v>
      </c>
      <c r="L287" s="6"/>
      <c r="M287" s="6">
        <v>2137</v>
      </c>
      <c r="N287" s="6">
        <v>19623</v>
      </c>
      <c r="O287" s="6">
        <v>18479</v>
      </c>
      <c r="P287" s="6">
        <v>2000</v>
      </c>
      <c r="Q287" s="6">
        <v>40101</v>
      </c>
    </row>
    <row r="288" spans="1:17" x14ac:dyDescent="0.35">
      <c r="A288" s="1">
        <v>39582</v>
      </c>
      <c r="B288" s="6">
        <v>839647</v>
      </c>
      <c r="C288" s="6">
        <v>14959</v>
      </c>
      <c r="D288" s="6">
        <v>0</v>
      </c>
      <c r="E288" s="6">
        <v>10574</v>
      </c>
      <c r="F288" s="6">
        <v>4020</v>
      </c>
      <c r="G288" s="6">
        <v>97</v>
      </c>
      <c r="H288" s="6">
        <v>268</v>
      </c>
      <c r="I288" s="6">
        <v>39114</v>
      </c>
      <c r="J288" s="6">
        <v>780789</v>
      </c>
      <c r="K288" s="6">
        <v>2629</v>
      </c>
      <c r="L288" s="6"/>
      <c r="M288" s="6">
        <v>2157</v>
      </c>
      <c r="N288" s="6">
        <v>19861</v>
      </c>
      <c r="O288" s="6">
        <v>18479</v>
      </c>
      <c r="P288" s="6">
        <v>2189</v>
      </c>
      <c r="Q288" s="6">
        <v>40528</v>
      </c>
    </row>
    <row r="289" spans="1:17" x14ac:dyDescent="0.35">
      <c r="A289" s="1">
        <v>39589</v>
      </c>
      <c r="B289" s="6">
        <v>857538</v>
      </c>
      <c r="C289" s="6">
        <v>32557</v>
      </c>
      <c r="D289" s="6">
        <v>0</v>
      </c>
      <c r="E289" s="6">
        <v>27747</v>
      </c>
      <c r="F289" s="6">
        <v>4420</v>
      </c>
      <c r="G289" s="6">
        <v>98</v>
      </c>
      <c r="H289" s="6">
        <v>292</v>
      </c>
      <c r="I289" s="6">
        <v>37026</v>
      </c>
      <c r="J289" s="6">
        <v>783345</v>
      </c>
      <c r="K289" s="6">
        <v>2447</v>
      </c>
      <c r="L289" s="6"/>
      <c r="M289" s="6">
        <v>2163</v>
      </c>
      <c r="N289" s="6">
        <v>19923</v>
      </c>
      <c r="O289" s="6">
        <v>18479</v>
      </c>
      <c r="P289" s="6">
        <v>2547</v>
      </c>
      <c r="Q289" s="6">
        <v>40949</v>
      </c>
    </row>
    <row r="290" spans="1:17" x14ac:dyDescent="0.35">
      <c r="A290" s="1">
        <v>39596</v>
      </c>
      <c r="B290" s="6">
        <v>863545</v>
      </c>
      <c r="C290" s="6">
        <v>31661</v>
      </c>
      <c r="D290" s="6">
        <v>0</v>
      </c>
      <c r="E290" s="6">
        <v>26888</v>
      </c>
      <c r="F290" s="6">
        <v>4415</v>
      </c>
      <c r="G290" s="6">
        <v>98</v>
      </c>
      <c r="H290" s="6">
        <v>260</v>
      </c>
      <c r="I290" s="6">
        <v>38365</v>
      </c>
      <c r="J290" s="6">
        <v>787696</v>
      </c>
      <c r="K290" s="6">
        <v>3609</v>
      </c>
      <c r="L290" s="6"/>
      <c r="M290" s="6">
        <v>2214</v>
      </c>
      <c r="N290" s="6">
        <v>19914</v>
      </c>
      <c r="O290" s="6">
        <v>18479</v>
      </c>
      <c r="P290" s="6">
        <v>2117</v>
      </c>
      <c r="Q290" s="6">
        <v>40510</v>
      </c>
    </row>
    <row r="291" spans="1:17" x14ac:dyDescent="0.35">
      <c r="A291" s="1">
        <v>39603</v>
      </c>
      <c r="B291" s="6">
        <v>855688</v>
      </c>
      <c r="C291" s="6">
        <v>21383</v>
      </c>
      <c r="D291" s="6">
        <v>0</v>
      </c>
      <c r="E291" s="6">
        <v>15750</v>
      </c>
      <c r="F291" s="6">
        <v>5278</v>
      </c>
      <c r="G291" s="6">
        <v>98</v>
      </c>
      <c r="H291" s="6">
        <v>256</v>
      </c>
      <c r="I291" s="6">
        <v>42120</v>
      </c>
      <c r="J291" s="6">
        <v>787103</v>
      </c>
      <c r="K291" s="6">
        <v>2855</v>
      </c>
      <c r="L291" s="6"/>
      <c r="M291" s="6">
        <v>2229</v>
      </c>
      <c r="N291" s="6">
        <v>19923</v>
      </c>
      <c r="O291" s="6">
        <v>18486</v>
      </c>
      <c r="P291" s="6">
        <v>1842</v>
      </c>
      <c r="Q291" s="6">
        <v>40251</v>
      </c>
    </row>
    <row r="292" spans="1:17" x14ac:dyDescent="0.35">
      <c r="A292" s="1">
        <v>39610</v>
      </c>
      <c r="B292" s="6">
        <v>850247</v>
      </c>
      <c r="C292" s="6">
        <v>19107</v>
      </c>
      <c r="D292" s="6">
        <v>0</v>
      </c>
      <c r="E292" s="6">
        <v>14369</v>
      </c>
      <c r="F292" s="6">
        <v>4369</v>
      </c>
      <c r="G292" s="6">
        <v>100</v>
      </c>
      <c r="H292" s="6">
        <v>269</v>
      </c>
      <c r="I292" s="6">
        <v>39755</v>
      </c>
      <c r="J292" s="6">
        <v>786398</v>
      </c>
      <c r="K292" s="6">
        <v>2736</v>
      </c>
      <c r="L292" s="6"/>
      <c r="M292" s="6">
        <v>2252</v>
      </c>
      <c r="N292" s="6">
        <v>19931</v>
      </c>
      <c r="O292" s="6">
        <v>18486</v>
      </c>
      <c r="P292" s="6">
        <v>1946</v>
      </c>
      <c r="Q292" s="6">
        <v>40363</v>
      </c>
    </row>
    <row r="293" spans="1:17" x14ac:dyDescent="0.35">
      <c r="A293" s="1">
        <v>39617</v>
      </c>
      <c r="B293" s="6">
        <v>862077</v>
      </c>
      <c r="C293" s="6">
        <v>28688</v>
      </c>
      <c r="D293" s="6">
        <v>0</v>
      </c>
      <c r="E293" s="6">
        <v>24149</v>
      </c>
      <c r="F293" s="6">
        <v>4172</v>
      </c>
      <c r="G293" s="6">
        <v>101</v>
      </c>
      <c r="H293" s="6">
        <v>267</v>
      </c>
      <c r="I293" s="6">
        <v>41809</v>
      </c>
      <c r="J293" s="6">
        <v>786534</v>
      </c>
      <c r="K293" s="6">
        <v>2802</v>
      </c>
      <c r="L293" s="6"/>
      <c r="M293" s="6">
        <v>2244</v>
      </c>
      <c r="N293" s="6">
        <v>19878</v>
      </c>
      <c r="O293" s="6">
        <v>18486</v>
      </c>
      <c r="P293" s="6">
        <v>1864</v>
      </c>
      <c r="Q293" s="6">
        <v>40227</v>
      </c>
    </row>
    <row r="294" spans="1:17" x14ac:dyDescent="0.35">
      <c r="A294" s="1">
        <v>39624</v>
      </c>
      <c r="B294" s="6">
        <v>852326</v>
      </c>
      <c r="C294" s="6">
        <v>17387</v>
      </c>
      <c r="D294" s="6">
        <v>0</v>
      </c>
      <c r="E294" s="6">
        <v>12833</v>
      </c>
      <c r="F294" s="6">
        <v>4208</v>
      </c>
      <c r="G294" s="6">
        <v>100</v>
      </c>
      <c r="H294" s="6">
        <v>246</v>
      </c>
      <c r="I294" s="6">
        <v>42049</v>
      </c>
      <c r="J294" s="6">
        <v>787963</v>
      </c>
      <c r="K294" s="6">
        <v>2628</v>
      </c>
      <c r="L294" s="6"/>
      <c r="M294" s="6">
        <v>2298</v>
      </c>
      <c r="N294" s="6">
        <v>19877</v>
      </c>
      <c r="O294" s="6">
        <v>18486</v>
      </c>
      <c r="P294" s="6">
        <v>2024</v>
      </c>
      <c r="Q294" s="6">
        <v>40387</v>
      </c>
    </row>
    <row r="295" spans="1:17" x14ac:dyDescent="0.35">
      <c r="A295" s="1">
        <v>39631</v>
      </c>
      <c r="B295" s="6">
        <v>862080</v>
      </c>
      <c r="C295" s="6">
        <v>20730</v>
      </c>
      <c r="D295" s="6">
        <v>0</v>
      </c>
      <c r="E295" s="6">
        <v>16232</v>
      </c>
      <c r="F295" s="6">
        <v>4139</v>
      </c>
      <c r="G295" s="6">
        <v>109</v>
      </c>
      <c r="H295" s="6">
        <v>251</v>
      </c>
      <c r="I295" s="6">
        <v>41091</v>
      </c>
      <c r="J295" s="6">
        <v>795095</v>
      </c>
      <c r="K295" s="6">
        <v>3393</v>
      </c>
      <c r="L295" s="6"/>
      <c r="M295" s="6">
        <v>1772</v>
      </c>
      <c r="N295" s="6">
        <v>19876</v>
      </c>
      <c r="O295" s="6">
        <v>18493</v>
      </c>
      <c r="P295" s="6">
        <v>2512</v>
      </c>
      <c r="Q295" s="6">
        <v>40882</v>
      </c>
    </row>
    <row r="296" spans="1:17" x14ac:dyDescent="0.35">
      <c r="A296" s="1">
        <v>39638</v>
      </c>
      <c r="B296" s="6">
        <v>857742</v>
      </c>
      <c r="C296" s="6">
        <v>15693</v>
      </c>
      <c r="D296" s="6">
        <v>0</v>
      </c>
      <c r="E296" s="6">
        <v>11010</v>
      </c>
      <c r="F296" s="6">
        <v>4355</v>
      </c>
      <c r="G296" s="6">
        <v>100</v>
      </c>
      <c r="H296" s="6">
        <v>227</v>
      </c>
      <c r="I296" s="6">
        <v>41276</v>
      </c>
      <c r="J296" s="6">
        <v>795659</v>
      </c>
      <c r="K296" s="6">
        <v>3231</v>
      </c>
      <c r="L296" s="6"/>
      <c r="M296" s="6">
        <v>1883</v>
      </c>
      <c r="N296" s="6">
        <v>19880</v>
      </c>
      <c r="O296" s="6">
        <v>18493</v>
      </c>
      <c r="P296" s="6">
        <v>1918</v>
      </c>
      <c r="Q296" s="6">
        <v>40291</v>
      </c>
    </row>
    <row r="297" spans="1:17" x14ac:dyDescent="0.35">
      <c r="A297" s="1">
        <v>39645</v>
      </c>
      <c r="B297" s="6">
        <v>869867</v>
      </c>
      <c r="C297" s="6">
        <v>28403</v>
      </c>
      <c r="D297" s="6">
        <v>0</v>
      </c>
      <c r="E297" s="6">
        <v>23929</v>
      </c>
      <c r="F297" s="6">
        <v>4036</v>
      </c>
      <c r="G297" s="6">
        <v>102</v>
      </c>
      <c r="H297" s="6">
        <v>336</v>
      </c>
      <c r="I297" s="6">
        <v>43007</v>
      </c>
      <c r="J297" s="6">
        <v>793421</v>
      </c>
      <c r="K297" s="6">
        <v>3139</v>
      </c>
      <c r="L297" s="6"/>
      <c r="M297" s="6">
        <v>1898</v>
      </c>
      <c r="N297" s="6">
        <v>19884</v>
      </c>
      <c r="O297" s="6">
        <v>18493</v>
      </c>
      <c r="P297" s="6">
        <v>2437</v>
      </c>
      <c r="Q297" s="6">
        <v>40814</v>
      </c>
    </row>
    <row r="298" spans="1:17" x14ac:dyDescent="0.35">
      <c r="A298" s="1">
        <v>39652</v>
      </c>
      <c r="B298" s="6">
        <v>859449</v>
      </c>
      <c r="C298" s="6">
        <v>18111</v>
      </c>
      <c r="D298" s="6">
        <v>0</v>
      </c>
      <c r="E298" s="6">
        <v>10968</v>
      </c>
      <c r="F298" s="6">
        <v>6720</v>
      </c>
      <c r="G298" s="6">
        <v>101</v>
      </c>
      <c r="H298" s="6">
        <v>322</v>
      </c>
      <c r="I298" s="6">
        <v>42149</v>
      </c>
      <c r="J298" s="6">
        <v>794244</v>
      </c>
      <c r="K298" s="6">
        <v>2951</v>
      </c>
      <c r="L298" s="6"/>
      <c r="M298" s="6">
        <v>1994</v>
      </c>
      <c r="N298" s="6">
        <v>19904</v>
      </c>
      <c r="O298" s="6">
        <v>18494</v>
      </c>
      <c r="P298" s="6">
        <v>1818</v>
      </c>
      <c r="Q298" s="6">
        <v>40216</v>
      </c>
    </row>
    <row r="299" spans="1:17" x14ac:dyDescent="0.35">
      <c r="A299" s="1">
        <v>39659</v>
      </c>
      <c r="B299" s="6">
        <v>878242</v>
      </c>
      <c r="C299" s="6">
        <v>33417</v>
      </c>
      <c r="D299" s="6">
        <v>0</v>
      </c>
      <c r="E299" s="6">
        <v>28712</v>
      </c>
      <c r="F299" s="6">
        <v>4271</v>
      </c>
      <c r="G299" s="6">
        <v>101</v>
      </c>
      <c r="H299" s="6">
        <v>333</v>
      </c>
      <c r="I299" s="6">
        <v>44463</v>
      </c>
      <c r="J299" s="6">
        <v>795563</v>
      </c>
      <c r="K299" s="6">
        <v>2736</v>
      </c>
      <c r="L299" s="6"/>
      <c r="M299" s="6">
        <v>2064</v>
      </c>
      <c r="N299" s="6">
        <v>19937</v>
      </c>
      <c r="O299" s="6">
        <v>18501</v>
      </c>
      <c r="P299" s="6">
        <v>1946</v>
      </c>
      <c r="Q299" s="6">
        <v>40383</v>
      </c>
    </row>
    <row r="300" spans="1:17" x14ac:dyDescent="0.35">
      <c r="A300" s="1">
        <v>39666</v>
      </c>
      <c r="B300" s="6">
        <v>861395</v>
      </c>
      <c r="C300" s="6">
        <v>16065</v>
      </c>
      <c r="D300" s="6">
        <v>0</v>
      </c>
      <c r="E300" s="6">
        <v>10862</v>
      </c>
      <c r="F300" s="6">
        <v>4798</v>
      </c>
      <c r="G300" s="6">
        <v>101</v>
      </c>
      <c r="H300" s="6">
        <v>303</v>
      </c>
      <c r="I300" s="6">
        <v>43198</v>
      </c>
      <c r="J300" s="6">
        <v>795848</v>
      </c>
      <c r="K300" s="6">
        <v>4169</v>
      </c>
      <c r="L300" s="6"/>
      <c r="M300" s="6">
        <v>2114</v>
      </c>
      <c r="N300" s="6">
        <v>19937</v>
      </c>
      <c r="O300" s="6">
        <v>18502</v>
      </c>
      <c r="P300" s="6">
        <v>1875</v>
      </c>
      <c r="Q300" s="6">
        <v>40315</v>
      </c>
    </row>
    <row r="301" spans="1:17" x14ac:dyDescent="0.35">
      <c r="A301" s="1">
        <v>39673</v>
      </c>
      <c r="B301" s="6">
        <v>874514</v>
      </c>
      <c r="C301" s="6">
        <v>30480</v>
      </c>
      <c r="D301" s="6">
        <v>0</v>
      </c>
      <c r="E301" s="6">
        <v>25345</v>
      </c>
      <c r="F301" s="6">
        <v>4715</v>
      </c>
      <c r="G301" s="6">
        <v>101</v>
      </c>
      <c r="H301" s="6">
        <v>319</v>
      </c>
      <c r="I301" s="6">
        <v>44172</v>
      </c>
      <c r="J301" s="6">
        <v>795101</v>
      </c>
      <c r="K301" s="6">
        <v>2592</v>
      </c>
      <c r="L301" s="6"/>
      <c r="M301" s="6">
        <v>2170</v>
      </c>
      <c r="N301" s="6">
        <v>19935</v>
      </c>
      <c r="O301" s="6">
        <v>18505</v>
      </c>
      <c r="P301" s="6">
        <v>1678</v>
      </c>
      <c r="Q301" s="6">
        <v>40117</v>
      </c>
    </row>
    <row r="302" spans="1:17" x14ac:dyDescent="0.35">
      <c r="A302" s="1">
        <v>39680</v>
      </c>
      <c r="B302" s="6">
        <v>858175</v>
      </c>
      <c r="C302" s="6">
        <v>16051</v>
      </c>
      <c r="D302" s="6">
        <v>0</v>
      </c>
      <c r="E302" s="6">
        <v>10463</v>
      </c>
      <c r="F302" s="6">
        <v>5177</v>
      </c>
      <c r="G302" s="6">
        <v>102</v>
      </c>
      <c r="H302" s="6">
        <v>310</v>
      </c>
      <c r="I302" s="6">
        <v>43606</v>
      </c>
      <c r="J302" s="6">
        <v>793703</v>
      </c>
      <c r="K302" s="6">
        <v>2632</v>
      </c>
      <c r="L302" s="6"/>
      <c r="M302" s="6">
        <v>2183</v>
      </c>
      <c r="N302" s="6">
        <v>20189</v>
      </c>
      <c r="O302" s="6">
        <v>18507</v>
      </c>
      <c r="P302" s="6">
        <v>1740</v>
      </c>
      <c r="Q302" s="6">
        <v>40436</v>
      </c>
    </row>
    <row r="303" spans="1:17" x14ac:dyDescent="0.35">
      <c r="A303" s="1">
        <v>39687</v>
      </c>
      <c r="B303" s="6">
        <v>869193</v>
      </c>
      <c r="C303" s="6">
        <v>24850</v>
      </c>
      <c r="D303" s="6">
        <v>0</v>
      </c>
      <c r="E303" s="6">
        <v>19377</v>
      </c>
      <c r="F303" s="6">
        <v>4989</v>
      </c>
      <c r="G303" s="6">
        <v>100</v>
      </c>
      <c r="H303" s="6">
        <v>385</v>
      </c>
      <c r="I303" s="6">
        <v>43768</v>
      </c>
      <c r="J303" s="6">
        <v>795694</v>
      </c>
      <c r="K303" s="6">
        <v>2614</v>
      </c>
      <c r="L303" s="6"/>
      <c r="M303" s="6">
        <v>2267</v>
      </c>
      <c r="N303" s="6">
        <v>20189</v>
      </c>
      <c r="O303" s="6">
        <v>18509</v>
      </c>
      <c r="P303" s="6">
        <v>2091</v>
      </c>
      <c r="Q303" s="6">
        <v>40789</v>
      </c>
    </row>
    <row r="304" spans="1:17" x14ac:dyDescent="0.35">
      <c r="A304" s="1">
        <v>39694</v>
      </c>
      <c r="B304" s="6">
        <v>864450</v>
      </c>
      <c r="C304" s="6">
        <v>16959</v>
      </c>
      <c r="D304" s="6">
        <v>0</v>
      </c>
      <c r="E304" s="6">
        <v>10936</v>
      </c>
      <c r="F304" s="6">
        <v>5606</v>
      </c>
      <c r="G304" s="6">
        <v>100</v>
      </c>
      <c r="H304" s="6">
        <v>317</v>
      </c>
      <c r="I304" s="6">
        <v>41756</v>
      </c>
      <c r="J304" s="6">
        <v>799719</v>
      </c>
      <c r="K304" s="6">
        <v>3729</v>
      </c>
      <c r="L304" s="6"/>
      <c r="M304" s="6">
        <v>2287</v>
      </c>
      <c r="N304" s="6">
        <v>20191</v>
      </c>
      <c r="O304" s="6">
        <v>18511</v>
      </c>
      <c r="P304" s="6">
        <v>2100</v>
      </c>
      <c r="Q304" s="6">
        <v>40803</v>
      </c>
    </row>
    <row r="305" spans="1:17" x14ac:dyDescent="0.35">
      <c r="A305" s="1">
        <v>39701</v>
      </c>
      <c r="B305" s="6">
        <v>885264</v>
      </c>
      <c r="C305" s="6">
        <v>38295</v>
      </c>
      <c r="D305" s="6">
        <v>0</v>
      </c>
      <c r="E305" s="6">
        <v>32068</v>
      </c>
      <c r="F305" s="6">
        <v>5412</v>
      </c>
      <c r="G305" s="6">
        <v>522</v>
      </c>
      <c r="H305" s="6">
        <v>292</v>
      </c>
      <c r="I305" s="6">
        <v>44296</v>
      </c>
      <c r="J305" s="6">
        <v>797602</v>
      </c>
      <c r="K305" s="6">
        <v>2725</v>
      </c>
      <c r="L305" s="6"/>
      <c r="M305" s="6">
        <v>2346</v>
      </c>
      <c r="N305" s="6">
        <v>20202</v>
      </c>
      <c r="O305" s="6">
        <v>18514</v>
      </c>
      <c r="P305" s="6">
        <v>1745</v>
      </c>
      <c r="Q305" s="6">
        <v>40461</v>
      </c>
    </row>
    <row r="306" spans="1:17" x14ac:dyDescent="0.35">
      <c r="A306" s="1">
        <v>39708</v>
      </c>
      <c r="B306" s="6">
        <v>953758</v>
      </c>
      <c r="C306" s="6">
        <v>106045</v>
      </c>
      <c r="D306" s="6">
        <v>0</v>
      </c>
      <c r="E306" s="6">
        <v>89102</v>
      </c>
      <c r="F306" s="6">
        <v>5512</v>
      </c>
      <c r="G306" s="6">
        <v>102</v>
      </c>
      <c r="H306" s="6">
        <v>11330</v>
      </c>
      <c r="I306" s="6">
        <v>46633</v>
      </c>
      <c r="J306" s="6">
        <v>796094</v>
      </c>
      <c r="K306" s="6">
        <v>2614</v>
      </c>
      <c r="L306" s="6"/>
      <c r="M306" s="6">
        <v>2372</v>
      </c>
      <c r="N306" s="6">
        <v>20211</v>
      </c>
      <c r="O306" s="6">
        <v>18516</v>
      </c>
      <c r="P306" s="6">
        <v>2608</v>
      </c>
      <c r="Q306" s="6">
        <v>41335</v>
      </c>
    </row>
    <row r="307" spans="1:17" x14ac:dyDescent="0.35">
      <c r="A307" s="1">
        <v>39715</v>
      </c>
      <c r="B307" s="6">
        <v>1170066</v>
      </c>
      <c r="C307" s="6">
        <v>275076</v>
      </c>
      <c r="D307" s="6">
        <v>0</v>
      </c>
      <c r="E307" s="6">
        <v>95301</v>
      </c>
      <c r="F307" s="6">
        <v>5175</v>
      </c>
      <c r="G307" s="6">
        <v>150</v>
      </c>
      <c r="H307" s="6">
        <v>14644</v>
      </c>
      <c r="I307" s="6">
        <v>90673</v>
      </c>
      <c r="J307" s="6">
        <v>799422</v>
      </c>
      <c r="K307" s="6">
        <v>2380</v>
      </c>
      <c r="L307" s="6"/>
      <c r="M307" s="6">
        <v>2514</v>
      </c>
      <c r="N307" s="6">
        <v>20236</v>
      </c>
      <c r="O307" s="6">
        <v>18516</v>
      </c>
      <c r="P307" s="6">
        <v>3008</v>
      </c>
      <c r="Q307" s="6">
        <v>41759</v>
      </c>
    </row>
    <row r="308" spans="1:17" x14ac:dyDescent="0.35">
      <c r="A308" s="1">
        <v>39722</v>
      </c>
      <c r="B308" s="6">
        <v>1462719</v>
      </c>
      <c r="C308" s="6">
        <v>560424</v>
      </c>
      <c r="D308" s="6">
        <v>0</v>
      </c>
      <c r="E308" s="6">
        <v>179291</v>
      </c>
      <c r="F308" s="6">
        <v>5278</v>
      </c>
      <c r="G308" s="6">
        <v>137</v>
      </c>
      <c r="H308" s="6">
        <v>31245</v>
      </c>
      <c r="I308" s="6">
        <v>93063</v>
      </c>
      <c r="J308" s="6">
        <v>803979</v>
      </c>
      <c r="K308" s="6">
        <v>2769</v>
      </c>
      <c r="L308" s="6"/>
      <c r="M308" s="6">
        <v>2484</v>
      </c>
      <c r="N308" s="6">
        <v>20312</v>
      </c>
      <c r="O308" s="6">
        <v>18520</v>
      </c>
      <c r="P308" s="6">
        <v>2438</v>
      </c>
      <c r="Q308" s="6">
        <v>41270</v>
      </c>
    </row>
    <row r="309" spans="1:17" x14ac:dyDescent="0.35">
      <c r="A309" s="1">
        <v>39729</v>
      </c>
      <c r="B309" s="6">
        <v>1549600</v>
      </c>
      <c r="C309" s="6">
        <v>655226</v>
      </c>
      <c r="D309" s="6">
        <v>0</v>
      </c>
      <c r="E309" s="6">
        <v>183314</v>
      </c>
      <c r="F309" s="6">
        <v>5544</v>
      </c>
      <c r="G309" s="6">
        <v>101</v>
      </c>
      <c r="H309" s="6">
        <v>7021</v>
      </c>
      <c r="I309" s="6">
        <v>77349</v>
      </c>
      <c r="J309" s="6">
        <v>811692</v>
      </c>
      <c r="K309" s="6">
        <v>2736</v>
      </c>
      <c r="L309" s="6"/>
      <c r="M309" s="6">
        <v>2597</v>
      </c>
      <c r="N309" s="6">
        <v>20312</v>
      </c>
      <c r="O309" s="6">
        <v>18523</v>
      </c>
      <c r="P309" s="6">
        <v>3153</v>
      </c>
      <c r="Q309" s="6">
        <v>41988</v>
      </c>
    </row>
    <row r="310" spans="1:17" x14ac:dyDescent="0.35">
      <c r="A310" s="1">
        <v>39736</v>
      </c>
      <c r="B310" s="6">
        <v>1728951</v>
      </c>
      <c r="C310" s="6">
        <v>795712</v>
      </c>
      <c r="D310" s="6">
        <v>0</v>
      </c>
      <c r="E310" s="6">
        <v>271881</v>
      </c>
      <c r="F310" s="6">
        <v>23983</v>
      </c>
      <c r="G310" s="6">
        <v>190</v>
      </c>
      <c r="H310" s="6">
        <v>529</v>
      </c>
      <c r="I310" s="6">
        <v>107819</v>
      </c>
      <c r="J310" s="6">
        <v>818498</v>
      </c>
      <c r="K310" s="6">
        <v>4044</v>
      </c>
      <c r="L310" s="6"/>
      <c r="M310" s="6">
        <v>2878</v>
      </c>
      <c r="N310" s="6">
        <v>20316</v>
      </c>
      <c r="O310" s="6">
        <v>18525</v>
      </c>
      <c r="P310" s="6">
        <v>3016</v>
      </c>
      <c r="Q310" s="6">
        <v>41858</v>
      </c>
    </row>
    <row r="311" spans="1:17" x14ac:dyDescent="0.35">
      <c r="A311" s="1">
        <v>39743</v>
      </c>
      <c r="B311" s="6">
        <v>1762743</v>
      </c>
      <c r="C311" s="6">
        <v>842202</v>
      </c>
      <c r="D311" s="6">
        <v>0</v>
      </c>
      <c r="E311" s="6">
        <v>226903</v>
      </c>
      <c r="F311" s="6">
        <v>55625</v>
      </c>
      <c r="G311" s="6">
        <v>154</v>
      </c>
      <c r="H311" s="6">
        <v>533</v>
      </c>
      <c r="I311" s="6">
        <v>95987</v>
      </c>
      <c r="J311" s="6">
        <v>819896</v>
      </c>
      <c r="K311" s="6">
        <v>2358</v>
      </c>
      <c r="L311" s="6"/>
      <c r="M311" s="6">
        <v>2301</v>
      </c>
      <c r="N311" s="6">
        <v>20317</v>
      </c>
      <c r="O311" s="6">
        <v>17696</v>
      </c>
      <c r="P311" s="6">
        <v>1845</v>
      </c>
      <c r="Q311" s="6">
        <v>39859</v>
      </c>
    </row>
    <row r="312" spans="1:17" x14ac:dyDescent="0.35">
      <c r="A312" s="1">
        <v>39750</v>
      </c>
      <c r="B312" s="6">
        <v>1928668</v>
      </c>
      <c r="C312" s="6">
        <v>1005698</v>
      </c>
      <c r="D312" s="6">
        <v>0</v>
      </c>
      <c r="E312" s="6">
        <v>425972</v>
      </c>
      <c r="F312" s="6">
        <v>19484</v>
      </c>
      <c r="G312" s="6">
        <v>187</v>
      </c>
      <c r="H312" s="6">
        <v>1192</v>
      </c>
      <c r="I312" s="6">
        <v>94655</v>
      </c>
      <c r="J312" s="6">
        <v>823713</v>
      </c>
      <c r="K312" s="6">
        <v>2317</v>
      </c>
      <c r="L312" s="6"/>
      <c r="M312" s="6">
        <v>2286</v>
      </c>
      <c r="N312" s="6">
        <v>20314</v>
      </c>
      <c r="O312" s="6">
        <v>18335</v>
      </c>
      <c r="P312" s="6">
        <v>1769</v>
      </c>
      <c r="Q312" s="6">
        <v>40418</v>
      </c>
    </row>
    <row r="313" spans="1:17" x14ac:dyDescent="0.35">
      <c r="A313" s="1">
        <v>39757</v>
      </c>
      <c r="B313" s="6">
        <v>2033049</v>
      </c>
      <c r="C313" s="6">
        <v>1104130</v>
      </c>
      <c r="D313" s="6">
        <v>0</v>
      </c>
      <c r="E313" s="6">
        <v>503590</v>
      </c>
      <c r="F313" s="6">
        <v>18652</v>
      </c>
      <c r="G313" s="6">
        <v>229</v>
      </c>
      <c r="H313" s="6">
        <v>22808</v>
      </c>
      <c r="I313" s="6">
        <v>96663</v>
      </c>
      <c r="J313" s="6">
        <v>826880</v>
      </c>
      <c r="K313" s="6">
        <v>2983</v>
      </c>
      <c r="L313" s="6"/>
      <c r="M313" s="6">
        <v>2393</v>
      </c>
      <c r="N313" s="6">
        <v>20364</v>
      </c>
      <c r="O313" s="6">
        <v>18532</v>
      </c>
      <c r="P313" s="6">
        <v>2261</v>
      </c>
      <c r="Q313" s="6">
        <v>41157</v>
      </c>
    </row>
    <row r="314" spans="1:17" x14ac:dyDescent="0.35">
      <c r="A314" s="1">
        <v>39764</v>
      </c>
      <c r="B314" s="6">
        <v>2170947</v>
      </c>
      <c r="C314" s="6">
        <v>1234931</v>
      </c>
      <c r="D314" s="6">
        <v>0</v>
      </c>
      <c r="E314" s="6">
        <v>594353</v>
      </c>
      <c r="F314" s="6">
        <v>52985</v>
      </c>
      <c r="G314" s="6">
        <v>434</v>
      </c>
      <c r="H314" s="6">
        <v>28267</v>
      </c>
      <c r="I314" s="6">
        <v>102318</v>
      </c>
      <c r="J314" s="6">
        <v>828448</v>
      </c>
      <c r="K314" s="6">
        <v>2915</v>
      </c>
      <c r="L314" s="6"/>
      <c r="M314" s="6">
        <v>2335</v>
      </c>
      <c r="N314" s="6">
        <v>20372</v>
      </c>
      <c r="O314" s="6">
        <v>18534</v>
      </c>
      <c r="P314" s="6">
        <v>2998</v>
      </c>
      <c r="Q314" s="6">
        <v>41905</v>
      </c>
    </row>
    <row r="315" spans="1:17" x14ac:dyDescent="0.35">
      <c r="A315" s="1">
        <v>39771</v>
      </c>
      <c r="B315" s="6">
        <v>2146145</v>
      </c>
      <c r="C315" s="6">
        <v>1209231</v>
      </c>
      <c r="D315" s="6">
        <v>0</v>
      </c>
      <c r="E315" s="6">
        <v>630492</v>
      </c>
      <c r="F315" s="6">
        <v>68457</v>
      </c>
      <c r="G315" s="6">
        <v>183</v>
      </c>
      <c r="H315" s="6">
        <v>1143</v>
      </c>
      <c r="I315" s="6">
        <v>102909</v>
      </c>
      <c r="J315" s="6">
        <v>828617</v>
      </c>
      <c r="K315" s="6">
        <v>2742</v>
      </c>
      <c r="L315" s="6"/>
      <c r="M315" s="6">
        <v>2645</v>
      </c>
      <c r="N315" s="6">
        <v>20373</v>
      </c>
      <c r="O315" s="6">
        <v>17166</v>
      </c>
      <c r="P315" s="6">
        <v>3453</v>
      </c>
      <c r="Q315" s="6">
        <v>40992</v>
      </c>
    </row>
    <row r="316" spans="1:17" x14ac:dyDescent="0.35">
      <c r="A316" s="1">
        <v>39778</v>
      </c>
      <c r="B316" s="6">
        <v>2063231</v>
      </c>
      <c r="C316" s="6">
        <v>1117260</v>
      </c>
      <c r="D316" s="6">
        <v>0</v>
      </c>
      <c r="E316" s="6">
        <v>611195</v>
      </c>
      <c r="F316" s="6">
        <v>17355</v>
      </c>
      <c r="G316" s="6">
        <v>187</v>
      </c>
      <c r="H316" s="6">
        <v>9470</v>
      </c>
      <c r="I316" s="6">
        <v>99761</v>
      </c>
      <c r="J316" s="6">
        <v>835083</v>
      </c>
      <c r="K316" s="6">
        <v>2611</v>
      </c>
      <c r="L316" s="6"/>
      <c r="M316" s="6">
        <v>8517</v>
      </c>
      <c r="N316" s="6">
        <v>20871</v>
      </c>
      <c r="O316" s="6">
        <v>17170</v>
      </c>
      <c r="P316" s="6">
        <v>4844</v>
      </c>
      <c r="Q316" s="6">
        <v>42886</v>
      </c>
    </row>
    <row r="317" spans="1:17" x14ac:dyDescent="0.35">
      <c r="A317" s="1">
        <v>39785</v>
      </c>
      <c r="B317" s="6">
        <v>2094108</v>
      </c>
      <c r="C317" s="6">
        <v>1155047</v>
      </c>
      <c r="D317" s="6">
        <v>0</v>
      </c>
      <c r="E317" s="6">
        <v>655179</v>
      </c>
      <c r="F317" s="6">
        <v>57345</v>
      </c>
      <c r="G317" s="6">
        <v>186</v>
      </c>
      <c r="H317" s="6">
        <v>8230</v>
      </c>
      <c r="I317" s="6">
        <v>91994</v>
      </c>
      <c r="J317" s="6">
        <v>835829</v>
      </c>
      <c r="K317" s="6">
        <v>2429</v>
      </c>
      <c r="L317" s="6"/>
      <c r="M317" s="6">
        <v>8810</v>
      </c>
      <c r="N317" s="6">
        <v>20862</v>
      </c>
      <c r="O317" s="6">
        <v>17175</v>
      </c>
      <c r="P317" s="6">
        <v>4779</v>
      </c>
      <c r="Q317" s="6">
        <v>42815</v>
      </c>
    </row>
    <row r="318" spans="1:17" x14ac:dyDescent="0.35">
      <c r="A318" s="1">
        <v>39792</v>
      </c>
      <c r="B318" s="6">
        <v>2206746</v>
      </c>
      <c r="C318" s="6">
        <v>1267649</v>
      </c>
      <c r="D318" s="6">
        <v>0</v>
      </c>
      <c r="E318" s="6">
        <v>777842</v>
      </c>
      <c r="F318" s="6">
        <v>41646</v>
      </c>
      <c r="G318" s="6">
        <v>188</v>
      </c>
      <c r="H318" s="6">
        <v>43850</v>
      </c>
      <c r="I318" s="6">
        <v>92092</v>
      </c>
      <c r="J318" s="6">
        <v>837563</v>
      </c>
      <c r="K318" s="6">
        <v>2325</v>
      </c>
      <c r="L318" s="6"/>
      <c r="M318" s="6">
        <v>7117</v>
      </c>
      <c r="N318" s="6">
        <v>21009</v>
      </c>
      <c r="O318" s="6">
        <v>17180</v>
      </c>
      <c r="P318" s="6">
        <v>5077</v>
      </c>
      <c r="Q318" s="6">
        <v>43267</v>
      </c>
    </row>
    <row r="319" spans="1:17" x14ac:dyDescent="0.35">
      <c r="A319" s="1">
        <v>39799</v>
      </c>
      <c r="B319" s="6">
        <v>2209679</v>
      </c>
      <c r="C319" s="6">
        <v>1286877</v>
      </c>
      <c r="D319" s="6">
        <v>0</v>
      </c>
      <c r="E319" s="6">
        <v>801742</v>
      </c>
      <c r="F319" s="6">
        <v>120443</v>
      </c>
      <c r="G319" s="6">
        <v>190</v>
      </c>
      <c r="H319" s="6">
        <v>325</v>
      </c>
      <c r="I319" s="6">
        <v>71928</v>
      </c>
      <c r="J319" s="6">
        <v>840741</v>
      </c>
      <c r="K319" s="6">
        <v>2409</v>
      </c>
      <c r="L319" s="6"/>
      <c r="M319" s="6">
        <v>7724</v>
      </c>
      <c r="N319" s="6">
        <v>21070</v>
      </c>
      <c r="O319" s="6">
        <v>17185</v>
      </c>
      <c r="P319" s="6">
        <v>7049</v>
      </c>
      <c r="Q319" s="6">
        <v>45304</v>
      </c>
    </row>
    <row r="320" spans="1:17" x14ac:dyDescent="0.35">
      <c r="A320" s="1">
        <v>39806</v>
      </c>
      <c r="B320" s="6">
        <v>2189794</v>
      </c>
      <c r="C320" s="6">
        <v>1241984</v>
      </c>
      <c r="D320" s="6">
        <v>0</v>
      </c>
      <c r="E320" s="6">
        <v>819404</v>
      </c>
      <c r="F320" s="6">
        <v>118058</v>
      </c>
      <c r="G320" s="6">
        <v>1190</v>
      </c>
      <c r="H320" s="6">
        <v>14085</v>
      </c>
      <c r="I320" s="6">
        <v>88317</v>
      </c>
      <c r="J320" s="6">
        <v>849716</v>
      </c>
      <c r="K320" s="6">
        <v>2537</v>
      </c>
      <c r="L320" s="6"/>
      <c r="M320" s="6">
        <v>7239</v>
      </c>
      <c r="N320" s="6">
        <v>21071</v>
      </c>
      <c r="O320" s="6">
        <v>16846</v>
      </c>
      <c r="P320" s="6">
        <v>4600</v>
      </c>
      <c r="Q320" s="6">
        <v>42517</v>
      </c>
    </row>
    <row r="321" spans="1:17" x14ac:dyDescent="0.35">
      <c r="A321" s="1">
        <v>39813</v>
      </c>
      <c r="B321" s="6">
        <v>2197305</v>
      </c>
      <c r="C321" s="6">
        <v>1248034</v>
      </c>
      <c r="D321" s="6">
        <v>0</v>
      </c>
      <c r="E321" s="6">
        <v>860000</v>
      </c>
      <c r="F321" s="6">
        <v>106123</v>
      </c>
      <c r="G321" s="6">
        <v>1365</v>
      </c>
      <c r="H321" s="6">
        <v>21221</v>
      </c>
      <c r="I321" s="6">
        <v>88352</v>
      </c>
      <c r="J321" s="6">
        <v>853168</v>
      </c>
      <c r="K321" s="6">
        <v>2471</v>
      </c>
      <c r="L321" s="6"/>
      <c r="M321" s="6">
        <v>5281</v>
      </c>
      <c r="N321" s="6">
        <v>21076</v>
      </c>
      <c r="O321" s="6">
        <v>21076</v>
      </c>
      <c r="P321" s="6">
        <v>0</v>
      </c>
      <c r="Q321" s="6">
        <v>42152</v>
      </c>
    </row>
    <row r="322" spans="1:17" x14ac:dyDescent="0.35">
      <c r="A322" s="1">
        <v>39820</v>
      </c>
      <c r="B322" s="6">
        <v>2079109</v>
      </c>
      <c r="C322" s="6">
        <v>1133690</v>
      </c>
      <c r="D322" s="6">
        <v>0</v>
      </c>
      <c r="E322" s="6">
        <v>846140</v>
      </c>
      <c r="F322" s="6">
        <v>62686</v>
      </c>
      <c r="G322" s="6">
        <v>194</v>
      </c>
      <c r="H322" s="6">
        <v>254</v>
      </c>
      <c r="I322" s="6">
        <v>88913</v>
      </c>
      <c r="J322" s="6">
        <v>847956</v>
      </c>
      <c r="K322" s="6">
        <v>3209</v>
      </c>
      <c r="L322" s="6"/>
      <c r="M322" s="6">
        <v>5341</v>
      </c>
      <c r="N322" s="6">
        <v>21077</v>
      </c>
      <c r="O322" s="6">
        <v>20806</v>
      </c>
      <c r="P322" s="6">
        <v>447</v>
      </c>
      <c r="Q322" s="6">
        <v>42330</v>
      </c>
    </row>
    <row r="323" spans="1:17" x14ac:dyDescent="0.35">
      <c r="A323" s="1">
        <v>39827</v>
      </c>
      <c r="B323" s="6">
        <v>2007314</v>
      </c>
      <c r="C323" s="6">
        <v>1075978</v>
      </c>
      <c r="D323" s="6">
        <v>0</v>
      </c>
      <c r="E323" s="6">
        <v>827509</v>
      </c>
      <c r="F323" s="6">
        <v>31173</v>
      </c>
      <c r="G323" s="6">
        <v>211</v>
      </c>
      <c r="H323" s="6">
        <v>17399</v>
      </c>
      <c r="I323" s="6">
        <v>78836</v>
      </c>
      <c r="J323" s="6">
        <v>844072</v>
      </c>
      <c r="K323" s="6">
        <v>2858</v>
      </c>
      <c r="L323" s="6"/>
      <c r="M323" s="6">
        <v>5569</v>
      </c>
      <c r="N323" s="6">
        <v>21082</v>
      </c>
      <c r="O323" s="6">
        <v>20911</v>
      </c>
      <c r="P323" s="6">
        <v>406</v>
      </c>
      <c r="Q323" s="6">
        <v>42400</v>
      </c>
    </row>
    <row r="324" spans="1:17" x14ac:dyDescent="0.35">
      <c r="A324" s="1">
        <v>39834</v>
      </c>
      <c r="B324" s="6">
        <v>1995352</v>
      </c>
      <c r="C324" s="6">
        <v>1060796</v>
      </c>
      <c r="D324" s="6">
        <v>0</v>
      </c>
      <c r="E324" s="6">
        <v>808299</v>
      </c>
      <c r="F324" s="6">
        <v>46705</v>
      </c>
      <c r="G324" s="6">
        <v>187</v>
      </c>
      <c r="H324" s="6">
        <v>5857</v>
      </c>
      <c r="I324" s="6">
        <v>75025</v>
      </c>
      <c r="J324" s="6">
        <v>848198</v>
      </c>
      <c r="K324" s="6">
        <v>4274</v>
      </c>
      <c r="L324" s="6"/>
      <c r="M324" s="6">
        <v>7058</v>
      </c>
      <c r="N324" s="6">
        <v>21514</v>
      </c>
      <c r="O324" s="6">
        <v>19413</v>
      </c>
      <c r="P324" s="6">
        <v>834</v>
      </c>
      <c r="Q324" s="6">
        <v>41760</v>
      </c>
    </row>
    <row r="325" spans="1:17" x14ac:dyDescent="0.35">
      <c r="A325" s="1">
        <v>39841</v>
      </c>
      <c r="B325" s="6">
        <v>1886373</v>
      </c>
      <c r="C325" s="6">
        <v>955471</v>
      </c>
      <c r="D325" s="6">
        <v>0</v>
      </c>
      <c r="E325" s="6">
        <v>740403</v>
      </c>
      <c r="F325" s="6">
        <v>38717</v>
      </c>
      <c r="G325" s="6">
        <v>108</v>
      </c>
      <c r="H325" s="6">
        <v>1403</v>
      </c>
      <c r="I325" s="6">
        <v>72214</v>
      </c>
      <c r="J325" s="6">
        <v>848795</v>
      </c>
      <c r="K325" s="6">
        <v>2810</v>
      </c>
      <c r="L325" s="6"/>
      <c r="M325" s="6">
        <v>7083</v>
      </c>
      <c r="N325" s="6">
        <v>21571</v>
      </c>
      <c r="O325" s="6">
        <v>18977</v>
      </c>
      <c r="P325" s="6">
        <v>161</v>
      </c>
      <c r="Q325" s="6">
        <v>40710</v>
      </c>
    </row>
    <row r="326" spans="1:17" x14ac:dyDescent="0.35">
      <c r="A326" s="1">
        <v>39848</v>
      </c>
      <c r="B326" s="6">
        <v>1810475</v>
      </c>
      <c r="C326" s="6">
        <v>873487</v>
      </c>
      <c r="D326" s="6">
        <v>0</v>
      </c>
      <c r="E326" s="6">
        <v>646996</v>
      </c>
      <c r="F326" s="6">
        <v>47708</v>
      </c>
      <c r="G326" s="6">
        <v>104</v>
      </c>
      <c r="H326" s="6">
        <v>8717</v>
      </c>
      <c r="I326" s="6">
        <v>74251</v>
      </c>
      <c r="J326" s="6">
        <v>852298</v>
      </c>
      <c r="K326" s="6">
        <v>3370</v>
      </c>
      <c r="L326" s="6"/>
      <c r="M326" s="6">
        <v>7069</v>
      </c>
      <c r="N326" s="6">
        <v>21694</v>
      </c>
      <c r="O326" s="6">
        <v>19206</v>
      </c>
      <c r="P326" s="6">
        <v>62</v>
      </c>
      <c r="Q326" s="6">
        <v>40962</v>
      </c>
    </row>
    <row r="327" spans="1:17" x14ac:dyDescent="0.35">
      <c r="A327" s="1">
        <v>39855</v>
      </c>
      <c r="B327" s="6">
        <v>1802017</v>
      </c>
      <c r="C327" s="6">
        <v>862321</v>
      </c>
      <c r="D327" s="6">
        <v>0</v>
      </c>
      <c r="E327" s="6">
        <v>600057</v>
      </c>
      <c r="F327" s="6">
        <v>20266</v>
      </c>
      <c r="G327" s="6">
        <v>2728</v>
      </c>
      <c r="H327" s="6">
        <v>39319</v>
      </c>
      <c r="I327" s="6">
        <v>73284</v>
      </c>
      <c r="J327" s="6">
        <v>856001</v>
      </c>
      <c r="K327" s="6">
        <v>3173</v>
      </c>
      <c r="L327" s="6"/>
      <c r="M327" s="6">
        <v>7238</v>
      </c>
      <c r="N327" s="6">
        <v>21709</v>
      </c>
      <c r="O327" s="6">
        <v>19539</v>
      </c>
      <c r="P327" s="6">
        <v>134</v>
      </c>
      <c r="Q327" s="6">
        <v>41382</v>
      </c>
    </row>
    <row r="328" spans="1:17" x14ac:dyDescent="0.35">
      <c r="A328" s="1">
        <v>39862</v>
      </c>
      <c r="B328" s="6">
        <v>1873869</v>
      </c>
      <c r="C328" s="6">
        <v>932687</v>
      </c>
      <c r="D328" s="6">
        <v>0</v>
      </c>
      <c r="E328" s="6">
        <v>709130</v>
      </c>
      <c r="F328" s="6">
        <v>20501</v>
      </c>
      <c r="G328" s="6">
        <v>2777</v>
      </c>
      <c r="H328" s="6">
        <v>329</v>
      </c>
      <c r="I328" s="6">
        <v>70804</v>
      </c>
      <c r="J328" s="6">
        <v>858488</v>
      </c>
      <c r="K328" s="6">
        <v>4683</v>
      </c>
      <c r="L328" s="6"/>
      <c r="M328" s="6">
        <v>7207</v>
      </c>
      <c r="N328" s="6">
        <v>22102</v>
      </c>
      <c r="O328" s="6">
        <v>19506</v>
      </c>
      <c r="P328" s="6">
        <v>86</v>
      </c>
      <c r="Q328" s="6">
        <v>41694</v>
      </c>
    </row>
    <row r="329" spans="1:17" x14ac:dyDescent="0.35">
      <c r="A329" s="1">
        <v>39869</v>
      </c>
      <c r="B329" s="6">
        <v>1873921</v>
      </c>
      <c r="C329" s="6">
        <v>937028</v>
      </c>
      <c r="D329" s="6">
        <v>0</v>
      </c>
      <c r="E329" s="6">
        <v>701143</v>
      </c>
      <c r="F329" s="6">
        <v>25109</v>
      </c>
      <c r="G329" s="6">
        <v>2233</v>
      </c>
      <c r="H329" s="6">
        <v>8593</v>
      </c>
      <c r="I329" s="6">
        <v>67713</v>
      </c>
      <c r="J329" s="6">
        <v>858738</v>
      </c>
      <c r="K329" s="6">
        <v>3110</v>
      </c>
      <c r="L329" s="6"/>
      <c r="M329" s="6">
        <v>7333</v>
      </c>
      <c r="N329" s="6">
        <v>22190</v>
      </c>
      <c r="O329" s="6">
        <v>19832</v>
      </c>
      <c r="P329" s="6">
        <v>172</v>
      </c>
      <c r="Q329" s="6">
        <v>42194</v>
      </c>
    </row>
    <row r="330" spans="1:17" x14ac:dyDescent="0.35">
      <c r="A330" s="1">
        <v>39876</v>
      </c>
      <c r="B330" s="6">
        <v>1858618</v>
      </c>
      <c r="C330" s="6">
        <v>915900</v>
      </c>
      <c r="D330" s="6">
        <v>0</v>
      </c>
      <c r="E330" s="6">
        <v>619713</v>
      </c>
      <c r="F330" s="6">
        <v>68282</v>
      </c>
      <c r="G330" s="6">
        <v>1640</v>
      </c>
      <c r="H330" s="6">
        <v>26315</v>
      </c>
      <c r="I330" s="6">
        <v>71262</v>
      </c>
      <c r="J330" s="6">
        <v>860470</v>
      </c>
      <c r="K330" s="6">
        <v>3654</v>
      </c>
      <c r="L330" s="6"/>
      <c r="M330" s="6">
        <v>7332</v>
      </c>
      <c r="N330" s="6">
        <v>22194</v>
      </c>
      <c r="O330" s="6">
        <v>20267</v>
      </c>
      <c r="P330" s="6">
        <v>238</v>
      </c>
      <c r="Q330" s="6">
        <v>42699</v>
      </c>
    </row>
    <row r="331" spans="1:17" x14ac:dyDescent="0.35">
      <c r="A331" s="1">
        <v>39883</v>
      </c>
      <c r="B331" s="6">
        <v>1855606</v>
      </c>
      <c r="C331" s="6">
        <v>915584</v>
      </c>
      <c r="D331" s="6">
        <v>0</v>
      </c>
      <c r="E331" s="6">
        <v>632490</v>
      </c>
      <c r="F331" s="6">
        <v>34431</v>
      </c>
      <c r="G331" s="6">
        <v>1793</v>
      </c>
      <c r="H331" s="6">
        <v>46926</v>
      </c>
      <c r="I331" s="6">
        <v>66385</v>
      </c>
      <c r="J331" s="6">
        <v>862265</v>
      </c>
      <c r="K331" s="6">
        <v>3720</v>
      </c>
      <c r="L331" s="6"/>
      <c r="M331" s="6">
        <v>7652</v>
      </c>
      <c r="N331" s="6">
        <v>22360</v>
      </c>
      <c r="O331" s="6">
        <v>20947</v>
      </c>
      <c r="P331" s="6">
        <v>601</v>
      </c>
      <c r="Q331" s="6">
        <v>43908</v>
      </c>
    </row>
    <row r="332" spans="1:17" x14ac:dyDescent="0.35">
      <c r="A332" s="1">
        <v>39890</v>
      </c>
      <c r="B332" s="6">
        <v>2021827</v>
      </c>
      <c r="C332" s="6">
        <v>1083408</v>
      </c>
      <c r="D332" s="6">
        <v>0</v>
      </c>
      <c r="E332" s="6">
        <v>780306</v>
      </c>
      <c r="F332" s="6">
        <v>100379</v>
      </c>
      <c r="G332" s="6">
        <v>2490</v>
      </c>
      <c r="H332" s="6">
        <v>295</v>
      </c>
      <c r="I332" s="6">
        <v>65027</v>
      </c>
      <c r="J332" s="6">
        <v>862732</v>
      </c>
      <c r="K332" s="6">
        <v>2933</v>
      </c>
      <c r="L332" s="6"/>
      <c r="M332" s="6">
        <v>7727</v>
      </c>
      <c r="N332" s="6">
        <v>22533</v>
      </c>
      <c r="O332" s="6">
        <v>21140</v>
      </c>
      <c r="P332" s="6">
        <v>1443</v>
      </c>
      <c r="Q332" s="6">
        <v>45115</v>
      </c>
    </row>
    <row r="333" spans="1:17" x14ac:dyDescent="0.35">
      <c r="A333" s="1">
        <v>39897</v>
      </c>
      <c r="B333" s="6">
        <v>2025374</v>
      </c>
      <c r="C333" s="6">
        <v>1085260</v>
      </c>
      <c r="D333" s="6">
        <v>0</v>
      </c>
      <c r="E333" s="6">
        <v>822412</v>
      </c>
      <c r="F333" s="6">
        <v>56198</v>
      </c>
      <c r="G333" s="6">
        <v>1587</v>
      </c>
      <c r="H333" s="6">
        <v>5128</v>
      </c>
      <c r="I333" s="6">
        <v>66427</v>
      </c>
      <c r="J333" s="6">
        <v>863094</v>
      </c>
      <c r="K333" s="6">
        <v>2861</v>
      </c>
      <c r="L333" s="6"/>
      <c r="M333" s="6">
        <v>7731</v>
      </c>
      <c r="N333" s="6">
        <v>22556</v>
      </c>
      <c r="O333" s="6">
        <v>21148</v>
      </c>
      <c r="P333" s="6">
        <v>2478</v>
      </c>
      <c r="Q333" s="6">
        <v>46182</v>
      </c>
    </row>
    <row r="334" spans="1:17" x14ac:dyDescent="0.35">
      <c r="A334" s="1">
        <v>39904</v>
      </c>
      <c r="B334" s="6">
        <v>2033396</v>
      </c>
      <c r="C334" s="6">
        <v>1089916</v>
      </c>
      <c r="D334" s="6">
        <v>0</v>
      </c>
      <c r="E334" s="6">
        <v>837463</v>
      </c>
      <c r="F334" s="6">
        <v>37754</v>
      </c>
      <c r="G334" s="6">
        <v>846</v>
      </c>
      <c r="H334" s="6">
        <v>13919</v>
      </c>
      <c r="I334" s="6">
        <v>67906</v>
      </c>
      <c r="J334" s="6">
        <v>864517</v>
      </c>
      <c r="K334" s="6">
        <v>3268</v>
      </c>
      <c r="L334" s="6"/>
      <c r="M334" s="6">
        <v>7790</v>
      </c>
      <c r="N334" s="6">
        <v>22560</v>
      </c>
      <c r="O334" s="6">
        <v>21156</v>
      </c>
      <c r="P334" s="6">
        <v>1824</v>
      </c>
      <c r="Q334" s="6">
        <v>45540</v>
      </c>
    </row>
    <row r="335" spans="1:17" x14ac:dyDescent="0.35">
      <c r="A335" s="1">
        <v>39911</v>
      </c>
      <c r="B335" s="6">
        <v>2042761</v>
      </c>
      <c r="C335" s="6">
        <v>1098105</v>
      </c>
      <c r="D335" s="6">
        <v>0</v>
      </c>
      <c r="E335" s="6">
        <v>841589</v>
      </c>
      <c r="F335" s="6">
        <v>23684</v>
      </c>
      <c r="G335" s="6">
        <v>1617</v>
      </c>
      <c r="H335" s="6">
        <v>31287</v>
      </c>
      <c r="I335" s="6">
        <v>66972</v>
      </c>
      <c r="J335" s="6">
        <v>866075</v>
      </c>
      <c r="K335" s="6">
        <v>3632</v>
      </c>
      <c r="L335" s="6"/>
      <c r="M335" s="6">
        <v>7976</v>
      </c>
      <c r="N335" s="6">
        <v>22595</v>
      </c>
      <c r="O335" s="6">
        <v>21165</v>
      </c>
      <c r="P335" s="6">
        <v>2053</v>
      </c>
      <c r="Q335" s="6">
        <v>45812</v>
      </c>
    </row>
    <row r="336" spans="1:17" x14ac:dyDescent="0.35">
      <c r="A336" s="1">
        <v>39918</v>
      </c>
      <c r="B336" s="6">
        <v>2140767</v>
      </c>
      <c r="C336" s="6">
        <v>1192639</v>
      </c>
      <c r="D336" s="6">
        <v>0</v>
      </c>
      <c r="E336" s="6">
        <v>894904</v>
      </c>
      <c r="F336" s="6">
        <v>94509</v>
      </c>
      <c r="G336" s="6">
        <v>2775</v>
      </c>
      <c r="H336" s="6">
        <v>521</v>
      </c>
      <c r="I336" s="6">
        <v>70627</v>
      </c>
      <c r="J336" s="6">
        <v>865226</v>
      </c>
      <c r="K336" s="6">
        <v>3436</v>
      </c>
      <c r="L336" s="6"/>
      <c r="M336" s="6">
        <v>8839</v>
      </c>
      <c r="N336" s="6">
        <v>22601</v>
      </c>
      <c r="O336" s="6">
        <v>21173</v>
      </c>
      <c r="P336" s="6">
        <v>1957</v>
      </c>
      <c r="Q336" s="6">
        <v>45731</v>
      </c>
    </row>
    <row r="337" spans="1:17" x14ac:dyDescent="0.35">
      <c r="A337" s="1">
        <v>39925</v>
      </c>
      <c r="B337" s="6">
        <v>2150811</v>
      </c>
      <c r="C337" s="6">
        <v>1211172</v>
      </c>
      <c r="D337" s="6">
        <v>0</v>
      </c>
      <c r="E337" s="6">
        <v>915773</v>
      </c>
      <c r="F337" s="6">
        <v>93533</v>
      </c>
      <c r="G337" s="6">
        <v>1594</v>
      </c>
      <c r="H337" s="6">
        <v>343</v>
      </c>
      <c r="I337" s="6">
        <v>64681</v>
      </c>
      <c r="J337" s="6">
        <v>862960</v>
      </c>
      <c r="K337" s="6">
        <v>3764</v>
      </c>
      <c r="L337" s="6"/>
      <c r="M337" s="6">
        <v>8235</v>
      </c>
      <c r="N337" s="6">
        <v>22611</v>
      </c>
      <c r="O337" s="6">
        <v>21181</v>
      </c>
      <c r="P337" s="6">
        <v>2209</v>
      </c>
      <c r="Q337" s="6">
        <v>46000</v>
      </c>
    </row>
    <row r="338" spans="1:17" x14ac:dyDescent="0.35">
      <c r="A338" s="1">
        <v>39932</v>
      </c>
      <c r="B338" s="6">
        <v>2019833</v>
      </c>
      <c r="C338" s="6">
        <v>1078143</v>
      </c>
      <c r="D338" s="6">
        <v>0</v>
      </c>
      <c r="E338" s="6">
        <v>812930</v>
      </c>
      <c r="F338" s="6">
        <v>62810</v>
      </c>
      <c r="G338" s="6">
        <v>1967</v>
      </c>
      <c r="H338" s="6">
        <v>506</v>
      </c>
      <c r="I338" s="6">
        <v>67284</v>
      </c>
      <c r="J338" s="6">
        <v>863086</v>
      </c>
      <c r="K338" s="6">
        <v>3049</v>
      </c>
      <c r="L338" s="6"/>
      <c r="M338" s="6">
        <v>8271</v>
      </c>
      <c r="N338" s="6">
        <v>22983</v>
      </c>
      <c r="O338" s="6">
        <v>21190</v>
      </c>
      <c r="P338" s="6">
        <v>2706</v>
      </c>
      <c r="Q338" s="6">
        <v>46879</v>
      </c>
    </row>
    <row r="339" spans="1:17" x14ac:dyDescent="0.35">
      <c r="A339" s="1">
        <v>39939</v>
      </c>
      <c r="B339" s="6">
        <v>2038407</v>
      </c>
      <c r="C339" s="6">
        <v>1098804</v>
      </c>
      <c r="D339" s="6">
        <v>0</v>
      </c>
      <c r="E339" s="6">
        <v>825623</v>
      </c>
      <c r="F339" s="6">
        <v>70683</v>
      </c>
      <c r="G339" s="6">
        <v>1210</v>
      </c>
      <c r="H339" s="6">
        <v>1359</v>
      </c>
      <c r="I339" s="6">
        <v>65144</v>
      </c>
      <c r="J339" s="6">
        <v>865869</v>
      </c>
      <c r="K339" s="6">
        <v>4158</v>
      </c>
      <c r="L339" s="6"/>
      <c r="M339" s="6">
        <v>4432</v>
      </c>
      <c r="N339" s="6">
        <v>23001</v>
      </c>
      <c r="O339" s="6">
        <v>17247</v>
      </c>
      <c r="P339" s="6">
        <v>1103</v>
      </c>
      <c r="Q339" s="6">
        <v>41351</v>
      </c>
    </row>
    <row r="340" spans="1:17" x14ac:dyDescent="0.35">
      <c r="A340" s="1">
        <v>39946</v>
      </c>
      <c r="B340" s="6">
        <v>2153258</v>
      </c>
      <c r="C340" s="6">
        <v>1208705</v>
      </c>
      <c r="D340" s="6">
        <v>0</v>
      </c>
      <c r="E340" s="6">
        <v>931737</v>
      </c>
      <c r="F340" s="6">
        <v>57167</v>
      </c>
      <c r="G340" s="6">
        <v>2547</v>
      </c>
      <c r="H340" s="6">
        <v>17322</v>
      </c>
      <c r="I340" s="6">
        <v>70894</v>
      </c>
      <c r="J340" s="6">
        <v>865511</v>
      </c>
      <c r="K340" s="6">
        <v>3351</v>
      </c>
      <c r="L340" s="6"/>
      <c r="M340" s="6">
        <v>4797</v>
      </c>
      <c r="N340" s="6">
        <v>22938</v>
      </c>
      <c r="O340" s="6">
        <v>18141</v>
      </c>
      <c r="P340" s="6">
        <v>2013</v>
      </c>
      <c r="Q340" s="6">
        <v>43092</v>
      </c>
    </row>
    <row r="341" spans="1:17" x14ac:dyDescent="0.35">
      <c r="A341" s="1">
        <v>39953</v>
      </c>
      <c r="B341" s="6">
        <v>2137829</v>
      </c>
      <c r="C341" s="6">
        <v>1195962</v>
      </c>
      <c r="D341" s="6">
        <v>0</v>
      </c>
      <c r="E341" s="6">
        <v>955220</v>
      </c>
      <c r="F341" s="6">
        <v>37929</v>
      </c>
      <c r="G341" s="6">
        <v>2601</v>
      </c>
      <c r="H341" s="6">
        <v>282</v>
      </c>
      <c r="I341" s="6">
        <v>67758</v>
      </c>
      <c r="J341" s="6">
        <v>866465</v>
      </c>
      <c r="K341" s="6">
        <v>2804</v>
      </c>
      <c r="L341" s="6"/>
      <c r="M341" s="6">
        <v>4840</v>
      </c>
      <c r="N341" s="6">
        <v>23827</v>
      </c>
      <c r="O341" s="6">
        <v>18544</v>
      </c>
      <c r="P341" s="6">
        <v>1433</v>
      </c>
      <c r="Q341" s="6">
        <v>43804</v>
      </c>
    </row>
    <row r="342" spans="1:17" x14ac:dyDescent="0.35">
      <c r="A342" s="1">
        <v>39960</v>
      </c>
      <c r="B342" s="6">
        <v>2035193</v>
      </c>
      <c r="C342" s="6">
        <v>1090438</v>
      </c>
      <c r="D342" s="6">
        <v>0</v>
      </c>
      <c r="E342" s="6">
        <v>877011</v>
      </c>
      <c r="F342" s="6">
        <v>11048</v>
      </c>
      <c r="G342" s="6">
        <v>2132</v>
      </c>
      <c r="H342" s="6">
        <v>315</v>
      </c>
      <c r="I342" s="6">
        <v>65879</v>
      </c>
      <c r="J342" s="6">
        <v>870017</v>
      </c>
      <c r="K342" s="6">
        <v>4120</v>
      </c>
      <c r="L342" s="6"/>
      <c r="M342" s="6">
        <v>4739</v>
      </c>
      <c r="N342" s="6">
        <v>24027</v>
      </c>
      <c r="O342" s="6">
        <v>19174</v>
      </c>
      <c r="P342" s="6">
        <v>1721</v>
      </c>
      <c r="Q342" s="6">
        <v>44922</v>
      </c>
    </row>
    <row r="343" spans="1:17" x14ac:dyDescent="0.35">
      <c r="A343" s="1">
        <v>39967</v>
      </c>
      <c r="B343" s="6">
        <v>2031998</v>
      </c>
      <c r="C343" s="6">
        <v>1087581</v>
      </c>
      <c r="D343" s="6">
        <v>0</v>
      </c>
      <c r="E343" s="6">
        <v>844677</v>
      </c>
      <c r="F343" s="6">
        <v>37634</v>
      </c>
      <c r="G343" s="6">
        <v>1901</v>
      </c>
      <c r="H343" s="6">
        <v>3436</v>
      </c>
      <c r="I343" s="6">
        <v>67420</v>
      </c>
      <c r="J343" s="6">
        <v>868774</v>
      </c>
      <c r="K343" s="6">
        <v>3451</v>
      </c>
      <c r="L343" s="6"/>
      <c r="M343" s="6">
        <v>4771</v>
      </c>
      <c r="N343" s="6">
        <v>24066</v>
      </c>
      <c r="O343" s="6">
        <v>19845</v>
      </c>
      <c r="P343" s="6">
        <v>1786</v>
      </c>
      <c r="Q343" s="6">
        <v>45697</v>
      </c>
    </row>
    <row r="344" spans="1:17" x14ac:dyDescent="0.35">
      <c r="A344" s="1">
        <v>39974</v>
      </c>
      <c r="B344" s="6">
        <v>2006190</v>
      </c>
      <c r="C344" s="6">
        <v>1063328</v>
      </c>
      <c r="D344" s="6">
        <v>0</v>
      </c>
      <c r="E344" s="6">
        <v>815657</v>
      </c>
      <c r="F344" s="6">
        <v>17166</v>
      </c>
      <c r="G344" s="6">
        <v>2509</v>
      </c>
      <c r="H344" s="6">
        <v>28061</v>
      </c>
      <c r="I344" s="6">
        <v>67043</v>
      </c>
      <c r="J344" s="6">
        <v>868431</v>
      </c>
      <c r="K344" s="6">
        <v>2869</v>
      </c>
      <c r="L344" s="6"/>
      <c r="M344" s="6">
        <v>4519</v>
      </c>
      <c r="N344" s="6">
        <v>24245</v>
      </c>
      <c r="O344" s="6">
        <v>20415</v>
      </c>
      <c r="P344" s="6">
        <v>1447</v>
      </c>
      <c r="Q344" s="6">
        <v>46107</v>
      </c>
    </row>
    <row r="345" spans="1:17" x14ac:dyDescent="0.35">
      <c r="A345" s="1">
        <v>39981</v>
      </c>
      <c r="B345" s="6">
        <v>2025198</v>
      </c>
      <c r="C345" s="6">
        <v>1079880</v>
      </c>
      <c r="D345" s="6">
        <v>0</v>
      </c>
      <c r="E345" s="6">
        <v>743952</v>
      </c>
      <c r="F345" s="6">
        <v>132837</v>
      </c>
      <c r="G345" s="6">
        <v>2858</v>
      </c>
      <c r="H345" s="6">
        <v>294</v>
      </c>
      <c r="I345" s="6">
        <v>70166</v>
      </c>
      <c r="J345" s="6">
        <v>867521</v>
      </c>
      <c r="K345" s="6">
        <v>2863</v>
      </c>
      <c r="L345" s="6"/>
      <c r="M345" s="6">
        <v>4768</v>
      </c>
      <c r="N345" s="6">
        <v>24247</v>
      </c>
      <c r="O345" s="6">
        <v>21170</v>
      </c>
      <c r="P345" s="6">
        <v>1913</v>
      </c>
      <c r="Q345" s="6">
        <v>47330</v>
      </c>
    </row>
    <row r="346" spans="1:17" x14ac:dyDescent="0.35">
      <c r="A346" s="1">
        <v>39988</v>
      </c>
      <c r="B346" s="6">
        <v>1977676</v>
      </c>
      <c r="C346" s="6">
        <v>1031267</v>
      </c>
      <c r="D346" s="6">
        <v>0</v>
      </c>
      <c r="E346" s="6">
        <v>745173</v>
      </c>
      <c r="F346" s="6">
        <v>78847</v>
      </c>
      <c r="G346" s="6">
        <v>2212</v>
      </c>
      <c r="H346" s="6">
        <v>5096</v>
      </c>
      <c r="I346" s="6">
        <v>71941</v>
      </c>
      <c r="J346" s="6">
        <v>867273</v>
      </c>
      <c r="K346" s="6">
        <v>2557</v>
      </c>
      <c r="L346" s="6"/>
      <c r="M346" s="6">
        <v>4639</v>
      </c>
      <c r="N346" s="6">
        <v>24248</v>
      </c>
      <c r="O346" s="6">
        <v>21256</v>
      </c>
      <c r="P346" s="6">
        <v>2392</v>
      </c>
      <c r="Q346" s="6">
        <v>47896</v>
      </c>
    </row>
    <row r="347" spans="1:17" x14ac:dyDescent="0.35">
      <c r="A347" s="1">
        <v>39995</v>
      </c>
      <c r="B347" s="6">
        <v>1957026</v>
      </c>
      <c r="C347" s="6">
        <v>1006269</v>
      </c>
      <c r="D347" s="6">
        <v>0</v>
      </c>
      <c r="E347" s="6">
        <v>726260</v>
      </c>
      <c r="F347" s="6">
        <v>78142</v>
      </c>
      <c r="G347" s="6">
        <v>1473</v>
      </c>
      <c r="H347" s="6">
        <v>454</v>
      </c>
      <c r="I347" s="6">
        <v>72256</v>
      </c>
      <c r="J347" s="6">
        <v>871291</v>
      </c>
      <c r="K347" s="6">
        <v>3212</v>
      </c>
      <c r="L347" s="6"/>
      <c r="M347" s="6">
        <v>3997</v>
      </c>
      <c r="N347" s="6">
        <v>24497</v>
      </c>
      <c r="O347" s="6">
        <v>21264</v>
      </c>
      <c r="P347" s="6">
        <v>2840</v>
      </c>
      <c r="Q347" s="6">
        <v>48601</v>
      </c>
    </row>
    <row r="348" spans="1:17" x14ac:dyDescent="0.35">
      <c r="A348" s="1">
        <v>40002</v>
      </c>
      <c r="B348" s="6">
        <v>1943219</v>
      </c>
      <c r="C348" s="6">
        <v>995992</v>
      </c>
      <c r="D348" s="6">
        <v>0</v>
      </c>
      <c r="E348" s="6">
        <v>749154</v>
      </c>
      <c r="F348" s="6">
        <v>36910</v>
      </c>
      <c r="G348" s="6">
        <v>3033</v>
      </c>
      <c r="H348" s="6">
        <v>6957</v>
      </c>
      <c r="I348" s="6">
        <v>67844</v>
      </c>
      <c r="J348" s="6">
        <v>872756</v>
      </c>
      <c r="K348" s="6">
        <v>2703</v>
      </c>
      <c r="L348" s="6"/>
      <c r="M348" s="6">
        <v>3923</v>
      </c>
      <c r="N348" s="6">
        <v>24511</v>
      </c>
      <c r="O348" s="6">
        <v>21273</v>
      </c>
      <c r="P348" s="6">
        <v>3737</v>
      </c>
      <c r="Q348" s="6">
        <v>49521</v>
      </c>
    </row>
    <row r="349" spans="1:17" x14ac:dyDescent="0.35">
      <c r="A349" s="1">
        <v>40009</v>
      </c>
      <c r="B349" s="6">
        <v>2022977</v>
      </c>
      <c r="C349" s="6">
        <v>1079190</v>
      </c>
      <c r="D349" s="6">
        <v>0</v>
      </c>
      <c r="E349" s="6">
        <v>808824</v>
      </c>
      <c r="F349" s="6">
        <v>65234</v>
      </c>
      <c r="G349" s="6">
        <v>1965</v>
      </c>
      <c r="H349" s="6">
        <v>3229</v>
      </c>
      <c r="I349" s="6">
        <v>66342</v>
      </c>
      <c r="J349" s="6">
        <v>870327</v>
      </c>
      <c r="K349" s="6">
        <v>2886</v>
      </c>
      <c r="L349" s="6"/>
      <c r="M349" s="6">
        <v>4233</v>
      </c>
      <c r="N349" s="6">
        <v>24512</v>
      </c>
      <c r="O349" s="6">
        <v>21281</v>
      </c>
      <c r="P349" s="6">
        <v>3681</v>
      </c>
      <c r="Q349" s="6">
        <v>49474</v>
      </c>
    </row>
    <row r="350" spans="1:17" x14ac:dyDescent="0.35">
      <c r="A350" s="1">
        <v>40016</v>
      </c>
      <c r="B350" s="6">
        <v>1988864</v>
      </c>
      <c r="C350" s="6">
        <v>1046319</v>
      </c>
      <c r="D350" s="6">
        <v>0</v>
      </c>
      <c r="E350" s="6">
        <v>781389</v>
      </c>
      <c r="F350" s="6">
        <v>61601</v>
      </c>
      <c r="G350" s="6">
        <v>1884</v>
      </c>
      <c r="H350" s="6">
        <v>1509</v>
      </c>
      <c r="I350" s="6">
        <v>66833</v>
      </c>
      <c r="J350" s="6">
        <v>869228</v>
      </c>
      <c r="K350" s="6">
        <v>2487</v>
      </c>
      <c r="L350" s="6"/>
      <c r="M350" s="6">
        <v>3996</v>
      </c>
      <c r="N350" s="6">
        <v>24516</v>
      </c>
      <c r="O350" s="6">
        <v>21289</v>
      </c>
      <c r="P350" s="6">
        <v>4331</v>
      </c>
      <c r="Q350" s="6">
        <v>50137</v>
      </c>
    </row>
    <row r="351" spans="1:17" x14ac:dyDescent="0.35">
      <c r="A351" s="1">
        <v>40023</v>
      </c>
      <c r="B351" s="6">
        <v>1950980</v>
      </c>
      <c r="C351" s="6">
        <v>1007573</v>
      </c>
      <c r="D351" s="6">
        <v>0</v>
      </c>
      <c r="E351" s="6">
        <v>747124</v>
      </c>
      <c r="F351" s="6">
        <v>57825</v>
      </c>
      <c r="G351" s="6">
        <v>2178</v>
      </c>
      <c r="H351" s="6">
        <v>511</v>
      </c>
      <c r="I351" s="6">
        <v>66010</v>
      </c>
      <c r="J351" s="6">
        <v>870575</v>
      </c>
      <c r="K351" s="6">
        <v>2602</v>
      </c>
      <c r="L351" s="6"/>
      <c r="M351" s="6">
        <v>4219</v>
      </c>
      <c r="N351" s="6">
        <v>24522</v>
      </c>
      <c r="O351" s="6">
        <v>21297</v>
      </c>
      <c r="P351" s="6">
        <v>3749</v>
      </c>
      <c r="Q351" s="6">
        <v>49567</v>
      </c>
    </row>
    <row r="352" spans="1:17" x14ac:dyDescent="0.35">
      <c r="A352" s="1">
        <v>40030</v>
      </c>
      <c r="B352" s="6">
        <v>1938807</v>
      </c>
      <c r="C352" s="6">
        <v>992553</v>
      </c>
      <c r="D352" s="6">
        <v>0</v>
      </c>
      <c r="E352" s="6">
        <v>724650</v>
      </c>
      <c r="F352" s="6">
        <v>61522</v>
      </c>
      <c r="G352" s="6">
        <v>3231</v>
      </c>
      <c r="H352" s="6">
        <v>3214</v>
      </c>
      <c r="I352" s="6">
        <v>66834</v>
      </c>
      <c r="J352" s="6">
        <v>872150</v>
      </c>
      <c r="K352" s="6">
        <v>2942</v>
      </c>
      <c r="L352" s="6"/>
      <c r="M352" s="6">
        <v>4329</v>
      </c>
      <c r="N352" s="6">
        <v>24586</v>
      </c>
      <c r="O352" s="6">
        <v>21306</v>
      </c>
      <c r="P352" s="6">
        <v>4504</v>
      </c>
      <c r="Q352" s="6">
        <v>50396</v>
      </c>
    </row>
    <row r="353" spans="1:17" x14ac:dyDescent="0.35">
      <c r="A353" s="1">
        <v>40037</v>
      </c>
      <c r="B353" s="6">
        <v>1965065</v>
      </c>
      <c r="C353" s="6">
        <v>1017413</v>
      </c>
      <c r="D353" s="6">
        <v>0</v>
      </c>
      <c r="E353" s="6">
        <v>777026</v>
      </c>
      <c r="F353" s="6">
        <v>35758</v>
      </c>
      <c r="G353" s="6">
        <v>3039</v>
      </c>
      <c r="H353" s="6">
        <v>1657</v>
      </c>
      <c r="I353" s="6">
        <v>67670</v>
      </c>
      <c r="J353" s="6">
        <v>872799</v>
      </c>
      <c r="K353" s="6">
        <v>2531</v>
      </c>
      <c r="L353" s="6"/>
      <c r="M353" s="6">
        <v>4652</v>
      </c>
      <c r="N353" s="6">
        <v>24603</v>
      </c>
      <c r="O353" s="6">
        <v>21314</v>
      </c>
      <c r="P353" s="6">
        <v>3917</v>
      </c>
      <c r="Q353" s="6">
        <v>49834</v>
      </c>
    </row>
    <row r="354" spans="1:17" x14ac:dyDescent="0.35">
      <c r="A354" s="1">
        <v>40044</v>
      </c>
      <c r="B354" s="6">
        <v>2010106</v>
      </c>
      <c r="C354" s="6">
        <v>1062614</v>
      </c>
      <c r="D354" s="6">
        <v>0</v>
      </c>
      <c r="E354" s="6">
        <v>818806</v>
      </c>
      <c r="F354" s="6">
        <v>40294</v>
      </c>
      <c r="G354" s="6">
        <v>3235</v>
      </c>
      <c r="H354" s="6">
        <v>349</v>
      </c>
      <c r="I354" s="6">
        <v>68369</v>
      </c>
      <c r="J354" s="6">
        <v>871488</v>
      </c>
      <c r="K354" s="6">
        <v>2538</v>
      </c>
      <c r="L354" s="6"/>
      <c r="M354" s="6">
        <v>5095</v>
      </c>
      <c r="N354" s="6">
        <v>24657</v>
      </c>
      <c r="O354" s="6">
        <v>21322</v>
      </c>
      <c r="P354" s="6">
        <v>4555</v>
      </c>
      <c r="Q354" s="6">
        <v>50535</v>
      </c>
    </row>
    <row r="355" spans="1:17" x14ac:dyDescent="0.35">
      <c r="A355" s="1">
        <v>40051</v>
      </c>
      <c r="B355" s="6">
        <v>2024333</v>
      </c>
      <c r="C355" s="6">
        <v>1078444</v>
      </c>
      <c r="D355" s="6">
        <v>0</v>
      </c>
      <c r="E355" s="6">
        <v>861955</v>
      </c>
      <c r="F355" s="6">
        <v>12828</v>
      </c>
      <c r="G355" s="6">
        <v>3408</v>
      </c>
      <c r="H355" s="6">
        <v>321</v>
      </c>
      <c r="I355" s="6">
        <v>68129</v>
      </c>
      <c r="J355" s="6">
        <v>870409</v>
      </c>
      <c r="K355" s="6">
        <v>2346</v>
      </c>
      <c r="L355" s="6"/>
      <c r="M355" s="6">
        <v>5005</v>
      </c>
      <c r="N355" s="6">
        <v>24782</v>
      </c>
      <c r="O355" s="6">
        <v>21331</v>
      </c>
      <c r="P355" s="6">
        <v>4455</v>
      </c>
      <c r="Q355" s="6">
        <v>50568</v>
      </c>
    </row>
    <row r="356" spans="1:17" x14ac:dyDescent="0.35">
      <c r="A356" s="1">
        <v>40058</v>
      </c>
      <c r="B356" s="6">
        <v>2032890</v>
      </c>
      <c r="C356" s="6">
        <v>1083662</v>
      </c>
      <c r="D356" s="6">
        <v>0</v>
      </c>
      <c r="E356" s="6">
        <v>822333</v>
      </c>
      <c r="F356" s="6">
        <v>58716</v>
      </c>
      <c r="G356" s="6">
        <v>2380</v>
      </c>
      <c r="H356" s="6">
        <v>300</v>
      </c>
      <c r="I356" s="6">
        <v>68703</v>
      </c>
      <c r="J356" s="6">
        <v>872813</v>
      </c>
      <c r="K356" s="6">
        <v>2866</v>
      </c>
      <c r="L356" s="6"/>
      <c r="M356" s="6">
        <v>4847</v>
      </c>
      <c r="N356" s="6">
        <v>24781</v>
      </c>
      <c r="O356" s="6">
        <v>21340</v>
      </c>
      <c r="P356" s="6">
        <v>4710</v>
      </c>
      <c r="Q356" s="6">
        <v>50830</v>
      </c>
    </row>
    <row r="357" spans="1:17" x14ac:dyDescent="0.35">
      <c r="A357" s="1">
        <v>40065</v>
      </c>
      <c r="B357" s="6">
        <v>2036918</v>
      </c>
      <c r="C357" s="6">
        <v>1085745</v>
      </c>
      <c r="D357" s="6">
        <v>0</v>
      </c>
      <c r="E357" s="6">
        <v>877995</v>
      </c>
      <c r="F357" s="6">
        <v>4500</v>
      </c>
      <c r="G357" s="6">
        <v>2704</v>
      </c>
      <c r="H357" s="6">
        <v>613</v>
      </c>
      <c r="I357" s="6">
        <v>65874</v>
      </c>
      <c r="J357" s="6">
        <v>876679</v>
      </c>
      <c r="K357" s="6">
        <v>3483</v>
      </c>
      <c r="L357" s="6"/>
      <c r="M357" s="6">
        <v>5138</v>
      </c>
      <c r="N357" s="6">
        <v>24783</v>
      </c>
      <c r="O357" s="6">
        <v>21348</v>
      </c>
      <c r="P357" s="6">
        <v>4897</v>
      </c>
      <c r="Q357" s="6">
        <v>51028</v>
      </c>
    </row>
    <row r="358" spans="1:17" x14ac:dyDescent="0.35">
      <c r="A358" s="1">
        <v>40072</v>
      </c>
      <c r="B358" s="6">
        <v>2088503</v>
      </c>
      <c r="C358" s="6">
        <v>1137858</v>
      </c>
      <c r="D358" s="6">
        <v>0</v>
      </c>
      <c r="E358" s="6">
        <v>862827</v>
      </c>
      <c r="F358" s="6">
        <v>72399</v>
      </c>
      <c r="G358" s="6">
        <v>2369</v>
      </c>
      <c r="H358" s="6">
        <v>330</v>
      </c>
      <c r="I358" s="6">
        <v>68934</v>
      </c>
      <c r="J358" s="6">
        <v>873940</v>
      </c>
      <c r="K358" s="6">
        <v>2571</v>
      </c>
      <c r="L358" s="6"/>
      <c r="M358" s="6">
        <v>5201</v>
      </c>
      <c r="N358" s="6">
        <v>24875</v>
      </c>
      <c r="O358" s="6">
        <v>21356</v>
      </c>
      <c r="P358" s="6">
        <v>5049</v>
      </c>
      <c r="Q358" s="6">
        <v>51280</v>
      </c>
    </row>
    <row r="359" spans="1:17" x14ac:dyDescent="0.35">
      <c r="A359" s="1">
        <v>40079</v>
      </c>
      <c r="B359" s="6">
        <v>2107618</v>
      </c>
      <c r="C359" s="6">
        <v>1156577</v>
      </c>
      <c r="D359" s="6">
        <v>0</v>
      </c>
      <c r="E359" s="6">
        <v>903044</v>
      </c>
      <c r="F359" s="6">
        <v>50907</v>
      </c>
      <c r="G359" s="6">
        <v>2371</v>
      </c>
      <c r="H359" s="6">
        <v>321</v>
      </c>
      <c r="I359" s="6">
        <v>70803</v>
      </c>
      <c r="J359" s="6">
        <v>872318</v>
      </c>
      <c r="K359" s="6">
        <v>2535</v>
      </c>
      <c r="L359" s="6"/>
      <c r="M359" s="6">
        <v>5385</v>
      </c>
      <c r="N359" s="6">
        <v>24878</v>
      </c>
      <c r="O359" s="6">
        <v>21364</v>
      </c>
      <c r="P359" s="6">
        <v>4771</v>
      </c>
      <c r="Q359" s="6">
        <v>51014</v>
      </c>
    </row>
    <row r="360" spans="1:17" x14ac:dyDescent="0.35">
      <c r="A360" s="1">
        <v>40086</v>
      </c>
      <c r="B360" s="6">
        <v>2089915</v>
      </c>
      <c r="C360" s="6">
        <v>1139169</v>
      </c>
      <c r="D360" s="6">
        <v>0</v>
      </c>
      <c r="E360" s="6">
        <v>848085</v>
      </c>
      <c r="F360" s="6">
        <v>108324</v>
      </c>
      <c r="G360" s="6">
        <v>1913</v>
      </c>
      <c r="H360" s="6">
        <v>15902</v>
      </c>
      <c r="I360" s="6">
        <v>68913</v>
      </c>
      <c r="J360" s="6">
        <v>873497</v>
      </c>
      <c r="K360" s="6">
        <v>2773</v>
      </c>
      <c r="L360" s="6"/>
      <c r="M360" s="6">
        <v>5562</v>
      </c>
      <c r="N360" s="6">
        <v>24918</v>
      </c>
      <c r="O360" s="6">
        <v>21373</v>
      </c>
      <c r="P360" s="6">
        <v>4814</v>
      </c>
      <c r="Q360" s="6">
        <v>51105</v>
      </c>
    </row>
    <row r="361" spans="1:17" x14ac:dyDescent="0.35">
      <c r="A361" s="1">
        <v>40093</v>
      </c>
      <c r="B361" s="6">
        <v>2086998</v>
      </c>
      <c r="C361" s="6">
        <v>1139768</v>
      </c>
      <c r="D361" s="6">
        <v>0</v>
      </c>
      <c r="E361" s="6">
        <v>966537</v>
      </c>
      <c r="F361" s="6">
        <v>31005</v>
      </c>
      <c r="G361" s="6">
        <v>1885</v>
      </c>
      <c r="H361" s="6">
        <v>10384</v>
      </c>
      <c r="I361" s="6">
        <v>62900</v>
      </c>
      <c r="J361" s="6">
        <v>876120</v>
      </c>
      <c r="K361" s="6">
        <v>2780</v>
      </c>
      <c r="L361" s="6"/>
      <c r="M361" s="6">
        <v>5431</v>
      </c>
      <c r="N361" s="6">
        <v>24889</v>
      </c>
      <c r="O361" s="6">
        <v>21381</v>
      </c>
      <c r="P361" s="6">
        <v>4817</v>
      </c>
      <c r="Q361" s="6">
        <v>51087</v>
      </c>
    </row>
    <row r="362" spans="1:17" x14ac:dyDescent="0.35">
      <c r="A362" s="1">
        <v>40100</v>
      </c>
      <c r="B362" s="6">
        <v>2140747</v>
      </c>
      <c r="C362" s="6">
        <v>1187813</v>
      </c>
      <c r="D362" s="6">
        <v>0</v>
      </c>
      <c r="E362" s="6">
        <v>1051949</v>
      </c>
      <c r="F362" s="6">
        <v>15570</v>
      </c>
      <c r="G362" s="6">
        <v>1664</v>
      </c>
      <c r="H362" s="6">
        <v>18662</v>
      </c>
      <c r="I362" s="6">
        <v>61803</v>
      </c>
      <c r="J362" s="6">
        <v>877792</v>
      </c>
      <c r="K362" s="6">
        <v>3474</v>
      </c>
      <c r="L362" s="6"/>
      <c r="M362" s="6">
        <v>9865</v>
      </c>
      <c r="N362" s="6">
        <v>24897</v>
      </c>
      <c r="O362" s="6">
        <v>21390</v>
      </c>
      <c r="P362" s="6">
        <v>5754</v>
      </c>
      <c r="Q362" s="6">
        <v>52040</v>
      </c>
    </row>
    <row r="363" spans="1:17" x14ac:dyDescent="0.35">
      <c r="A363" s="1">
        <v>40107</v>
      </c>
      <c r="B363" s="6">
        <v>2149937</v>
      </c>
      <c r="C363" s="6">
        <v>1201057</v>
      </c>
      <c r="D363" s="6">
        <v>0</v>
      </c>
      <c r="E363" s="6">
        <v>1059569</v>
      </c>
      <c r="F363" s="6">
        <v>73730</v>
      </c>
      <c r="G363" s="6">
        <v>1767</v>
      </c>
      <c r="H363" s="6">
        <v>1011</v>
      </c>
      <c r="I363" s="6">
        <v>63608</v>
      </c>
      <c r="J363" s="6">
        <v>875323</v>
      </c>
      <c r="K363" s="6">
        <v>2584</v>
      </c>
      <c r="L363" s="6"/>
      <c r="M363" s="6">
        <v>7365</v>
      </c>
      <c r="N363" s="6">
        <v>24922</v>
      </c>
      <c r="O363" s="6">
        <v>21398</v>
      </c>
      <c r="P363" s="6">
        <v>4862</v>
      </c>
      <c r="Q363" s="6">
        <v>51182</v>
      </c>
    </row>
    <row r="364" spans="1:17" x14ac:dyDescent="0.35">
      <c r="A364" s="1">
        <v>40114</v>
      </c>
      <c r="B364" s="6">
        <v>2109020</v>
      </c>
      <c r="C364" s="6">
        <v>1158575</v>
      </c>
      <c r="D364" s="6">
        <v>0</v>
      </c>
      <c r="E364" s="6">
        <v>1083447</v>
      </c>
      <c r="F364" s="6">
        <v>30563</v>
      </c>
      <c r="G364" s="6">
        <v>3415</v>
      </c>
      <c r="H364" s="6">
        <v>11158</v>
      </c>
      <c r="I364" s="6">
        <v>64446</v>
      </c>
      <c r="J364" s="6">
        <v>874838</v>
      </c>
      <c r="K364" s="6">
        <v>2386</v>
      </c>
      <c r="L364" s="6"/>
      <c r="M364" s="6">
        <v>8775</v>
      </c>
      <c r="N364" s="6">
        <v>24943</v>
      </c>
      <c r="O364" s="6">
        <v>21406</v>
      </c>
      <c r="P364" s="6">
        <v>6168</v>
      </c>
      <c r="Q364" s="6">
        <v>52517</v>
      </c>
    </row>
    <row r="365" spans="1:17" x14ac:dyDescent="0.35">
      <c r="A365" s="1">
        <v>40121</v>
      </c>
      <c r="B365" s="6">
        <v>2113703</v>
      </c>
      <c r="C365" s="6">
        <v>1163861</v>
      </c>
      <c r="D365" s="6">
        <v>0</v>
      </c>
      <c r="E365" s="6">
        <v>1065118</v>
      </c>
      <c r="F365" s="6">
        <v>81576</v>
      </c>
      <c r="G365" s="6">
        <v>1436</v>
      </c>
      <c r="H365" s="6">
        <v>732</v>
      </c>
      <c r="I365" s="6">
        <v>60735</v>
      </c>
      <c r="J365" s="6">
        <v>877490</v>
      </c>
      <c r="K365" s="6">
        <v>2984</v>
      </c>
      <c r="L365" s="6"/>
      <c r="M365" s="6">
        <v>8633</v>
      </c>
      <c r="N365" s="6">
        <v>25113</v>
      </c>
      <c r="O365" s="6">
        <v>21415</v>
      </c>
      <c r="P365" s="6">
        <v>4836</v>
      </c>
      <c r="Q365" s="6">
        <v>51364</v>
      </c>
    </row>
    <row r="366" spans="1:17" x14ac:dyDescent="0.35">
      <c r="A366" s="1">
        <v>40128</v>
      </c>
      <c r="B366" s="6">
        <v>2082052</v>
      </c>
      <c r="C366" s="6">
        <v>1127923</v>
      </c>
      <c r="D366" s="6">
        <v>0</v>
      </c>
      <c r="E366" s="6">
        <v>1044235</v>
      </c>
      <c r="F366" s="6">
        <v>62930</v>
      </c>
      <c r="G366" s="6">
        <v>1696</v>
      </c>
      <c r="H366" s="6">
        <v>4063</v>
      </c>
      <c r="I366" s="6">
        <v>60403</v>
      </c>
      <c r="J366" s="6">
        <v>880880</v>
      </c>
      <c r="K366" s="6">
        <v>3160</v>
      </c>
      <c r="L366" s="6"/>
      <c r="M366" s="6">
        <v>9687</v>
      </c>
      <c r="N366" s="6">
        <v>25173</v>
      </c>
      <c r="O366" s="6">
        <v>21423</v>
      </c>
      <c r="P366" s="6">
        <v>6387</v>
      </c>
      <c r="Q366" s="6">
        <v>52983</v>
      </c>
    </row>
    <row r="367" spans="1:17" x14ac:dyDescent="0.35">
      <c r="A367" s="1">
        <v>40135</v>
      </c>
      <c r="B367" s="6">
        <v>2156893</v>
      </c>
      <c r="C367" s="6">
        <v>1205820</v>
      </c>
      <c r="D367" s="6">
        <v>0</v>
      </c>
      <c r="E367" s="6">
        <v>1109269</v>
      </c>
      <c r="F367" s="6">
        <v>62309</v>
      </c>
      <c r="G367" s="6">
        <v>2957</v>
      </c>
      <c r="H367" s="6">
        <v>16285</v>
      </c>
      <c r="I367" s="6">
        <v>59906</v>
      </c>
      <c r="J367" s="6">
        <v>879357</v>
      </c>
      <c r="K367" s="6">
        <v>2344</v>
      </c>
      <c r="L367" s="6"/>
      <c r="M367" s="6">
        <v>9465</v>
      </c>
      <c r="N367" s="6">
        <v>25362</v>
      </c>
      <c r="O367" s="6">
        <v>21431</v>
      </c>
      <c r="P367" s="6">
        <v>5034</v>
      </c>
      <c r="Q367" s="6">
        <v>51828</v>
      </c>
    </row>
    <row r="368" spans="1:17" x14ac:dyDescent="0.35">
      <c r="A368" s="1">
        <v>40142</v>
      </c>
      <c r="B368" s="6">
        <v>2153546</v>
      </c>
      <c r="C368" s="6">
        <v>1200735</v>
      </c>
      <c r="D368" s="6">
        <v>0</v>
      </c>
      <c r="E368" s="6">
        <v>1168570</v>
      </c>
      <c r="F368" s="6">
        <v>12997</v>
      </c>
      <c r="G368" s="6">
        <v>2126</v>
      </c>
      <c r="H368" s="6">
        <v>2042</v>
      </c>
      <c r="I368" s="6">
        <v>58483</v>
      </c>
      <c r="J368" s="6">
        <v>883034</v>
      </c>
      <c r="K368" s="6">
        <v>2281</v>
      </c>
      <c r="L368" s="6"/>
      <c r="M368" s="6">
        <v>9012</v>
      </c>
      <c r="N368" s="6">
        <v>25423</v>
      </c>
      <c r="O368" s="6">
        <v>21440</v>
      </c>
      <c r="P368" s="6">
        <v>5951</v>
      </c>
      <c r="Q368" s="6">
        <v>52814</v>
      </c>
    </row>
    <row r="369" spans="1:17" x14ac:dyDescent="0.35">
      <c r="A369" s="1">
        <v>40149</v>
      </c>
      <c r="B369" s="6">
        <v>2151393</v>
      </c>
      <c r="C369" s="6">
        <v>1199897</v>
      </c>
      <c r="D369" s="6">
        <v>0</v>
      </c>
      <c r="E369" s="6">
        <v>1122010</v>
      </c>
      <c r="F369" s="6">
        <v>60164</v>
      </c>
      <c r="G369" s="6">
        <v>2080</v>
      </c>
      <c r="H369" s="6">
        <v>644</v>
      </c>
      <c r="I369" s="6">
        <v>57558</v>
      </c>
      <c r="J369" s="6">
        <v>882417</v>
      </c>
      <c r="K369" s="6">
        <v>2561</v>
      </c>
      <c r="L369" s="6"/>
      <c r="M369" s="6">
        <v>8959</v>
      </c>
      <c r="N369" s="6">
        <v>25438</v>
      </c>
      <c r="O369" s="6">
        <v>21448</v>
      </c>
      <c r="P369" s="6">
        <v>5795</v>
      </c>
      <c r="Q369" s="6">
        <v>52681</v>
      </c>
    </row>
    <row r="370" spans="1:17" x14ac:dyDescent="0.35">
      <c r="A370" s="1">
        <v>40156</v>
      </c>
      <c r="B370" s="6">
        <v>2134232</v>
      </c>
      <c r="C370" s="6">
        <v>1181114</v>
      </c>
      <c r="D370" s="6">
        <v>0</v>
      </c>
      <c r="E370" s="6">
        <v>1106669</v>
      </c>
      <c r="F370" s="6">
        <v>55364</v>
      </c>
      <c r="G370" s="6">
        <v>2316</v>
      </c>
      <c r="H370" s="6">
        <v>1766</v>
      </c>
      <c r="I370" s="6">
        <v>56516</v>
      </c>
      <c r="J370" s="6">
        <v>883195</v>
      </c>
      <c r="K370" s="6">
        <v>2463</v>
      </c>
      <c r="L370" s="6"/>
      <c r="M370" s="6">
        <v>10944</v>
      </c>
      <c r="N370" s="6">
        <v>25625</v>
      </c>
      <c r="O370" s="6">
        <v>21457</v>
      </c>
      <c r="P370" s="6">
        <v>5070</v>
      </c>
      <c r="Q370" s="6">
        <v>52152</v>
      </c>
    </row>
    <row r="371" spans="1:17" x14ac:dyDescent="0.35">
      <c r="A371" s="1">
        <v>40163</v>
      </c>
      <c r="B371" s="6">
        <v>2183512</v>
      </c>
      <c r="C371" s="6">
        <v>1222213</v>
      </c>
      <c r="D371" s="6">
        <v>0</v>
      </c>
      <c r="E371" s="6">
        <v>1073295</v>
      </c>
      <c r="F371" s="6">
        <v>132157</v>
      </c>
      <c r="G371" s="6">
        <v>1440</v>
      </c>
      <c r="H371" s="6">
        <v>321</v>
      </c>
      <c r="I371" s="6">
        <v>57547</v>
      </c>
      <c r="J371" s="6">
        <v>883387</v>
      </c>
      <c r="K371" s="6">
        <v>2645</v>
      </c>
      <c r="L371" s="6"/>
      <c r="M371" s="6">
        <v>17721</v>
      </c>
      <c r="N371" s="6">
        <v>25637</v>
      </c>
      <c r="O371" s="6">
        <v>21465</v>
      </c>
      <c r="P371" s="6">
        <v>5149</v>
      </c>
      <c r="Q371" s="6">
        <v>52251</v>
      </c>
    </row>
    <row r="372" spans="1:17" x14ac:dyDescent="0.35">
      <c r="A372" s="1">
        <v>40170</v>
      </c>
      <c r="B372" s="6">
        <v>2183678</v>
      </c>
      <c r="C372" s="6">
        <v>1220369</v>
      </c>
      <c r="D372" s="6">
        <v>0</v>
      </c>
      <c r="E372" s="6">
        <v>1082520</v>
      </c>
      <c r="F372" s="6">
        <v>119439</v>
      </c>
      <c r="G372" s="6">
        <v>2295</v>
      </c>
      <c r="H372" s="6">
        <v>1115</v>
      </c>
      <c r="I372" s="6">
        <v>60725</v>
      </c>
      <c r="J372" s="6">
        <v>888785</v>
      </c>
      <c r="K372" s="6">
        <v>2460</v>
      </c>
      <c r="L372" s="6"/>
      <c r="M372" s="6">
        <v>11339</v>
      </c>
      <c r="N372" s="6">
        <v>25643</v>
      </c>
      <c r="O372" s="6">
        <v>21473</v>
      </c>
      <c r="P372" s="6">
        <v>5008</v>
      </c>
      <c r="Q372" s="6">
        <v>52124</v>
      </c>
    </row>
    <row r="373" spans="1:17" x14ac:dyDescent="0.35">
      <c r="A373" s="1">
        <v>40177</v>
      </c>
      <c r="B373" s="6">
        <v>2181947</v>
      </c>
      <c r="C373" s="6">
        <v>1209135</v>
      </c>
      <c r="D373" s="6">
        <v>0</v>
      </c>
      <c r="E373" s="6">
        <v>1025271</v>
      </c>
      <c r="F373" s="6">
        <v>149819</v>
      </c>
      <c r="G373" s="6">
        <v>2269</v>
      </c>
      <c r="H373" s="6">
        <v>26774</v>
      </c>
      <c r="I373" s="6">
        <v>70450</v>
      </c>
      <c r="J373" s="6">
        <v>889678</v>
      </c>
      <c r="K373" s="6">
        <v>2233</v>
      </c>
      <c r="L373" s="6"/>
      <c r="M373" s="6">
        <v>10451</v>
      </c>
      <c r="N373" s="6">
        <v>25645</v>
      </c>
      <c r="O373" s="6">
        <v>21482</v>
      </c>
      <c r="P373" s="6">
        <v>4993</v>
      </c>
      <c r="Q373" s="6">
        <v>52119</v>
      </c>
    </row>
    <row r="374" spans="1:17" x14ac:dyDescent="0.35">
      <c r="A374" s="1">
        <v>40184</v>
      </c>
      <c r="B374" s="6">
        <v>2183156</v>
      </c>
      <c r="C374" s="6">
        <v>1218664</v>
      </c>
      <c r="D374" s="6">
        <v>0</v>
      </c>
      <c r="E374" s="6">
        <v>1024498</v>
      </c>
      <c r="F374" s="6">
        <v>166555</v>
      </c>
      <c r="G374" s="6">
        <v>3149</v>
      </c>
      <c r="H374" s="6">
        <v>19461</v>
      </c>
      <c r="I374" s="6">
        <v>67572</v>
      </c>
      <c r="J374" s="6">
        <v>884449</v>
      </c>
      <c r="K374" s="6">
        <v>3733</v>
      </c>
      <c r="L374" s="6"/>
      <c r="M374" s="6">
        <v>8738</v>
      </c>
      <c r="N374" s="6">
        <v>25651</v>
      </c>
      <c r="O374" s="6">
        <v>25166</v>
      </c>
      <c r="P374" s="6">
        <v>1330</v>
      </c>
      <c r="Q374" s="6">
        <v>52148</v>
      </c>
    </row>
    <row r="375" spans="1:17" x14ac:dyDescent="0.35">
      <c r="A375" s="1">
        <v>40191</v>
      </c>
      <c r="B375" s="6">
        <v>2239377</v>
      </c>
      <c r="C375" s="6">
        <v>1276233</v>
      </c>
      <c r="D375" s="6">
        <v>0</v>
      </c>
      <c r="E375" s="6">
        <v>1135245</v>
      </c>
      <c r="F375" s="6">
        <v>124175</v>
      </c>
      <c r="G375" s="6">
        <v>2884</v>
      </c>
      <c r="H375" s="6">
        <v>8927</v>
      </c>
      <c r="I375" s="6">
        <v>64366</v>
      </c>
      <c r="J375" s="6">
        <v>879220</v>
      </c>
      <c r="K375" s="6">
        <v>2879</v>
      </c>
      <c r="L375" s="6"/>
      <c r="M375" s="6">
        <v>16679</v>
      </c>
      <c r="N375" s="6">
        <v>25652</v>
      </c>
      <c r="O375" s="6">
        <v>25296</v>
      </c>
      <c r="P375" s="6">
        <v>1375</v>
      </c>
      <c r="Q375" s="6">
        <v>52324</v>
      </c>
    </row>
    <row r="376" spans="1:17" x14ac:dyDescent="0.35">
      <c r="A376" s="1">
        <v>40198</v>
      </c>
      <c r="B376" s="6">
        <v>2199819</v>
      </c>
      <c r="C376" s="6">
        <v>1242111</v>
      </c>
      <c r="D376" s="6">
        <v>0</v>
      </c>
      <c r="E376" s="6">
        <v>1063042</v>
      </c>
      <c r="F376" s="6">
        <v>170437</v>
      </c>
      <c r="G376" s="6">
        <v>3215</v>
      </c>
      <c r="H376" s="6">
        <v>415</v>
      </c>
      <c r="I376" s="6">
        <v>62930</v>
      </c>
      <c r="J376" s="6">
        <v>879322</v>
      </c>
      <c r="K376" s="6">
        <v>3594</v>
      </c>
      <c r="L376" s="6"/>
      <c r="M376" s="6">
        <v>11862</v>
      </c>
      <c r="N376" s="6">
        <v>25649</v>
      </c>
      <c r="O376" s="6">
        <v>25192</v>
      </c>
      <c r="P376" s="6">
        <v>1147</v>
      </c>
      <c r="Q376" s="6">
        <v>51987</v>
      </c>
    </row>
    <row r="377" spans="1:17" x14ac:dyDescent="0.35">
      <c r="A377" s="1">
        <v>40205</v>
      </c>
      <c r="B377" s="6">
        <v>2194515</v>
      </c>
      <c r="C377" s="6">
        <v>1246343</v>
      </c>
      <c r="D377" s="6">
        <v>0</v>
      </c>
      <c r="E377" s="6">
        <v>1110737</v>
      </c>
      <c r="F377" s="6">
        <v>126772</v>
      </c>
      <c r="G377" s="6">
        <v>3466</v>
      </c>
      <c r="H377" s="6">
        <v>367</v>
      </c>
      <c r="I377" s="6">
        <v>57794</v>
      </c>
      <c r="J377" s="6">
        <v>878375</v>
      </c>
      <c r="K377" s="6">
        <v>2417</v>
      </c>
      <c r="L377" s="6"/>
      <c r="M377" s="6">
        <v>9586</v>
      </c>
      <c r="N377" s="6">
        <v>25668</v>
      </c>
      <c r="O377" s="6">
        <v>25294</v>
      </c>
      <c r="P377" s="6">
        <v>1408</v>
      </c>
      <c r="Q377" s="6">
        <v>52371</v>
      </c>
    </row>
    <row r="378" spans="1:17" x14ac:dyDescent="0.35">
      <c r="A378" s="1">
        <v>40212</v>
      </c>
      <c r="B378" s="6">
        <v>2197319</v>
      </c>
      <c r="C378" s="6">
        <v>1248379</v>
      </c>
      <c r="D378" s="6">
        <v>0</v>
      </c>
      <c r="E378" s="6">
        <v>1116260</v>
      </c>
      <c r="F378" s="6">
        <v>122517</v>
      </c>
      <c r="G378" s="6">
        <v>4228</v>
      </c>
      <c r="H378" s="6">
        <v>372</v>
      </c>
      <c r="I378" s="6">
        <v>53720</v>
      </c>
      <c r="J378" s="6">
        <v>883465</v>
      </c>
      <c r="K378" s="6">
        <v>2742</v>
      </c>
      <c r="L378" s="6"/>
      <c r="M378" s="6">
        <v>9015</v>
      </c>
      <c r="N378" s="6">
        <v>25672</v>
      </c>
      <c r="O378" s="6">
        <v>25207</v>
      </c>
      <c r="P378" s="6">
        <v>1121</v>
      </c>
      <c r="Q378" s="6">
        <v>52000</v>
      </c>
    </row>
    <row r="379" spans="1:17" x14ac:dyDescent="0.35">
      <c r="A379" s="1">
        <v>40219</v>
      </c>
      <c r="B379" s="6">
        <v>2203855</v>
      </c>
      <c r="C379" s="6">
        <v>1243262</v>
      </c>
      <c r="D379" s="6">
        <v>0</v>
      </c>
      <c r="E379" s="6">
        <v>1163597</v>
      </c>
      <c r="F379" s="6">
        <v>68082</v>
      </c>
      <c r="G379" s="6">
        <v>2789</v>
      </c>
      <c r="H379" s="6">
        <v>3794</v>
      </c>
      <c r="I379" s="6">
        <v>53137</v>
      </c>
      <c r="J379" s="6">
        <v>889092</v>
      </c>
      <c r="K379" s="6">
        <v>2377</v>
      </c>
      <c r="L379" s="6"/>
      <c r="M379" s="6">
        <v>15987</v>
      </c>
      <c r="N379" s="6">
        <v>25677</v>
      </c>
      <c r="O379" s="6">
        <v>25229</v>
      </c>
      <c r="P379" s="6">
        <v>1917</v>
      </c>
      <c r="Q379" s="6">
        <v>52823</v>
      </c>
    </row>
    <row r="380" spans="1:17" x14ac:dyDescent="0.35">
      <c r="A380" s="1">
        <v>40226</v>
      </c>
      <c r="B380" s="6">
        <v>2225047</v>
      </c>
      <c r="C380" s="6">
        <v>1263328</v>
      </c>
      <c r="D380" s="6">
        <v>0</v>
      </c>
      <c r="E380" s="6">
        <v>1205165</v>
      </c>
      <c r="F380" s="6">
        <v>49702</v>
      </c>
      <c r="G380" s="6">
        <v>3070</v>
      </c>
      <c r="H380" s="6">
        <v>391</v>
      </c>
      <c r="I380" s="6">
        <v>54888</v>
      </c>
      <c r="J380" s="6">
        <v>892985</v>
      </c>
      <c r="K380" s="6">
        <v>3207</v>
      </c>
      <c r="L380" s="6"/>
      <c r="M380" s="6">
        <v>10640</v>
      </c>
      <c r="N380" s="6">
        <v>25765</v>
      </c>
      <c r="O380" s="6">
        <v>25223</v>
      </c>
      <c r="P380" s="6">
        <v>1539</v>
      </c>
      <c r="Q380" s="6">
        <v>52527</v>
      </c>
    </row>
    <row r="381" spans="1:17" x14ac:dyDescent="0.35">
      <c r="A381" s="1">
        <v>40233</v>
      </c>
      <c r="B381" s="6">
        <v>2232841</v>
      </c>
      <c r="C381" s="6">
        <v>1272212</v>
      </c>
      <c r="D381" s="6">
        <v>0</v>
      </c>
      <c r="E381" s="6">
        <v>1248923</v>
      </c>
      <c r="F381" s="6">
        <v>12922</v>
      </c>
      <c r="G381" s="6">
        <v>4633</v>
      </c>
      <c r="H381" s="6">
        <v>733</v>
      </c>
      <c r="I381" s="6">
        <v>56563</v>
      </c>
      <c r="J381" s="6">
        <v>892062</v>
      </c>
      <c r="K381" s="6">
        <v>2134</v>
      </c>
      <c r="L381" s="6"/>
      <c r="M381" s="6">
        <v>9871</v>
      </c>
      <c r="N381" s="6">
        <v>25798</v>
      </c>
      <c r="O381" s="6">
        <v>25275</v>
      </c>
      <c r="P381" s="6">
        <v>2212</v>
      </c>
      <c r="Q381" s="6">
        <v>53285</v>
      </c>
    </row>
    <row r="382" spans="1:17" x14ac:dyDescent="0.35">
      <c r="A382" s="1">
        <v>40240</v>
      </c>
      <c r="B382" s="6">
        <v>2226872</v>
      </c>
      <c r="C382" s="6">
        <v>1267463</v>
      </c>
      <c r="D382" s="6">
        <v>0</v>
      </c>
      <c r="E382" s="6">
        <v>1186082</v>
      </c>
      <c r="F382" s="6">
        <v>53279</v>
      </c>
      <c r="G382" s="6">
        <v>2795</v>
      </c>
      <c r="H382" s="6">
        <v>310</v>
      </c>
      <c r="I382" s="6">
        <v>55205</v>
      </c>
      <c r="J382" s="6">
        <v>892784</v>
      </c>
      <c r="K382" s="6">
        <v>2722</v>
      </c>
      <c r="L382" s="6"/>
      <c r="M382" s="6">
        <v>8697</v>
      </c>
      <c r="N382" s="6">
        <v>25855</v>
      </c>
      <c r="O382" s="6">
        <v>25474</v>
      </c>
      <c r="P382" s="6">
        <v>1947</v>
      </c>
      <c r="Q382" s="6">
        <v>53276</v>
      </c>
    </row>
    <row r="383" spans="1:17" x14ac:dyDescent="0.35">
      <c r="A383" s="1">
        <v>40247</v>
      </c>
      <c r="B383" s="6">
        <v>2229656</v>
      </c>
      <c r="C383" s="6">
        <v>1266950</v>
      </c>
      <c r="D383" s="6">
        <v>0</v>
      </c>
      <c r="E383" s="6">
        <v>1190756</v>
      </c>
      <c r="F383" s="6">
        <v>23292</v>
      </c>
      <c r="G383" s="6">
        <v>2616</v>
      </c>
      <c r="H383" s="6">
        <v>295</v>
      </c>
      <c r="I383" s="6">
        <v>55903</v>
      </c>
      <c r="J383" s="6">
        <v>893623</v>
      </c>
      <c r="K383" s="6">
        <v>2317</v>
      </c>
      <c r="L383" s="6"/>
      <c r="M383" s="6">
        <v>10862</v>
      </c>
      <c r="N383" s="6">
        <v>26076</v>
      </c>
      <c r="O383" s="6">
        <v>25389</v>
      </c>
      <c r="P383" s="6">
        <v>1353</v>
      </c>
      <c r="Q383" s="6">
        <v>52818</v>
      </c>
    </row>
    <row r="384" spans="1:17" x14ac:dyDescent="0.35">
      <c r="A384" s="1">
        <v>40254</v>
      </c>
      <c r="B384" s="6">
        <v>2254417</v>
      </c>
      <c r="C384" s="6">
        <v>1293565</v>
      </c>
      <c r="D384" s="6">
        <v>0</v>
      </c>
      <c r="E384" s="6">
        <v>1118090</v>
      </c>
      <c r="F384" s="6">
        <v>97429</v>
      </c>
      <c r="G384" s="6">
        <v>2746</v>
      </c>
      <c r="H384" s="6">
        <v>311</v>
      </c>
      <c r="I384" s="6">
        <v>55696</v>
      </c>
      <c r="J384" s="6">
        <v>893265</v>
      </c>
      <c r="K384" s="6">
        <v>2336</v>
      </c>
      <c r="L384" s="6"/>
      <c r="M384" s="6">
        <v>9555</v>
      </c>
      <c r="N384" s="6">
        <v>26221</v>
      </c>
      <c r="O384" s="6">
        <v>25499</v>
      </c>
      <c r="P384" s="6">
        <v>1860</v>
      </c>
      <c r="Q384" s="6">
        <v>53580</v>
      </c>
    </row>
    <row r="385" spans="1:17" x14ac:dyDescent="0.35">
      <c r="A385" s="1">
        <v>40261</v>
      </c>
      <c r="B385" s="6">
        <v>2260111</v>
      </c>
      <c r="C385" s="6">
        <v>1300884</v>
      </c>
      <c r="D385" s="6">
        <v>0</v>
      </c>
      <c r="E385" s="6">
        <v>1147747</v>
      </c>
      <c r="F385" s="6">
        <v>50104</v>
      </c>
      <c r="G385" s="6">
        <v>2420</v>
      </c>
      <c r="H385" s="6">
        <v>629</v>
      </c>
      <c r="I385" s="6">
        <v>54719</v>
      </c>
      <c r="J385" s="6">
        <v>893035</v>
      </c>
      <c r="K385" s="6">
        <v>2145</v>
      </c>
      <c r="L385" s="6"/>
      <c r="M385" s="6">
        <v>9328</v>
      </c>
      <c r="N385" s="6">
        <v>26247</v>
      </c>
      <c r="O385" s="6">
        <v>25321</v>
      </c>
      <c r="P385" s="6">
        <v>1469</v>
      </c>
      <c r="Q385" s="6">
        <v>53037</v>
      </c>
    </row>
    <row r="386" spans="1:17" x14ac:dyDescent="0.35">
      <c r="A386" s="1">
        <v>40268</v>
      </c>
      <c r="B386" s="6">
        <v>2254911</v>
      </c>
      <c r="C386" s="6">
        <v>1291505</v>
      </c>
      <c r="D386" s="6">
        <v>0</v>
      </c>
      <c r="E386" s="6">
        <v>1053876</v>
      </c>
      <c r="F386" s="6">
        <v>91519</v>
      </c>
      <c r="G386" s="6">
        <v>1668</v>
      </c>
      <c r="H386" s="6">
        <v>19463</v>
      </c>
      <c r="I386" s="6">
        <v>57766</v>
      </c>
      <c r="J386" s="6">
        <v>894146</v>
      </c>
      <c r="K386" s="6">
        <v>2122</v>
      </c>
      <c r="L386" s="6"/>
      <c r="M386" s="6">
        <v>9372</v>
      </c>
      <c r="N386" s="6">
        <v>26255</v>
      </c>
      <c r="O386" s="6">
        <v>24845</v>
      </c>
      <c r="P386" s="6">
        <v>1138</v>
      </c>
      <c r="Q386" s="6">
        <v>52239</v>
      </c>
    </row>
    <row r="387" spans="1:17" x14ac:dyDescent="0.35">
      <c r="A387" s="1">
        <v>40275</v>
      </c>
      <c r="B387" s="6">
        <v>2254540</v>
      </c>
      <c r="C387" s="6">
        <v>1290136</v>
      </c>
      <c r="D387" s="6">
        <v>0</v>
      </c>
      <c r="E387" s="6">
        <v>1114288</v>
      </c>
      <c r="F387" s="6">
        <v>20439</v>
      </c>
      <c r="G387" s="6">
        <v>5075</v>
      </c>
      <c r="H387" s="6">
        <v>360</v>
      </c>
      <c r="I387" s="6">
        <v>56091</v>
      </c>
      <c r="J387" s="6">
        <v>896295</v>
      </c>
      <c r="K387" s="6">
        <v>2466</v>
      </c>
      <c r="L387" s="6"/>
      <c r="M387" s="6">
        <v>9552</v>
      </c>
      <c r="N387" s="6">
        <v>26258</v>
      </c>
      <c r="O387" s="6">
        <v>25339</v>
      </c>
      <c r="P387" s="6">
        <v>1438</v>
      </c>
      <c r="Q387" s="6">
        <v>53035</v>
      </c>
    </row>
    <row r="388" spans="1:17" x14ac:dyDescent="0.35">
      <c r="A388" s="1">
        <v>40282</v>
      </c>
      <c r="B388" s="6">
        <v>2285005</v>
      </c>
      <c r="C388" s="6">
        <v>1320115</v>
      </c>
      <c r="D388" s="6">
        <v>0</v>
      </c>
      <c r="E388" s="6">
        <v>1063980</v>
      </c>
      <c r="F388" s="6">
        <v>9478</v>
      </c>
      <c r="G388" s="6">
        <v>2646</v>
      </c>
      <c r="H388" s="6">
        <v>69044</v>
      </c>
      <c r="I388" s="6">
        <v>55226</v>
      </c>
      <c r="J388" s="6">
        <v>895450</v>
      </c>
      <c r="K388" s="6">
        <v>2433</v>
      </c>
      <c r="L388" s="6"/>
      <c r="M388" s="6">
        <v>11781</v>
      </c>
      <c r="N388" s="6">
        <v>26223</v>
      </c>
      <c r="O388" s="6">
        <v>25556</v>
      </c>
      <c r="P388" s="6">
        <v>2562</v>
      </c>
      <c r="Q388" s="6">
        <v>54340</v>
      </c>
    </row>
    <row r="389" spans="1:17" x14ac:dyDescent="0.35">
      <c r="A389" s="1">
        <v>40289</v>
      </c>
      <c r="B389" s="6">
        <v>2283696</v>
      </c>
      <c r="C389" s="6">
        <v>1323622</v>
      </c>
      <c r="D389" s="6">
        <v>0</v>
      </c>
      <c r="E389" s="6">
        <v>1059294</v>
      </c>
      <c r="F389" s="6">
        <v>61746</v>
      </c>
      <c r="G389" s="6">
        <v>2233</v>
      </c>
      <c r="H389" s="6">
        <v>389</v>
      </c>
      <c r="I389" s="6">
        <v>52078</v>
      </c>
      <c r="J389" s="6">
        <v>894760</v>
      </c>
      <c r="K389" s="6">
        <v>2311</v>
      </c>
      <c r="L389" s="6"/>
      <c r="M389" s="6">
        <v>10926</v>
      </c>
      <c r="N389" s="6">
        <v>26228</v>
      </c>
      <c r="O389" s="6">
        <v>25589</v>
      </c>
      <c r="P389" s="6">
        <v>2044</v>
      </c>
      <c r="Q389" s="6">
        <v>53860</v>
      </c>
    </row>
    <row r="390" spans="1:17" x14ac:dyDescent="0.35">
      <c r="A390" s="1">
        <v>40296</v>
      </c>
      <c r="B390" s="6">
        <v>2274979</v>
      </c>
      <c r="C390" s="6">
        <v>1311410</v>
      </c>
      <c r="D390" s="6">
        <v>0</v>
      </c>
      <c r="E390" s="6">
        <v>1048805</v>
      </c>
      <c r="F390" s="6">
        <v>56908</v>
      </c>
      <c r="G390" s="6">
        <v>5393</v>
      </c>
      <c r="H390" s="6">
        <v>346</v>
      </c>
      <c r="I390" s="6">
        <v>54102</v>
      </c>
      <c r="J390" s="6">
        <v>895339</v>
      </c>
      <c r="K390" s="6">
        <v>2151</v>
      </c>
      <c r="L390" s="6"/>
      <c r="M390" s="6">
        <v>11976</v>
      </c>
      <c r="N390" s="6">
        <v>26234</v>
      </c>
      <c r="O390" s="6">
        <v>25589</v>
      </c>
      <c r="P390" s="6">
        <v>3670</v>
      </c>
      <c r="Q390" s="6">
        <v>55493</v>
      </c>
    </row>
    <row r="391" spans="1:17" x14ac:dyDescent="0.35">
      <c r="A391" s="1">
        <v>40303</v>
      </c>
      <c r="B391" s="6">
        <v>2271825</v>
      </c>
      <c r="C391" s="6">
        <v>1306108</v>
      </c>
      <c r="D391" s="6">
        <v>0</v>
      </c>
      <c r="E391" s="6">
        <v>1032739</v>
      </c>
      <c r="F391" s="6">
        <v>69940</v>
      </c>
      <c r="G391" s="6">
        <v>3051</v>
      </c>
      <c r="H391" s="6">
        <v>421</v>
      </c>
      <c r="I391" s="6">
        <v>53483</v>
      </c>
      <c r="J391" s="6">
        <v>897515</v>
      </c>
      <c r="K391" s="6">
        <v>2713</v>
      </c>
      <c r="L391" s="6"/>
      <c r="M391" s="6">
        <v>12006</v>
      </c>
      <c r="N391" s="6">
        <v>26330</v>
      </c>
      <c r="O391" s="6">
        <v>25587</v>
      </c>
      <c r="P391" s="6">
        <v>2422</v>
      </c>
      <c r="Q391" s="6">
        <v>54339</v>
      </c>
    </row>
    <row r="392" spans="1:17" x14ac:dyDescent="0.35">
      <c r="A392" s="1">
        <v>40310</v>
      </c>
      <c r="B392" s="6">
        <v>2281309</v>
      </c>
      <c r="C392" s="6">
        <v>1310842</v>
      </c>
      <c r="D392" s="6">
        <v>0</v>
      </c>
      <c r="E392" s="6">
        <v>1092845</v>
      </c>
      <c r="F392" s="6">
        <v>16293</v>
      </c>
      <c r="G392" s="6">
        <v>1413</v>
      </c>
      <c r="H392" s="6">
        <v>333</v>
      </c>
      <c r="I392" s="6">
        <v>56647</v>
      </c>
      <c r="J392" s="6">
        <v>898681</v>
      </c>
      <c r="K392" s="6">
        <v>2372</v>
      </c>
      <c r="L392" s="6"/>
      <c r="M392" s="6">
        <v>12766</v>
      </c>
      <c r="N392" s="6">
        <v>26386</v>
      </c>
      <c r="O392" s="6">
        <v>25614</v>
      </c>
      <c r="P392" s="6">
        <v>2794</v>
      </c>
      <c r="Q392" s="6">
        <v>54794</v>
      </c>
    </row>
    <row r="393" spans="1:17" x14ac:dyDescent="0.35">
      <c r="A393" s="1">
        <v>40317</v>
      </c>
      <c r="B393" s="6">
        <v>2295868</v>
      </c>
      <c r="C393" s="6">
        <v>1327711</v>
      </c>
      <c r="D393" s="6">
        <v>0</v>
      </c>
      <c r="E393" s="6">
        <v>1095739</v>
      </c>
      <c r="F393" s="6">
        <v>30213</v>
      </c>
      <c r="G393" s="6">
        <v>1478</v>
      </c>
      <c r="H393" s="6">
        <v>322</v>
      </c>
      <c r="I393" s="6">
        <v>55764</v>
      </c>
      <c r="J393" s="6">
        <v>897568</v>
      </c>
      <c r="K393" s="6">
        <v>2359</v>
      </c>
      <c r="L393" s="6"/>
      <c r="M393" s="6">
        <v>12466</v>
      </c>
      <c r="N393" s="6">
        <v>26423</v>
      </c>
      <c r="O393" s="6">
        <v>25636</v>
      </c>
      <c r="P393" s="6">
        <v>2964</v>
      </c>
      <c r="Q393" s="6">
        <v>55022</v>
      </c>
    </row>
    <row r="394" spans="1:17" x14ac:dyDescent="0.35">
      <c r="A394" s="1">
        <v>40324</v>
      </c>
      <c r="B394" s="6">
        <v>2278993</v>
      </c>
      <c r="C394" s="6">
        <v>1306800</v>
      </c>
      <c r="D394" s="6">
        <v>0</v>
      </c>
      <c r="E394" s="6">
        <v>1088403</v>
      </c>
      <c r="F394" s="6">
        <v>16728</v>
      </c>
      <c r="G394" s="6">
        <v>1349</v>
      </c>
      <c r="H394" s="6">
        <v>362</v>
      </c>
      <c r="I394" s="6">
        <v>58158</v>
      </c>
      <c r="J394" s="6">
        <v>899782</v>
      </c>
      <c r="K394" s="6">
        <v>2092</v>
      </c>
      <c r="L394" s="6"/>
      <c r="M394" s="6">
        <v>12162</v>
      </c>
      <c r="N394" s="6">
        <v>26416</v>
      </c>
      <c r="O394" s="6">
        <v>25668</v>
      </c>
      <c r="P394" s="6">
        <v>2963</v>
      </c>
      <c r="Q394" s="6">
        <v>55048</v>
      </c>
    </row>
    <row r="395" spans="1:17" x14ac:dyDescent="0.35">
      <c r="A395" s="1">
        <v>40331</v>
      </c>
      <c r="B395" s="6">
        <v>2281258</v>
      </c>
      <c r="C395" s="6">
        <v>1303278</v>
      </c>
      <c r="D395" s="6">
        <v>0</v>
      </c>
      <c r="E395" s="6">
        <v>1038827</v>
      </c>
      <c r="F395" s="6">
        <v>62317</v>
      </c>
      <c r="G395" s="6">
        <v>1824</v>
      </c>
      <c r="H395" s="6">
        <v>351</v>
      </c>
      <c r="I395" s="6">
        <v>59116</v>
      </c>
      <c r="J395" s="6">
        <v>903727</v>
      </c>
      <c r="K395" s="6">
        <v>3225</v>
      </c>
      <c r="L395" s="6"/>
      <c r="M395" s="6">
        <v>11913</v>
      </c>
      <c r="N395" s="6">
        <v>26406</v>
      </c>
      <c r="O395" s="6">
        <v>25665</v>
      </c>
      <c r="P395" s="6">
        <v>2886</v>
      </c>
      <c r="Q395" s="6">
        <v>54957</v>
      </c>
    </row>
    <row r="396" spans="1:17" x14ac:dyDescent="0.35">
      <c r="A396" s="1">
        <v>40338</v>
      </c>
      <c r="B396" s="6">
        <v>2275985</v>
      </c>
      <c r="C396" s="6">
        <v>1299568</v>
      </c>
      <c r="D396" s="6">
        <v>0</v>
      </c>
      <c r="E396" s="6">
        <v>1078093</v>
      </c>
      <c r="F396" s="6">
        <v>19140</v>
      </c>
      <c r="G396" s="6">
        <v>2022</v>
      </c>
      <c r="H396" s="6">
        <v>354</v>
      </c>
      <c r="I396" s="6">
        <v>60763</v>
      </c>
      <c r="J396" s="6">
        <v>901394</v>
      </c>
      <c r="K396" s="6">
        <v>2419</v>
      </c>
      <c r="L396" s="6"/>
      <c r="M396" s="6">
        <v>11841</v>
      </c>
      <c r="N396" s="6">
        <v>26392</v>
      </c>
      <c r="O396" s="6">
        <v>25693</v>
      </c>
      <c r="P396" s="6">
        <v>3458</v>
      </c>
      <c r="Q396" s="6">
        <v>55544</v>
      </c>
    </row>
    <row r="397" spans="1:17" x14ac:dyDescent="0.35">
      <c r="A397" s="1">
        <v>40345</v>
      </c>
      <c r="B397" s="6">
        <v>2288364</v>
      </c>
      <c r="C397" s="6">
        <v>1313839</v>
      </c>
      <c r="D397" s="6">
        <v>0</v>
      </c>
      <c r="E397" s="6">
        <v>1020678</v>
      </c>
      <c r="F397" s="6">
        <v>85771</v>
      </c>
      <c r="G397" s="6">
        <v>1924</v>
      </c>
      <c r="H397" s="6">
        <v>5503</v>
      </c>
      <c r="I397" s="6">
        <v>59442</v>
      </c>
      <c r="J397" s="6">
        <v>899858</v>
      </c>
      <c r="K397" s="6">
        <v>2341</v>
      </c>
      <c r="L397" s="6"/>
      <c r="M397" s="6">
        <v>12884</v>
      </c>
      <c r="N397" s="6">
        <v>26239</v>
      </c>
      <c r="O397" s="6">
        <v>25764</v>
      </c>
      <c r="P397" s="6">
        <v>3948</v>
      </c>
      <c r="Q397" s="6">
        <v>55952</v>
      </c>
    </row>
    <row r="398" spans="1:17" x14ac:dyDescent="0.35">
      <c r="A398" s="1">
        <v>40352</v>
      </c>
      <c r="B398" s="6">
        <v>2288600</v>
      </c>
      <c r="C398" s="6">
        <v>1314448</v>
      </c>
      <c r="D398" s="6">
        <v>1152</v>
      </c>
      <c r="E398" s="6">
        <v>1062348</v>
      </c>
      <c r="F398" s="6">
        <v>46350</v>
      </c>
      <c r="G398" s="6">
        <v>2324</v>
      </c>
      <c r="H398" s="6">
        <v>2308</v>
      </c>
      <c r="I398" s="6">
        <v>60306</v>
      </c>
      <c r="J398" s="6">
        <v>899735</v>
      </c>
      <c r="K398" s="6">
        <v>1898</v>
      </c>
      <c r="L398" s="6"/>
      <c r="M398" s="6">
        <v>12213</v>
      </c>
      <c r="N398" s="6">
        <v>26245</v>
      </c>
      <c r="O398" s="6">
        <v>25792</v>
      </c>
      <c r="P398" s="6">
        <v>3860</v>
      </c>
      <c r="Q398" s="6">
        <v>55897</v>
      </c>
    </row>
    <row r="399" spans="1:17" x14ac:dyDescent="0.35">
      <c r="A399" s="1">
        <v>40359</v>
      </c>
      <c r="B399" s="6">
        <v>2274649</v>
      </c>
      <c r="C399" s="6">
        <v>1289799</v>
      </c>
      <c r="D399" s="6">
        <v>1152</v>
      </c>
      <c r="E399" s="6">
        <v>972337</v>
      </c>
      <c r="F399" s="6">
        <v>87615</v>
      </c>
      <c r="G399" s="6">
        <v>1214</v>
      </c>
      <c r="H399" s="6">
        <v>27516</v>
      </c>
      <c r="I399" s="6">
        <v>67223</v>
      </c>
      <c r="J399" s="6">
        <v>904130</v>
      </c>
      <c r="K399" s="6">
        <v>2212</v>
      </c>
      <c r="L399" s="6"/>
      <c r="M399" s="6">
        <v>11284</v>
      </c>
      <c r="N399" s="6">
        <v>26620</v>
      </c>
      <c r="O399" s="6">
        <v>25798</v>
      </c>
      <c r="P399" s="6">
        <v>3784</v>
      </c>
      <c r="Q399" s="6">
        <v>56202</v>
      </c>
    </row>
    <row r="400" spans="1:17" x14ac:dyDescent="0.35">
      <c r="A400" s="1">
        <v>40366</v>
      </c>
      <c r="B400" s="6">
        <v>2275083</v>
      </c>
      <c r="C400" s="6">
        <v>1289917</v>
      </c>
      <c r="D400" s="6">
        <v>2122</v>
      </c>
      <c r="E400" s="6">
        <v>1059117</v>
      </c>
      <c r="F400" s="6">
        <v>16475</v>
      </c>
      <c r="G400" s="6">
        <v>1646</v>
      </c>
      <c r="H400" s="6">
        <v>10593</v>
      </c>
      <c r="I400" s="6">
        <v>62904</v>
      </c>
      <c r="J400" s="6">
        <v>907698</v>
      </c>
      <c r="K400" s="6">
        <v>3426</v>
      </c>
      <c r="L400" s="6"/>
      <c r="M400" s="6">
        <v>11139</v>
      </c>
      <c r="N400" s="6">
        <v>26660</v>
      </c>
      <c r="O400" s="6">
        <v>25804</v>
      </c>
      <c r="P400" s="6">
        <v>4470</v>
      </c>
      <c r="Q400" s="6">
        <v>56934</v>
      </c>
    </row>
    <row r="401" spans="1:17" x14ac:dyDescent="0.35">
      <c r="A401" s="1">
        <v>40373</v>
      </c>
      <c r="B401" s="6">
        <v>2284034</v>
      </c>
      <c r="C401" s="6">
        <v>1301268</v>
      </c>
      <c r="D401" s="6">
        <v>2122</v>
      </c>
      <c r="E401" s="6">
        <v>1071263</v>
      </c>
      <c r="F401" s="6">
        <v>7866</v>
      </c>
      <c r="G401" s="6">
        <v>1254</v>
      </c>
      <c r="H401" s="6">
        <v>18802</v>
      </c>
      <c r="I401" s="6">
        <v>62265</v>
      </c>
      <c r="J401" s="6">
        <v>904540</v>
      </c>
      <c r="K401" s="6">
        <v>2356</v>
      </c>
      <c r="L401" s="6"/>
      <c r="M401" s="6">
        <v>13605</v>
      </c>
      <c r="N401" s="6">
        <v>26661</v>
      </c>
      <c r="O401" s="6">
        <v>25810</v>
      </c>
      <c r="P401" s="6">
        <v>4211</v>
      </c>
      <c r="Q401" s="6">
        <v>56682</v>
      </c>
    </row>
    <row r="402" spans="1:17" x14ac:dyDescent="0.35">
      <c r="A402" s="1">
        <v>40380</v>
      </c>
      <c r="B402" s="6">
        <v>2275483</v>
      </c>
      <c r="C402" s="6">
        <v>1298309</v>
      </c>
      <c r="D402" s="6">
        <v>4241</v>
      </c>
      <c r="E402" s="6">
        <v>1048285</v>
      </c>
      <c r="F402" s="6">
        <v>43865</v>
      </c>
      <c r="G402" s="6">
        <v>1448</v>
      </c>
      <c r="H402" s="6">
        <v>508</v>
      </c>
      <c r="I402" s="6">
        <v>61467</v>
      </c>
      <c r="J402" s="6">
        <v>902259</v>
      </c>
      <c r="K402" s="6">
        <v>2136</v>
      </c>
      <c r="L402" s="6"/>
      <c r="M402" s="6">
        <v>11313</v>
      </c>
      <c r="N402" s="6">
        <v>26661</v>
      </c>
      <c r="O402" s="6">
        <v>25816</v>
      </c>
      <c r="P402" s="6">
        <v>4362</v>
      </c>
      <c r="Q402" s="6">
        <v>56840</v>
      </c>
    </row>
    <row r="403" spans="1:17" x14ac:dyDescent="0.35">
      <c r="A403" s="1">
        <v>40387</v>
      </c>
      <c r="B403" s="6">
        <v>2267183</v>
      </c>
      <c r="C403" s="6">
        <v>1289145</v>
      </c>
      <c r="D403" s="6">
        <v>4241</v>
      </c>
      <c r="E403" s="6">
        <v>1050890</v>
      </c>
      <c r="F403" s="6">
        <v>30415</v>
      </c>
      <c r="G403" s="6">
        <v>3223</v>
      </c>
      <c r="H403" s="6">
        <v>416</v>
      </c>
      <c r="I403" s="6">
        <v>60641</v>
      </c>
      <c r="J403" s="6">
        <v>903334</v>
      </c>
      <c r="K403" s="6">
        <v>2148</v>
      </c>
      <c r="L403" s="6"/>
      <c r="M403" s="6">
        <v>11914</v>
      </c>
      <c r="N403" s="6">
        <v>26665</v>
      </c>
      <c r="O403" s="6">
        <v>25822</v>
      </c>
      <c r="P403" s="6">
        <v>5628</v>
      </c>
      <c r="Q403" s="6">
        <v>58116</v>
      </c>
    </row>
    <row r="404" spans="1:17" x14ac:dyDescent="0.35">
      <c r="A404" s="1">
        <v>40394</v>
      </c>
      <c r="B404" s="6">
        <v>2269629</v>
      </c>
      <c r="C404" s="6">
        <v>1288721</v>
      </c>
      <c r="D404" s="6">
        <v>2119</v>
      </c>
      <c r="E404" s="6">
        <v>1040217</v>
      </c>
      <c r="F404" s="6">
        <v>44013</v>
      </c>
      <c r="G404" s="6">
        <v>2030</v>
      </c>
      <c r="H404" s="6">
        <v>382</v>
      </c>
      <c r="I404" s="6">
        <v>60907</v>
      </c>
      <c r="J404" s="6">
        <v>905775</v>
      </c>
      <c r="K404" s="6">
        <v>2252</v>
      </c>
      <c r="L404" s="6"/>
      <c r="M404" s="6">
        <v>11973</v>
      </c>
      <c r="N404" s="6">
        <v>26669</v>
      </c>
      <c r="O404" s="6">
        <v>25828</v>
      </c>
      <c r="P404" s="6">
        <v>4354</v>
      </c>
      <c r="Q404" s="6">
        <v>56851</v>
      </c>
    </row>
    <row r="405" spans="1:17" x14ac:dyDescent="0.35">
      <c r="A405" s="1">
        <v>40401</v>
      </c>
      <c r="B405" s="6">
        <v>2271070</v>
      </c>
      <c r="C405" s="6">
        <v>1289618</v>
      </c>
      <c r="D405" s="6">
        <v>2119</v>
      </c>
      <c r="E405" s="6">
        <v>1058230</v>
      </c>
      <c r="F405" s="6">
        <v>26932</v>
      </c>
      <c r="G405" s="6">
        <v>2013</v>
      </c>
      <c r="H405" s="6">
        <v>367</v>
      </c>
      <c r="I405" s="6">
        <v>58548</v>
      </c>
      <c r="J405" s="6">
        <v>906918</v>
      </c>
      <c r="K405" s="6">
        <v>2237</v>
      </c>
      <c r="L405" s="6"/>
      <c r="M405" s="6">
        <v>13749</v>
      </c>
      <c r="N405" s="6">
        <v>26671</v>
      </c>
      <c r="O405" s="6">
        <v>25834</v>
      </c>
      <c r="P405" s="6">
        <v>3958</v>
      </c>
      <c r="Q405" s="6">
        <v>56463</v>
      </c>
    </row>
    <row r="406" spans="1:17" x14ac:dyDescent="0.35">
      <c r="A406" s="1">
        <v>40408</v>
      </c>
      <c r="B406" s="6">
        <v>2257141</v>
      </c>
      <c r="C406" s="6">
        <v>1276595</v>
      </c>
      <c r="D406" s="6">
        <v>2119</v>
      </c>
      <c r="E406" s="6">
        <v>1041795</v>
      </c>
      <c r="F406" s="6">
        <v>30217</v>
      </c>
      <c r="G406" s="6">
        <v>2095</v>
      </c>
      <c r="H406" s="6">
        <v>413</v>
      </c>
      <c r="I406" s="6">
        <v>60185</v>
      </c>
      <c r="J406" s="6">
        <v>906756</v>
      </c>
      <c r="K406" s="6">
        <v>2078</v>
      </c>
      <c r="L406" s="6"/>
      <c r="M406" s="6">
        <v>11527</v>
      </c>
      <c r="N406" s="6">
        <v>26693</v>
      </c>
      <c r="O406" s="6">
        <v>25839</v>
      </c>
      <c r="P406" s="6">
        <v>3989</v>
      </c>
      <c r="Q406" s="6">
        <v>56522</v>
      </c>
    </row>
    <row r="407" spans="1:17" x14ac:dyDescent="0.35">
      <c r="A407" s="1">
        <v>40415</v>
      </c>
      <c r="B407" s="6">
        <v>2244705</v>
      </c>
      <c r="C407" s="6">
        <v>1263647</v>
      </c>
      <c r="D407" s="6">
        <v>2119</v>
      </c>
      <c r="E407" s="6">
        <v>1053342</v>
      </c>
      <c r="F407" s="6">
        <v>5889</v>
      </c>
      <c r="G407" s="6">
        <v>1910</v>
      </c>
      <c r="H407" s="6">
        <v>433</v>
      </c>
      <c r="I407" s="6">
        <v>61115</v>
      </c>
      <c r="J407" s="6">
        <v>906277</v>
      </c>
      <c r="K407" s="6">
        <v>1985</v>
      </c>
      <c r="L407" s="6"/>
      <c r="M407" s="6">
        <v>11680</v>
      </c>
      <c r="N407" s="6">
        <v>26722</v>
      </c>
      <c r="O407" s="6">
        <v>25845</v>
      </c>
      <c r="P407" s="6">
        <v>3743</v>
      </c>
      <c r="Q407" s="6">
        <v>56311</v>
      </c>
    </row>
    <row r="408" spans="1:17" x14ac:dyDescent="0.35">
      <c r="A408" s="1">
        <v>40422</v>
      </c>
      <c r="B408" s="6">
        <v>2245375</v>
      </c>
      <c r="C408" s="6">
        <v>1263356</v>
      </c>
      <c r="D408" s="6">
        <v>2119</v>
      </c>
      <c r="E408" s="6">
        <v>1012980</v>
      </c>
      <c r="F408" s="6">
        <v>45737</v>
      </c>
      <c r="G408" s="6">
        <v>2069</v>
      </c>
      <c r="H408" s="6">
        <v>495</v>
      </c>
      <c r="I408" s="6">
        <v>58276</v>
      </c>
      <c r="J408" s="6">
        <v>909873</v>
      </c>
      <c r="K408" s="6">
        <v>2350</v>
      </c>
      <c r="L408" s="6"/>
      <c r="M408" s="6">
        <v>11520</v>
      </c>
      <c r="N408" s="6">
        <v>26675</v>
      </c>
      <c r="O408" s="6">
        <v>25851</v>
      </c>
      <c r="P408" s="6">
        <v>4095</v>
      </c>
      <c r="Q408" s="6">
        <v>56621</v>
      </c>
    </row>
    <row r="409" spans="1:17" x14ac:dyDescent="0.35">
      <c r="A409" s="1">
        <v>40429</v>
      </c>
      <c r="B409" s="6">
        <v>2249187</v>
      </c>
      <c r="C409" s="6">
        <v>1261838</v>
      </c>
      <c r="D409" s="6">
        <v>2119</v>
      </c>
      <c r="E409" s="6">
        <v>1052403</v>
      </c>
      <c r="F409" s="6">
        <v>4859</v>
      </c>
      <c r="G409" s="6">
        <v>2121</v>
      </c>
      <c r="H409" s="6">
        <v>378</v>
      </c>
      <c r="I409" s="6">
        <v>58802</v>
      </c>
      <c r="J409" s="6">
        <v>913687</v>
      </c>
      <c r="K409" s="6">
        <v>3123</v>
      </c>
      <c r="L409" s="6"/>
      <c r="M409" s="6">
        <v>11736</v>
      </c>
      <c r="N409" s="6">
        <v>26675</v>
      </c>
      <c r="O409" s="6">
        <v>25857</v>
      </c>
      <c r="P409" s="6">
        <v>4083</v>
      </c>
      <c r="Q409" s="6">
        <v>56615</v>
      </c>
    </row>
    <row r="410" spans="1:17" x14ac:dyDescent="0.35">
      <c r="A410" s="1">
        <v>40436</v>
      </c>
      <c r="B410" s="6">
        <v>2239555</v>
      </c>
      <c r="C410" s="6">
        <v>1254446</v>
      </c>
      <c r="D410" s="6">
        <v>2119</v>
      </c>
      <c r="E410" s="6">
        <v>934600</v>
      </c>
      <c r="F410" s="6">
        <v>114568</v>
      </c>
      <c r="G410" s="6">
        <v>2792</v>
      </c>
      <c r="H410" s="6">
        <v>407</v>
      </c>
      <c r="I410" s="6">
        <v>59924</v>
      </c>
      <c r="J410" s="6">
        <v>911257</v>
      </c>
      <c r="K410" s="6">
        <v>2268</v>
      </c>
      <c r="L410" s="6"/>
      <c r="M410" s="6">
        <v>11661</v>
      </c>
      <c r="N410" s="6">
        <v>26673</v>
      </c>
      <c r="O410" s="6">
        <v>25863</v>
      </c>
      <c r="P410" s="6">
        <v>3988</v>
      </c>
      <c r="Q410" s="6">
        <v>56524</v>
      </c>
    </row>
    <row r="411" spans="1:17" x14ac:dyDescent="0.35">
      <c r="A411" s="1">
        <v>40443</v>
      </c>
      <c r="B411" s="6">
        <v>2250029</v>
      </c>
      <c r="C411" s="6">
        <v>1265409</v>
      </c>
      <c r="D411" s="6">
        <v>2119</v>
      </c>
      <c r="E411" s="6">
        <v>982493</v>
      </c>
      <c r="F411" s="6">
        <v>77496</v>
      </c>
      <c r="G411" s="6">
        <v>2939</v>
      </c>
      <c r="H411" s="6">
        <v>403</v>
      </c>
      <c r="I411" s="6">
        <v>60102</v>
      </c>
      <c r="J411" s="6">
        <v>910623</v>
      </c>
      <c r="K411" s="6">
        <v>2067</v>
      </c>
      <c r="L411" s="6"/>
      <c r="M411" s="6">
        <v>11828</v>
      </c>
      <c r="N411" s="6">
        <v>26686</v>
      </c>
      <c r="O411" s="6">
        <v>25868</v>
      </c>
      <c r="P411" s="6">
        <v>4587</v>
      </c>
      <c r="Q411" s="6">
        <v>57142</v>
      </c>
    </row>
    <row r="412" spans="1:17" x14ac:dyDescent="0.35">
      <c r="A412" s="1">
        <v>40450</v>
      </c>
      <c r="B412" s="6">
        <v>2241893</v>
      </c>
      <c r="C412" s="6">
        <v>1246820</v>
      </c>
      <c r="D412" s="6">
        <v>2119</v>
      </c>
      <c r="E412" s="6">
        <v>984139</v>
      </c>
      <c r="F412" s="6">
        <v>57829</v>
      </c>
      <c r="G412" s="6">
        <v>2411</v>
      </c>
      <c r="H412" s="6">
        <v>360</v>
      </c>
      <c r="I412" s="6">
        <v>67370</v>
      </c>
      <c r="J412" s="6">
        <v>913760</v>
      </c>
      <c r="K412" s="6">
        <v>2188</v>
      </c>
      <c r="L412" s="6"/>
      <c r="M412" s="6">
        <v>11756</v>
      </c>
      <c r="N412" s="6">
        <v>26686</v>
      </c>
      <c r="O412" s="6">
        <v>25875</v>
      </c>
      <c r="P412" s="6">
        <v>4237</v>
      </c>
      <c r="Q412" s="6">
        <v>56798</v>
      </c>
    </row>
    <row r="413" spans="1:17" x14ac:dyDescent="0.35">
      <c r="A413" s="1">
        <v>40457</v>
      </c>
      <c r="B413" s="6">
        <v>2250950</v>
      </c>
      <c r="C413" s="6">
        <v>1253413</v>
      </c>
      <c r="D413" s="6">
        <v>2119</v>
      </c>
      <c r="E413" s="6">
        <v>1000014</v>
      </c>
      <c r="F413" s="6">
        <v>49530</v>
      </c>
      <c r="G413" s="6">
        <v>1345</v>
      </c>
      <c r="H413" s="6">
        <v>444</v>
      </c>
      <c r="I413" s="6">
        <v>64440</v>
      </c>
      <c r="J413" s="6">
        <v>918609</v>
      </c>
      <c r="K413" s="6">
        <v>2598</v>
      </c>
      <c r="L413" s="6"/>
      <c r="M413" s="6">
        <v>11890</v>
      </c>
      <c r="N413" s="6">
        <v>26687</v>
      </c>
      <c r="O413" s="6">
        <v>25881</v>
      </c>
      <c r="P413" s="6">
        <v>4575</v>
      </c>
      <c r="Q413" s="6">
        <v>57142</v>
      </c>
    </row>
    <row r="414" spans="1:17" x14ac:dyDescent="0.35">
      <c r="A414" s="1">
        <v>40464</v>
      </c>
      <c r="B414" s="6">
        <v>2253000</v>
      </c>
      <c r="C414" s="6">
        <v>1255230</v>
      </c>
      <c r="D414" s="6">
        <v>5113</v>
      </c>
      <c r="E414" s="6">
        <v>1028771</v>
      </c>
      <c r="F414" s="6">
        <v>15637</v>
      </c>
      <c r="G414" s="6">
        <v>1215</v>
      </c>
      <c r="H414" s="6">
        <v>4531</v>
      </c>
      <c r="I414" s="6">
        <v>59973</v>
      </c>
      <c r="J414" s="6">
        <v>922580</v>
      </c>
      <c r="K414" s="6">
        <v>3330</v>
      </c>
      <c r="L414" s="6"/>
      <c r="M414" s="6">
        <v>11887</v>
      </c>
      <c r="N414" s="6">
        <v>26695</v>
      </c>
      <c r="O414" s="6">
        <v>25886</v>
      </c>
      <c r="P414" s="6">
        <v>4303</v>
      </c>
      <c r="Q414" s="6">
        <v>56884</v>
      </c>
    </row>
    <row r="415" spans="1:17" x14ac:dyDescent="0.35">
      <c r="A415" s="1">
        <v>40471</v>
      </c>
      <c r="B415" s="6">
        <v>2248729</v>
      </c>
      <c r="C415" s="6">
        <v>1254670</v>
      </c>
      <c r="D415" s="6">
        <v>5113</v>
      </c>
      <c r="E415" s="6">
        <v>995033</v>
      </c>
      <c r="F415" s="6">
        <v>52223</v>
      </c>
      <c r="G415" s="6">
        <v>1656</v>
      </c>
      <c r="H415" s="6">
        <v>682</v>
      </c>
      <c r="I415" s="6">
        <v>58560</v>
      </c>
      <c r="J415" s="6">
        <v>921378</v>
      </c>
      <c r="K415" s="6">
        <v>2093</v>
      </c>
      <c r="L415" s="6"/>
      <c r="M415" s="6">
        <v>12027</v>
      </c>
      <c r="N415" s="6">
        <v>26701</v>
      </c>
      <c r="O415" s="6">
        <v>25892</v>
      </c>
      <c r="P415" s="6">
        <v>3905</v>
      </c>
      <c r="Q415" s="6">
        <v>56499</v>
      </c>
    </row>
    <row r="416" spans="1:17" x14ac:dyDescent="0.35">
      <c r="A416" s="1">
        <v>40478</v>
      </c>
      <c r="B416" s="6">
        <v>2238079</v>
      </c>
      <c r="C416" s="6">
        <v>1245275</v>
      </c>
      <c r="D416" s="6">
        <v>5113</v>
      </c>
      <c r="E416" s="6">
        <v>1010605</v>
      </c>
      <c r="F416" s="6">
        <v>27229</v>
      </c>
      <c r="G416" s="6">
        <v>1701</v>
      </c>
      <c r="H416" s="6">
        <v>665</v>
      </c>
      <c r="I416" s="6">
        <v>55552</v>
      </c>
      <c r="J416" s="6">
        <v>922325</v>
      </c>
      <c r="K416" s="6">
        <v>2066</v>
      </c>
      <c r="L416" s="6"/>
      <c r="M416" s="6">
        <v>12860</v>
      </c>
      <c r="N416" s="6">
        <v>26715</v>
      </c>
      <c r="O416" s="6">
        <v>25898</v>
      </c>
      <c r="P416" s="6">
        <v>4700</v>
      </c>
      <c r="Q416" s="6">
        <v>57313</v>
      </c>
    </row>
    <row r="417" spans="1:17" x14ac:dyDescent="0.35">
      <c r="A417" s="1">
        <v>40485</v>
      </c>
      <c r="B417" s="6">
        <v>2243571</v>
      </c>
      <c r="C417" s="6">
        <v>1226930</v>
      </c>
      <c r="D417" s="6">
        <v>5113</v>
      </c>
      <c r="E417" s="6">
        <v>982722</v>
      </c>
      <c r="F417" s="6">
        <v>36018</v>
      </c>
      <c r="G417" s="6">
        <v>2676</v>
      </c>
      <c r="H417" s="6">
        <v>440</v>
      </c>
      <c r="I417" s="6">
        <v>54591</v>
      </c>
      <c r="J417" s="6">
        <v>927731</v>
      </c>
      <c r="K417" s="6">
        <v>2484</v>
      </c>
      <c r="L417" s="6"/>
      <c r="M417" s="6">
        <v>31835</v>
      </c>
      <c r="N417" s="6">
        <v>26714</v>
      </c>
      <c r="O417" s="6">
        <v>25904</v>
      </c>
      <c r="P417" s="6">
        <v>4163</v>
      </c>
      <c r="Q417" s="6">
        <v>56782</v>
      </c>
    </row>
    <row r="418" spans="1:17" x14ac:dyDescent="0.35">
      <c r="A418" s="1">
        <v>40492</v>
      </c>
      <c r="B418" s="6">
        <v>2256223</v>
      </c>
      <c r="C418" s="6">
        <v>1225513</v>
      </c>
      <c r="D418" s="6">
        <v>0</v>
      </c>
      <c r="E418" s="6">
        <v>1006818</v>
      </c>
      <c r="F418" s="6">
        <v>8267</v>
      </c>
      <c r="G418" s="6">
        <v>1784</v>
      </c>
      <c r="H418" s="6">
        <v>8685</v>
      </c>
      <c r="I418" s="6">
        <v>55088</v>
      </c>
      <c r="J418" s="6">
        <v>933751</v>
      </c>
      <c r="K418" s="6">
        <v>2205</v>
      </c>
      <c r="L418" s="6"/>
      <c r="M418" s="6">
        <v>39666</v>
      </c>
      <c r="N418" s="6">
        <v>26727</v>
      </c>
      <c r="O418" s="6">
        <v>25910</v>
      </c>
      <c r="P418" s="6">
        <v>3908</v>
      </c>
      <c r="Q418" s="6">
        <v>56545</v>
      </c>
    </row>
    <row r="419" spans="1:17" x14ac:dyDescent="0.35">
      <c r="A419" s="1">
        <v>40499</v>
      </c>
      <c r="B419" s="6">
        <v>2258445</v>
      </c>
      <c r="C419" s="6">
        <v>1229659</v>
      </c>
      <c r="D419" s="6">
        <v>0</v>
      </c>
      <c r="E419" s="6">
        <v>988866</v>
      </c>
      <c r="F419" s="6">
        <v>38705</v>
      </c>
      <c r="G419" s="6">
        <v>1741</v>
      </c>
      <c r="H419" s="6">
        <v>387</v>
      </c>
      <c r="I419" s="6">
        <v>54199</v>
      </c>
      <c r="J419" s="6">
        <v>932377</v>
      </c>
      <c r="K419" s="6">
        <v>2309</v>
      </c>
      <c r="L419" s="6"/>
      <c r="M419" s="6">
        <v>39902</v>
      </c>
      <c r="N419" s="6">
        <v>26739</v>
      </c>
      <c r="O419" s="6">
        <v>25915</v>
      </c>
      <c r="P419" s="6">
        <v>3658</v>
      </c>
      <c r="Q419" s="6">
        <v>56312</v>
      </c>
    </row>
    <row r="420" spans="1:17" x14ac:dyDescent="0.35">
      <c r="A420" s="1">
        <v>40506</v>
      </c>
      <c r="B420" s="6">
        <v>2289238</v>
      </c>
      <c r="C420" s="6">
        <v>1255266</v>
      </c>
      <c r="D420" s="6">
        <v>0</v>
      </c>
      <c r="E420" s="6">
        <v>1027832</v>
      </c>
      <c r="F420" s="6">
        <v>24037</v>
      </c>
      <c r="G420" s="6">
        <v>3010</v>
      </c>
      <c r="H420" s="6">
        <v>427</v>
      </c>
      <c r="I420" s="6">
        <v>54709</v>
      </c>
      <c r="J420" s="6">
        <v>937336</v>
      </c>
      <c r="K420" s="6">
        <v>2076</v>
      </c>
      <c r="L420" s="6"/>
      <c r="M420" s="6">
        <v>39851</v>
      </c>
      <c r="N420" s="6">
        <v>26792</v>
      </c>
      <c r="O420" s="6">
        <v>25921</v>
      </c>
      <c r="P420" s="6">
        <v>4050</v>
      </c>
      <c r="Q420" s="6">
        <v>56763</v>
      </c>
    </row>
    <row r="421" spans="1:17" x14ac:dyDescent="0.35">
      <c r="A421" s="1">
        <v>40513</v>
      </c>
      <c r="B421" s="6">
        <v>2290901</v>
      </c>
      <c r="C421" s="6">
        <v>1259673</v>
      </c>
      <c r="D421" s="6">
        <v>0</v>
      </c>
      <c r="E421" s="6">
        <v>1010843</v>
      </c>
      <c r="F421" s="6">
        <v>45472</v>
      </c>
      <c r="G421" s="6">
        <v>2954</v>
      </c>
      <c r="H421" s="6">
        <v>445</v>
      </c>
      <c r="I421" s="6">
        <v>52862</v>
      </c>
      <c r="J421" s="6">
        <v>936391</v>
      </c>
      <c r="K421" s="6">
        <v>2042</v>
      </c>
      <c r="L421" s="6"/>
      <c r="M421" s="6">
        <v>39934</v>
      </c>
      <c r="N421" s="6">
        <v>26792</v>
      </c>
      <c r="O421" s="6">
        <v>25910</v>
      </c>
      <c r="P421" s="6">
        <v>3317</v>
      </c>
      <c r="Q421" s="6">
        <v>56019</v>
      </c>
    </row>
    <row r="422" spans="1:17" x14ac:dyDescent="0.35">
      <c r="A422" s="1">
        <v>40520</v>
      </c>
      <c r="B422" s="6">
        <v>2325330</v>
      </c>
      <c r="C422" s="6">
        <v>1295441</v>
      </c>
      <c r="D422" s="6">
        <v>5113</v>
      </c>
      <c r="E422" s="6">
        <v>1061256</v>
      </c>
      <c r="F422" s="6">
        <v>19589</v>
      </c>
      <c r="G422" s="6">
        <v>3160</v>
      </c>
      <c r="H422" s="6">
        <v>6364</v>
      </c>
      <c r="I422" s="6">
        <v>50019</v>
      </c>
      <c r="J422" s="6">
        <v>937528</v>
      </c>
      <c r="K422" s="6">
        <v>2324</v>
      </c>
      <c r="L422" s="6"/>
      <c r="M422" s="6">
        <v>40017</v>
      </c>
      <c r="N422" s="6">
        <v>26786</v>
      </c>
      <c r="O422" s="6">
        <v>25933</v>
      </c>
      <c r="P422" s="6">
        <v>4245</v>
      </c>
      <c r="Q422" s="6">
        <v>56964</v>
      </c>
    </row>
    <row r="423" spans="1:17" x14ac:dyDescent="0.35">
      <c r="A423" s="1">
        <v>40527</v>
      </c>
      <c r="B423" s="6">
        <v>2329026</v>
      </c>
      <c r="C423" s="6">
        <v>1297332</v>
      </c>
      <c r="D423" s="6">
        <v>5113</v>
      </c>
      <c r="E423" s="6">
        <v>997052</v>
      </c>
      <c r="F423" s="6">
        <v>91641</v>
      </c>
      <c r="G423" s="6">
        <v>3161</v>
      </c>
      <c r="H423" s="6">
        <v>403</v>
      </c>
      <c r="I423" s="6">
        <v>50816</v>
      </c>
      <c r="J423" s="6">
        <v>938436</v>
      </c>
      <c r="K423" s="6">
        <v>2311</v>
      </c>
      <c r="L423" s="6"/>
      <c r="M423" s="6">
        <v>40132</v>
      </c>
      <c r="N423" s="6">
        <v>26832</v>
      </c>
      <c r="O423" s="6">
        <v>25939</v>
      </c>
      <c r="P423" s="6">
        <v>3957</v>
      </c>
      <c r="Q423" s="6">
        <v>56728</v>
      </c>
    </row>
    <row r="424" spans="1:17" x14ac:dyDescent="0.35">
      <c r="A424" s="1">
        <v>40534</v>
      </c>
      <c r="B424" s="6">
        <v>2371514</v>
      </c>
      <c r="C424" s="6">
        <v>1335513</v>
      </c>
      <c r="D424" s="6">
        <v>5113</v>
      </c>
      <c r="E424" s="6">
        <v>1035524</v>
      </c>
      <c r="F424" s="6">
        <v>89913</v>
      </c>
      <c r="G424" s="6">
        <v>4581</v>
      </c>
      <c r="H424" s="6">
        <v>421</v>
      </c>
      <c r="I424" s="6">
        <v>51134</v>
      </c>
      <c r="J424" s="6">
        <v>942422</v>
      </c>
      <c r="K424" s="6">
        <v>2217</v>
      </c>
      <c r="L424" s="6"/>
      <c r="M424" s="6">
        <v>40228</v>
      </c>
      <c r="N424" s="6">
        <v>26474</v>
      </c>
      <c r="O424" s="6">
        <v>25945</v>
      </c>
      <c r="P424" s="6">
        <v>3988</v>
      </c>
      <c r="Q424" s="6">
        <v>56407</v>
      </c>
    </row>
    <row r="425" spans="1:17" x14ac:dyDescent="0.35">
      <c r="A425" s="1">
        <v>40541</v>
      </c>
      <c r="B425" s="6">
        <v>2363967</v>
      </c>
      <c r="C425" s="6">
        <v>1318755</v>
      </c>
      <c r="D425" s="6">
        <v>5113</v>
      </c>
      <c r="E425" s="6">
        <v>1020726</v>
      </c>
      <c r="F425" s="6">
        <v>88905</v>
      </c>
      <c r="G425" s="6">
        <v>3670</v>
      </c>
      <c r="H425" s="6">
        <v>378</v>
      </c>
      <c r="I425" s="6">
        <v>59246</v>
      </c>
      <c r="J425" s="6">
        <v>943749</v>
      </c>
      <c r="K425" s="6">
        <v>1850</v>
      </c>
      <c r="L425" s="6"/>
      <c r="M425" s="6">
        <v>40368</v>
      </c>
      <c r="N425" s="6">
        <v>26525</v>
      </c>
      <c r="O425" s="6">
        <v>25951</v>
      </c>
      <c r="P425" s="6">
        <v>4126</v>
      </c>
      <c r="Q425" s="6">
        <v>56602</v>
      </c>
    </row>
    <row r="426" spans="1:17" x14ac:dyDescent="0.35">
      <c r="A426" s="1">
        <v>40548</v>
      </c>
      <c r="B426" s="6">
        <v>2383016</v>
      </c>
      <c r="C426" s="6">
        <v>1342661</v>
      </c>
      <c r="D426" s="6">
        <v>0</v>
      </c>
      <c r="E426" s="6">
        <v>1033169</v>
      </c>
      <c r="F426" s="6">
        <v>105713</v>
      </c>
      <c r="G426" s="6">
        <v>3430</v>
      </c>
      <c r="H426" s="6">
        <v>385</v>
      </c>
      <c r="I426" s="6">
        <v>57555</v>
      </c>
      <c r="J426" s="6">
        <v>940305</v>
      </c>
      <c r="K426" s="6">
        <v>2484</v>
      </c>
      <c r="L426" s="6"/>
      <c r="M426" s="6">
        <v>40011</v>
      </c>
      <c r="N426" s="6">
        <v>26524</v>
      </c>
      <c r="O426" s="6">
        <v>26524</v>
      </c>
      <c r="P426" s="6">
        <v>0</v>
      </c>
      <c r="Q426" s="6">
        <v>53048</v>
      </c>
    </row>
    <row r="427" spans="1:17" x14ac:dyDescent="0.35">
      <c r="A427" s="1">
        <v>40555</v>
      </c>
      <c r="B427" s="6">
        <v>2415079</v>
      </c>
      <c r="C427" s="6">
        <v>1381913</v>
      </c>
      <c r="D427" s="6">
        <v>0</v>
      </c>
      <c r="E427" s="6">
        <v>1097841</v>
      </c>
      <c r="F427" s="6">
        <v>75569</v>
      </c>
      <c r="G427" s="6">
        <v>3748</v>
      </c>
      <c r="H427" s="6">
        <v>4793</v>
      </c>
      <c r="I427" s="6">
        <v>53271</v>
      </c>
      <c r="J427" s="6">
        <v>936962</v>
      </c>
      <c r="K427" s="6">
        <v>2098</v>
      </c>
      <c r="L427" s="6"/>
      <c r="M427" s="6">
        <v>40835</v>
      </c>
      <c r="N427" s="6">
        <v>26526</v>
      </c>
      <c r="O427" s="6">
        <v>26526</v>
      </c>
      <c r="P427" s="6">
        <v>0</v>
      </c>
      <c r="Q427" s="6">
        <v>53053</v>
      </c>
    </row>
    <row r="428" spans="1:17" x14ac:dyDescent="0.35">
      <c r="A428" s="1">
        <v>40562</v>
      </c>
      <c r="B428" s="6">
        <v>2372101</v>
      </c>
      <c r="C428" s="6">
        <v>1363408</v>
      </c>
      <c r="D428" s="6">
        <v>0</v>
      </c>
      <c r="E428" s="6">
        <v>1063957</v>
      </c>
      <c r="F428" s="6">
        <v>94123</v>
      </c>
      <c r="G428" s="6">
        <v>4910</v>
      </c>
      <c r="H428" s="6">
        <v>457</v>
      </c>
      <c r="I428" s="6">
        <v>52932</v>
      </c>
      <c r="J428" s="6">
        <v>937404</v>
      </c>
      <c r="K428" s="6">
        <v>2759</v>
      </c>
      <c r="L428" s="6"/>
      <c r="M428" s="6">
        <v>15598</v>
      </c>
      <c r="N428" s="6">
        <v>26531</v>
      </c>
      <c r="O428" s="6">
        <v>26531</v>
      </c>
      <c r="P428" s="6">
        <v>0</v>
      </c>
      <c r="Q428" s="6">
        <v>53063</v>
      </c>
    </row>
    <row r="429" spans="1:17" x14ac:dyDescent="0.35">
      <c r="A429" s="1">
        <v>40569</v>
      </c>
      <c r="B429" s="6">
        <v>2390464</v>
      </c>
      <c r="C429" s="6">
        <v>1386477</v>
      </c>
      <c r="D429" s="6">
        <v>0</v>
      </c>
      <c r="E429" s="6">
        <v>1086327</v>
      </c>
      <c r="F429" s="6">
        <v>94186</v>
      </c>
      <c r="G429" s="6">
        <v>5149</v>
      </c>
      <c r="H429" s="6">
        <v>854</v>
      </c>
      <c r="I429" s="6">
        <v>52620</v>
      </c>
      <c r="J429" s="6">
        <v>935342</v>
      </c>
      <c r="K429" s="6">
        <v>1816</v>
      </c>
      <c r="L429" s="6"/>
      <c r="M429" s="6">
        <v>14208</v>
      </c>
      <c r="N429" s="6">
        <v>26532</v>
      </c>
      <c r="O429" s="6">
        <v>26532</v>
      </c>
      <c r="P429" s="6">
        <v>0</v>
      </c>
      <c r="Q429" s="6">
        <v>53063</v>
      </c>
    </row>
    <row r="430" spans="1:17" x14ac:dyDescent="0.35">
      <c r="A430" s="1">
        <v>40576</v>
      </c>
      <c r="B430" s="6">
        <v>2416383</v>
      </c>
      <c r="C430" s="6">
        <v>1399776</v>
      </c>
      <c r="D430" s="6">
        <v>0</v>
      </c>
      <c r="E430" s="6">
        <v>1081316</v>
      </c>
      <c r="F430" s="6">
        <v>117875</v>
      </c>
      <c r="G430" s="6">
        <v>130</v>
      </c>
      <c r="H430" s="6">
        <v>492</v>
      </c>
      <c r="I430" s="6">
        <v>57902</v>
      </c>
      <c r="J430" s="6">
        <v>941621</v>
      </c>
      <c r="K430" s="6">
        <v>1923</v>
      </c>
      <c r="L430" s="6"/>
      <c r="M430" s="6">
        <v>15161</v>
      </c>
      <c r="N430" s="6">
        <v>26518</v>
      </c>
      <c r="O430" s="6">
        <v>26518</v>
      </c>
      <c r="P430" s="6">
        <v>0</v>
      </c>
      <c r="Q430" s="6">
        <v>53035</v>
      </c>
    </row>
    <row r="431" spans="1:17" x14ac:dyDescent="0.35">
      <c r="A431" s="1">
        <v>40583</v>
      </c>
      <c r="B431" s="6">
        <v>2447459</v>
      </c>
      <c r="C431" s="6">
        <v>1427327</v>
      </c>
      <c r="D431" s="6">
        <v>0</v>
      </c>
      <c r="E431" s="6">
        <v>1189250</v>
      </c>
      <c r="F431" s="6">
        <v>62516</v>
      </c>
      <c r="G431" s="6">
        <v>118</v>
      </c>
      <c r="H431" s="6">
        <v>477</v>
      </c>
      <c r="I431" s="6">
        <v>56022</v>
      </c>
      <c r="J431" s="6">
        <v>947260</v>
      </c>
      <c r="K431" s="6">
        <v>2228</v>
      </c>
      <c r="L431" s="6"/>
      <c r="M431" s="6">
        <v>14622</v>
      </c>
      <c r="N431" s="6">
        <v>26511</v>
      </c>
      <c r="O431" s="6">
        <v>26511</v>
      </c>
      <c r="P431" s="6">
        <v>0</v>
      </c>
      <c r="Q431" s="6">
        <v>53022</v>
      </c>
    </row>
    <row r="432" spans="1:17" x14ac:dyDescent="0.35">
      <c r="A432" s="1">
        <v>40590</v>
      </c>
      <c r="B432" s="6">
        <v>2455844</v>
      </c>
      <c r="C432" s="6">
        <v>1430234</v>
      </c>
      <c r="D432" s="6">
        <v>5070</v>
      </c>
      <c r="E432" s="6">
        <v>1220060</v>
      </c>
      <c r="F432" s="6">
        <v>54561</v>
      </c>
      <c r="G432" s="6">
        <v>118</v>
      </c>
      <c r="H432" s="6">
        <v>454</v>
      </c>
      <c r="I432" s="6">
        <v>57826</v>
      </c>
      <c r="J432" s="6">
        <v>951429</v>
      </c>
      <c r="K432" s="6">
        <v>1978</v>
      </c>
      <c r="L432" s="6"/>
      <c r="M432" s="6">
        <v>14378</v>
      </c>
      <c r="N432" s="6">
        <v>26512</v>
      </c>
      <c r="O432" s="6">
        <v>26512</v>
      </c>
      <c r="P432" s="6">
        <v>0</v>
      </c>
      <c r="Q432" s="6">
        <v>53024</v>
      </c>
    </row>
    <row r="433" spans="1:17" x14ac:dyDescent="0.35">
      <c r="A433" s="1">
        <v>40597</v>
      </c>
      <c r="B433" s="6">
        <v>2480186</v>
      </c>
      <c r="C433" s="6">
        <v>1446617</v>
      </c>
      <c r="D433" s="6">
        <v>5070</v>
      </c>
      <c r="E433" s="6">
        <v>1292835</v>
      </c>
      <c r="F433" s="6">
        <v>23123</v>
      </c>
      <c r="G433" s="6">
        <v>129</v>
      </c>
      <c r="H433" s="6">
        <v>485</v>
      </c>
      <c r="I433" s="6">
        <v>59484</v>
      </c>
      <c r="J433" s="6">
        <v>956012</v>
      </c>
      <c r="K433" s="6">
        <v>2528</v>
      </c>
      <c r="L433" s="6"/>
      <c r="M433" s="6">
        <v>15544</v>
      </c>
      <c r="N433" s="6">
        <v>26517</v>
      </c>
      <c r="O433" s="6">
        <v>26517</v>
      </c>
      <c r="P433" s="6">
        <v>0</v>
      </c>
      <c r="Q433" s="6">
        <v>53035</v>
      </c>
    </row>
    <row r="434" spans="1:17" x14ac:dyDescent="0.35">
      <c r="A434" s="1">
        <v>40604</v>
      </c>
      <c r="B434" s="6">
        <v>2492065</v>
      </c>
      <c r="C434" s="6">
        <v>1454195</v>
      </c>
      <c r="D434" s="6">
        <v>5070</v>
      </c>
      <c r="E434" s="6">
        <v>1298708</v>
      </c>
      <c r="F434" s="6">
        <v>49542</v>
      </c>
      <c r="G434" s="6">
        <v>379</v>
      </c>
      <c r="H434" s="6">
        <v>517</v>
      </c>
      <c r="I434" s="6">
        <v>62461</v>
      </c>
      <c r="J434" s="6">
        <v>957713</v>
      </c>
      <c r="K434" s="6">
        <v>2212</v>
      </c>
      <c r="L434" s="6"/>
      <c r="M434" s="6">
        <v>15485</v>
      </c>
      <c r="N434" s="6">
        <v>26527</v>
      </c>
      <c r="O434" s="6">
        <v>26527</v>
      </c>
      <c r="P434" s="6">
        <v>0</v>
      </c>
      <c r="Q434" s="6">
        <v>53054</v>
      </c>
    </row>
    <row r="435" spans="1:17" x14ac:dyDescent="0.35">
      <c r="A435" s="1">
        <v>40611</v>
      </c>
      <c r="B435" s="6">
        <v>2524003</v>
      </c>
      <c r="C435" s="6">
        <v>1490636</v>
      </c>
      <c r="D435" s="6">
        <v>5070</v>
      </c>
      <c r="E435" s="6">
        <v>1381343</v>
      </c>
      <c r="F435" s="6">
        <v>28671</v>
      </c>
      <c r="G435" s="6">
        <v>124</v>
      </c>
      <c r="H435" s="6">
        <v>443</v>
      </c>
      <c r="I435" s="6">
        <v>55947</v>
      </c>
      <c r="J435" s="6">
        <v>959955</v>
      </c>
      <c r="K435" s="6">
        <v>2160</v>
      </c>
      <c r="L435" s="6"/>
      <c r="M435" s="6">
        <v>15305</v>
      </c>
      <c r="N435" s="6">
        <v>26536</v>
      </c>
      <c r="O435" s="6">
        <v>26536</v>
      </c>
      <c r="P435" s="6">
        <v>0</v>
      </c>
      <c r="Q435" s="6">
        <v>53073</v>
      </c>
    </row>
    <row r="436" spans="1:17" x14ac:dyDescent="0.35">
      <c r="A436" s="1">
        <v>40618</v>
      </c>
      <c r="B436" s="6">
        <v>2530480</v>
      </c>
      <c r="C436" s="6">
        <v>1488664</v>
      </c>
      <c r="D436" s="6">
        <v>0</v>
      </c>
      <c r="E436" s="6">
        <v>1336621</v>
      </c>
      <c r="F436" s="6">
        <v>101471</v>
      </c>
      <c r="G436" s="6">
        <v>123</v>
      </c>
      <c r="H436" s="6">
        <v>458</v>
      </c>
      <c r="I436" s="6">
        <v>62287</v>
      </c>
      <c r="J436" s="6">
        <v>961867</v>
      </c>
      <c r="K436" s="6">
        <v>1717</v>
      </c>
      <c r="L436" s="6"/>
      <c r="M436" s="6">
        <v>15944</v>
      </c>
      <c r="N436" s="6">
        <v>26283</v>
      </c>
      <c r="O436" s="6">
        <v>26283</v>
      </c>
      <c r="P436" s="6">
        <v>0</v>
      </c>
      <c r="Q436" s="6">
        <v>52566</v>
      </c>
    </row>
    <row r="437" spans="1:17" x14ac:dyDescent="0.35">
      <c r="A437" s="1">
        <v>40625</v>
      </c>
      <c r="B437" s="6">
        <v>2548768</v>
      </c>
      <c r="C437" s="6">
        <v>1507737</v>
      </c>
      <c r="D437" s="6">
        <v>0</v>
      </c>
      <c r="E437" s="6">
        <v>1410468</v>
      </c>
      <c r="F437" s="6">
        <v>71748</v>
      </c>
      <c r="G437" s="6">
        <v>123</v>
      </c>
      <c r="H437" s="6">
        <v>401</v>
      </c>
      <c r="I437" s="6">
        <v>61386</v>
      </c>
      <c r="J437" s="6">
        <v>962521</v>
      </c>
      <c r="K437" s="6">
        <v>1557</v>
      </c>
      <c r="L437" s="6"/>
      <c r="M437" s="6">
        <v>15567</v>
      </c>
      <c r="N437" s="6">
        <v>26287</v>
      </c>
      <c r="O437" s="6">
        <v>26287</v>
      </c>
      <c r="P437" s="6">
        <v>0</v>
      </c>
      <c r="Q437" s="6">
        <v>52573</v>
      </c>
    </row>
    <row r="438" spans="1:17" x14ac:dyDescent="0.35">
      <c r="A438" s="1">
        <v>40632</v>
      </c>
      <c r="B438" s="6">
        <v>2569942</v>
      </c>
      <c r="C438" s="6">
        <v>1523388</v>
      </c>
      <c r="D438" s="6">
        <v>0</v>
      </c>
      <c r="E438" s="6">
        <v>1458165</v>
      </c>
      <c r="F438" s="6">
        <v>59201</v>
      </c>
      <c r="G438" s="6">
        <v>131</v>
      </c>
      <c r="H438" s="6">
        <v>892</v>
      </c>
      <c r="I438" s="6">
        <v>65811</v>
      </c>
      <c r="J438" s="6">
        <v>963991</v>
      </c>
      <c r="K438" s="6">
        <v>1695</v>
      </c>
      <c r="L438" s="6"/>
      <c r="M438" s="6">
        <v>15057</v>
      </c>
      <c r="N438" s="6">
        <v>26291</v>
      </c>
      <c r="O438" s="6">
        <v>26291</v>
      </c>
      <c r="P438" s="6">
        <v>0</v>
      </c>
      <c r="Q438" s="6">
        <v>52582</v>
      </c>
    </row>
    <row r="439" spans="1:17" x14ac:dyDescent="0.35">
      <c r="A439" s="1">
        <v>40639</v>
      </c>
      <c r="B439" s="6">
        <v>2596090</v>
      </c>
      <c r="C439" s="6">
        <v>1556060</v>
      </c>
      <c r="D439" s="6">
        <v>0</v>
      </c>
      <c r="E439" s="6">
        <v>1505138</v>
      </c>
      <c r="F439" s="6">
        <v>40962</v>
      </c>
      <c r="G439" s="6">
        <v>163</v>
      </c>
      <c r="H439" s="6">
        <v>4797</v>
      </c>
      <c r="I439" s="6">
        <v>54622</v>
      </c>
      <c r="J439" s="6">
        <v>968048</v>
      </c>
      <c r="K439" s="6">
        <v>1886</v>
      </c>
      <c r="L439" s="6"/>
      <c r="M439" s="6">
        <v>15474</v>
      </c>
      <c r="N439" s="6">
        <v>26293</v>
      </c>
      <c r="O439" s="6">
        <v>26293</v>
      </c>
      <c r="P439" s="6">
        <v>0</v>
      </c>
      <c r="Q439" s="6">
        <v>52587</v>
      </c>
    </row>
    <row r="440" spans="1:17" x14ac:dyDescent="0.35">
      <c r="A440" s="1">
        <v>40646</v>
      </c>
      <c r="B440" s="6">
        <v>2612826</v>
      </c>
      <c r="C440" s="6">
        <v>1571282</v>
      </c>
      <c r="D440" s="6">
        <v>5081</v>
      </c>
      <c r="E440" s="6">
        <v>1534194</v>
      </c>
      <c r="F440" s="6">
        <v>24772</v>
      </c>
      <c r="G440" s="6">
        <v>123</v>
      </c>
      <c r="H440" s="6">
        <v>2112</v>
      </c>
      <c r="I440" s="6">
        <v>54022</v>
      </c>
      <c r="J440" s="6">
        <v>969784</v>
      </c>
      <c r="K440" s="6">
        <v>1662</v>
      </c>
      <c r="L440" s="6"/>
      <c r="M440" s="6">
        <v>16076</v>
      </c>
      <c r="N440" s="6">
        <v>26291</v>
      </c>
      <c r="O440" s="6">
        <v>26291</v>
      </c>
      <c r="P440" s="6">
        <v>0</v>
      </c>
      <c r="Q440" s="6">
        <v>52582</v>
      </c>
    </row>
    <row r="441" spans="1:17" x14ac:dyDescent="0.35">
      <c r="A441" s="1">
        <v>40653</v>
      </c>
      <c r="B441" s="6">
        <v>2633227</v>
      </c>
      <c r="C441" s="6">
        <v>1589177</v>
      </c>
      <c r="D441" s="6">
        <v>5081</v>
      </c>
      <c r="E441" s="6">
        <v>1465320</v>
      </c>
      <c r="F441" s="6">
        <v>113160</v>
      </c>
      <c r="G441" s="6">
        <v>125</v>
      </c>
      <c r="H441" s="6">
        <v>491</v>
      </c>
      <c r="I441" s="6">
        <v>56064</v>
      </c>
      <c r="J441" s="6">
        <v>970580</v>
      </c>
      <c r="K441" s="6">
        <v>1539</v>
      </c>
      <c r="L441" s="6"/>
      <c r="M441" s="6">
        <v>15865</v>
      </c>
      <c r="N441" s="6">
        <v>26278</v>
      </c>
      <c r="O441" s="6">
        <v>26278</v>
      </c>
      <c r="P441" s="6">
        <v>0</v>
      </c>
      <c r="Q441" s="6">
        <v>52555</v>
      </c>
    </row>
    <row r="442" spans="1:17" x14ac:dyDescent="0.35">
      <c r="A442" s="1">
        <v>40660</v>
      </c>
      <c r="B442" s="6">
        <v>2638414</v>
      </c>
      <c r="C442" s="6">
        <v>1589079</v>
      </c>
      <c r="D442" s="6">
        <v>5081</v>
      </c>
      <c r="E442" s="6">
        <v>1452188</v>
      </c>
      <c r="F442" s="6">
        <v>126185</v>
      </c>
      <c r="G442" s="6">
        <v>192</v>
      </c>
      <c r="H442" s="6">
        <v>433</v>
      </c>
      <c r="I442" s="6">
        <v>57031</v>
      </c>
      <c r="J442" s="6">
        <v>972352</v>
      </c>
      <c r="K442" s="6">
        <v>1609</v>
      </c>
      <c r="L442" s="6"/>
      <c r="M442" s="6">
        <v>18344</v>
      </c>
      <c r="N442" s="6">
        <v>26285</v>
      </c>
      <c r="O442" s="6">
        <v>26285</v>
      </c>
      <c r="P442" s="6">
        <v>0</v>
      </c>
      <c r="Q442" s="6">
        <v>52571</v>
      </c>
    </row>
    <row r="443" spans="1:17" x14ac:dyDescent="0.35">
      <c r="A443" s="1">
        <v>40667</v>
      </c>
      <c r="B443" s="6">
        <v>2666198</v>
      </c>
      <c r="C443" s="6">
        <v>1614875</v>
      </c>
      <c r="D443" s="6">
        <v>5081</v>
      </c>
      <c r="E443" s="6">
        <v>1475479</v>
      </c>
      <c r="F443" s="6">
        <v>125397</v>
      </c>
      <c r="G443" s="6">
        <v>128</v>
      </c>
      <c r="H443" s="6">
        <v>3791</v>
      </c>
      <c r="I443" s="6">
        <v>56973</v>
      </c>
      <c r="J443" s="6">
        <v>975724</v>
      </c>
      <c r="K443" s="6">
        <v>1727</v>
      </c>
      <c r="L443" s="6"/>
      <c r="M443" s="6">
        <v>16900</v>
      </c>
      <c r="N443" s="6">
        <v>26279</v>
      </c>
      <c r="O443" s="6">
        <v>26279</v>
      </c>
      <c r="P443" s="6">
        <v>0</v>
      </c>
      <c r="Q443" s="6">
        <v>52558</v>
      </c>
    </row>
    <row r="444" spans="1:17" x14ac:dyDescent="0.35">
      <c r="A444" s="1">
        <v>40674</v>
      </c>
      <c r="B444" s="6">
        <v>2691934</v>
      </c>
      <c r="C444" s="6">
        <v>1642882</v>
      </c>
      <c r="D444" s="6">
        <v>0</v>
      </c>
      <c r="E444" s="6">
        <v>1546654</v>
      </c>
      <c r="F444" s="6">
        <v>87894</v>
      </c>
      <c r="G444" s="6">
        <v>124</v>
      </c>
      <c r="H444" s="6">
        <v>3209</v>
      </c>
      <c r="I444" s="6">
        <v>54715</v>
      </c>
      <c r="J444" s="6">
        <v>976785</v>
      </c>
      <c r="K444" s="6">
        <v>1535</v>
      </c>
      <c r="L444" s="6"/>
      <c r="M444" s="6">
        <v>16017</v>
      </c>
      <c r="N444" s="6">
        <v>26282</v>
      </c>
      <c r="O444" s="6">
        <v>26282</v>
      </c>
      <c r="P444" s="6">
        <v>0</v>
      </c>
      <c r="Q444" s="6">
        <v>52564</v>
      </c>
    </row>
    <row r="445" spans="1:17" x14ac:dyDescent="0.35">
      <c r="A445" s="1">
        <v>40681</v>
      </c>
      <c r="B445" s="6">
        <v>2705412</v>
      </c>
      <c r="C445" s="6">
        <v>1653841</v>
      </c>
      <c r="D445" s="6">
        <v>0</v>
      </c>
      <c r="E445" s="6">
        <v>1538699</v>
      </c>
      <c r="F445" s="6">
        <v>109620</v>
      </c>
      <c r="G445" s="6">
        <v>125</v>
      </c>
      <c r="H445" s="6">
        <v>396</v>
      </c>
      <c r="I445" s="6">
        <v>57426</v>
      </c>
      <c r="J445" s="6">
        <v>976334</v>
      </c>
      <c r="K445" s="6">
        <v>1373</v>
      </c>
      <c r="L445" s="6"/>
      <c r="M445" s="6">
        <v>16438</v>
      </c>
      <c r="N445" s="6">
        <v>26299</v>
      </c>
      <c r="O445" s="6">
        <v>26299</v>
      </c>
      <c r="P445" s="6">
        <v>0</v>
      </c>
      <c r="Q445" s="6">
        <v>52597</v>
      </c>
    </row>
    <row r="446" spans="1:17" x14ac:dyDescent="0.35">
      <c r="A446" s="1">
        <v>40688</v>
      </c>
      <c r="B446" s="6">
        <v>2722338</v>
      </c>
      <c r="C446" s="6">
        <v>1671290</v>
      </c>
      <c r="D446" s="6">
        <v>0</v>
      </c>
      <c r="E446" s="6">
        <v>1592091</v>
      </c>
      <c r="F446" s="6">
        <v>73694</v>
      </c>
      <c r="G446" s="6">
        <v>126</v>
      </c>
      <c r="H446" s="6">
        <v>380</v>
      </c>
      <c r="I446" s="6">
        <v>54181</v>
      </c>
      <c r="J446" s="6">
        <v>979160</v>
      </c>
      <c r="K446" s="6">
        <v>1379</v>
      </c>
      <c r="L446" s="6"/>
      <c r="M446" s="6">
        <v>16328</v>
      </c>
      <c r="N446" s="6">
        <v>26329</v>
      </c>
      <c r="O446" s="6">
        <v>26329</v>
      </c>
      <c r="P446" s="6">
        <v>0</v>
      </c>
      <c r="Q446" s="6">
        <v>52658</v>
      </c>
    </row>
    <row r="447" spans="1:17" x14ac:dyDescent="0.35">
      <c r="A447" s="1">
        <v>40695</v>
      </c>
      <c r="B447" s="6">
        <v>2736035</v>
      </c>
      <c r="C447" s="6">
        <v>1672639</v>
      </c>
      <c r="D447" s="6">
        <v>0</v>
      </c>
      <c r="E447" s="6">
        <v>1593129</v>
      </c>
      <c r="F447" s="6">
        <v>73973</v>
      </c>
      <c r="G447" s="6">
        <v>133</v>
      </c>
      <c r="H447" s="6">
        <v>405</v>
      </c>
      <c r="I447" s="6">
        <v>59937</v>
      </c>
      <c r="J447" s="6">
        <v>984201</v>
      </c>
      <c r="K447" s="6">
        <v>2249</v>
      </c>
      <c r="L447" s="6"/>
      <c r="M447" s="6">
        <v>17009</v>
      </c>
      <c r="N447" s="6">
        <v>26344</v>
      </c>
      <c r="O447" s="6">
        <v>26344</v>
      </c>
      <c r="P447" s="6">
        <v>0</v>
      </c>
      <c r="Q447" s="6">
        <v>52688</v>
      </c>
    </row>
    <row r="448" spans="1:17" x14ac:dyDescent="0.35">
      <c r="A448" s="1">
        <v>40702</v>
      </c>
      <c r="B448" s="6">
        <v>2758517</v>
      </c>
      <c r="C448" s="6">
        <v>1697015</v>
      </c>
      <c r="D448" s="6">
        <v>5087</v>
      </c>
      <c r="E448" s="6">
        <v>1662964</v>
      </c>
      <c r="F448" s="6">
        <v>23496</v>
      </c>
      <c r="G448" s="6">
        <v>126</v>
      </c>
      <c r="H448" s="6">
        <v>343</v>
      </c>
      <c r="I448" s="6">
        <v>59767</v>
      </c>
      <c r="J448" s="6">
        <v>983093</v>
      </c>
      <c r="K448" s="6">
        <v>1604</v>
      </c>
      <c r="L448" s="6"/>
      <c r="M448" s="6">
        <v>17038</v>
      </c>
      <c r="N448" s="6">
        <v>26344</v>
      </c>
      <c r="O448" s="6">
        <v>26344</v>
      </c>
      <c r="P448" s="6">
        <v>0</v>
      </c>
      <c r="Q448" s="6">
        <v>52689</v>
      </c>
    </row>
    <row r="449" spans="1:17" x14ac:dyDescent="0.35">
      <c r="A449" s="1">
        <v>40709</v>
      </c>
      <c r="B449" s="6">
        <v>2774594</v>
      </c>
      <c r="C449" s="6">
        <v>1706278</v>
      </c>
      <c r="D449" s="6">
        <v>5087</v>
      </c>
      <c r="E449" s="6">
        <v>1569229</v>
      </c>
      <c r="F449" s="6">
        <v>126428</v>
      </c>
      <c r="G449" s="6">
        <v>131</v>
      </c>
      <c r="H449" s="6">
        <v>404</v>
      </c>
      <c r="I449" s="6">
        <v>68179</v>
      </c>
      <c r="J449" s="6">
        <v>982363</v>
      </c>
      <c r="K449" s="6">
        <v>1744</v>
      </c>
      <c r="L449" s="6"/>
      <c r="M449" s="6">
        <v>16029</v>
      </c>
      <c r="N449" s="6">
        <v>26478</v>
      </c>
      <c r="O449" s="6">
        <v>26478</v>
      </c>
      <c r="P449" s="6">
        <v>0</v>
      </c>
      <c r="Q449" s="6">
        <v>52955</v>
      </c>
    </row>
    <row r="450" spans="1:17" x14ac:dyDescent="0.35">
      <c r="A450" s="1">
        <v>40716</v>
      </c>
      <c r="B450" s="6">
        <v>2803433</v>
      </c>
      <c r="C450" s="6">
        <v>1737843</v>
      </c>
      <c r="D450" s="6">
        <v>5087</v>
      </c>
      <c r="E450" s="6">
        <v>1596966</v>
      </c>
      <c r="F450" s="6">
        <v>129694</v>
      </c>
      <c r="G450" s="6">
        <v>389</v>
      </c>
      <c r="H450" s="6">
        <v>707</v>
      </c>
      <c r="I450" s="6">
        <v>65353</v>
      </c>
      <c r="J450" s="6">
        <v>981747</v>
      </c>
      <c r="K450" s="6">
        <v>1380</v>
      </c>
      <c r="L450" s="6"/>
      <c r="M450" s="6">
        <v>17110</v>
      </c>
      <c r="N450" s="6">
        <v>26485</v>
      </c>
      <c r="O450" s="6">
        <v>26485</v>
      </c>
      <c r="P450" s="6">
        <v>0</v>
      </c>
      <c r="Q450" s="6">
        <v>52971</v>
      </c>
    </row>
    <row r="451" spans="1:17" x14ac:dyDescent="0.35">
      <c r="A451" s="1">
        <v>40723</v>
      </c>
      <c r="B451" s="6">
        <v>2812276</v>
      </c>
      <c r="C451" s="6">
        <v>1741700</v>
      </c>
      <c r="D451" s="6">
        <v>5087</v>
      </c>
      <c r="E451" s="6">
        <v>1622395</v>
      </c>
      <c r="F451" s="6">
        <v>105582</v>
      </c>
      <c r="G451" s="6">
        <v>126</v>
      </c>
      <c r="H451" s="6">
        <v>3511</v>
      </c>
      <c r="I451" s="6">
        <v>66607</v>
      </c>
      <c r="J451" s="6">
        <v>985788</v>
      </c>
      <c r="K451" s="6">
        <v>1478</v>
      </c>
      <c r="L451" s="6"/>
      <c r="M451" s="6">
        <v>16703</v>
      </c>
      <c r="N451" s="6">
        <v>26487</v>
      </c>
      <c r="O451" s="6">
        <v>26487</v>
      </c>
      <c r="P451" s="6">
        <v>0</v>
      </c>
      <c r="Q451" s="6">
        <v>52974</v>
      </c>
    </row>
    <row r="452" spans="1:17" x14ac:dyDescent="0.35">
      <c r="A452" s="1">
        <v>40730</v>
      </c>
      <c r="B452" s="6">
        <v>2818436</v>
      </c>
      <c r="C452" s="6">
        <v>1741336</v>
      </c>
      <c r="D452" s="6">
        <v>0</v>
      </c>
      <c r="E452" s="6">
        <v>1663022</v>
      </c>
      <c r="F452" s="6">
        <v>67270</v>
      </c>
      <c r="G452" s="6">
        <v>127</v>
      </c>
      <c r="H452" s="6">
        <v>5918</v>
      </c>
      <c r="I452" s="6">
        <v>67527</v>
      </c>
      <c r="J452" s="6">
        <v>990861</v>
      </c>
      <c r="K452" s="6">
        <v>2074</v>
      </c>
      <c r="L452" s="6"/>
      <c r="M452" s="6">
        <v>16637</v>
      </c>
      <c r="N452" s="6">
        <v>25833</v>
      </c>
      <c r="O452" s="6">
        <v>25833</v>
      </c>
      <c r="P452" s="6">
        <v>0</v>
      </c>
      <c r="Q452" s="6">
        <v>51667</v>
      </c>
    </row>
    <row r="453" spans="1:17" x14ac:dyDescent="0.35">
      <c r="A453" s="1">
        <v>40737</v>
      </c>
      <c r="B453" s="6">
        <v>2826400</v>
      </c>
      <c r="C453" s="6">
        <v>1755249</v>
      </c>
      <c r="D453" s="6">
        <v>0</v>
      </c>
      <c r="E453" s="6">
        <v>1687515</v>
      </c>
      <c r="F453" s="6">
        <v>39416</v>
      </c>
      <c r="G453" s="6">
        <v>161</v>
      </c>
      <c r="H453" s="6">
        <v>23157</v>
      </c>
      <c r="I453" s="6">
        <v>65052</v>
      </c>
      <c r="J453" s="6">
        <v>988285</v>
      </c>
      <c r="K453" s="6">
        <v>1522</v>
      </c>
      <c r="L453" s="6"/>
      <c r="M453" s="6">
        <v>16292</v>
      </c>
      <c r="N453" s="6">
        <v>25837</v>
      </c>
      <c r="O453" s="6">
        <v>25837</v>
      </c>
      <c r="P453" s="6">
        <v>0</v>
      </c>
      <c r="Q453" s="6">
        <v>51674</v>
      </c>
    </row>
    <row r="454" spans="1:17" x14ac:dyDescent="0.35">
      <c r="A454" s="1">
        <v>40744</v>
      </c>
      <c r="B454" s="6">
        <v>2819628</v>
      </c>
      <c r="C454" s="6">
        <v>1749817</v>
      </c>
      <c r="D454" s="6">
        <v>0</v>
      </c>
      <c r="E454" s="6">
        <v>1627197</v>
      </c>
      <c r="F454" s="6">
        <v>96422</v>
      </c>
      <c r="G454" s="6">
        <v>178</v>
      </c>
      <c r="H454" s="6">
        <v>21020</v>
      </c>
      <c r="I454" s="6">
        <v>64695</v>
      </c>
      <c r="J454" s="6">
        <v>987624</v>
      </c>
      <c r="K454" s="6">
        <v>1317</v>
      </c>
      <c r="L454" s="6"/>
      <c r="M454" s="6">
        <v>16175</v>
      </c>
      <c r="N454" s="6">
        <v>25836</v>
      </c>
      <c r="O454" s="6">
        <v>25836</v>
      </c>
      <c r="P454" s="6">
        <v>0</v>
      </c>
      <c r="Q454" s="6">
        <v>51673</v>
      </c>
    </row>
    <row r="455" spans="1:17" x14ac:dyDescent="0.35">
      <c r="A455" s="1">
        <v>40751</v>
      </c>
      <c r="B455" s="6">
        <v>2811904</v>
      </c>
      <c r="C455" s="6">
        <v>1741360</v>
      </c>
      <c r="D455" s="6">
        <v>0</v>
      </c>
      <c r="E455" s="6">
        <v>1658319</v>
      </c>
      <c r="F455" s="6">
        <v>66757</v>
      </c>
      <c r="G455" s="6">
        <v>125</v>
      </c>
      <c r="H455" s="6">
        <v>11158</v>
      </c>
      <c r="I455" s="6">
        <v>67004</v>
      </c>
      <c r="J455" s="6">
        <v>989019</v>
      </c>
      <c r="K455" s="6">
        <v>1413</v>
      </c>
      <c r="L455" s="6"/>
      <c r="M455" s="6">
        <v>13108</v>
      </c>
      <c r="N455" s="6">
        <v>25836</v>
      </c>
      <c r="O455" s="6">
        <v>25836</v>
      </c>
      <c r="P455" s="6">
        <v>0</v>
      </c>
      <c r="Q455" s="6">
        <v>51672</v>
      </c>
    </row>
    <row r="456" spans="1:17" x14ac:dyDescent="0.35">
      <c r="A456" s="1">
        <v>40758</v>
      </c>
      <c r="B456" s="6">
        <v>2815452</v>
      </c>
      <c r="C456" s="6">
        <v>1738471</v>
      </c>
      <c r="D456" s="6">
        <v>5088</v>
      </c>
      <c r="E456" s="6">
        <v>1647867</v>
      </c>
      <c r="F456" s="6">
        <v>32271</v>
      </c>
      <c r="G456" s="6">
        <v>125</v>
      </c>
      <c r="H456" s="6">
        <v>53120</v>
      </c>
      <c r="I456" s="6">
        <v>68623</v>
      </c>
      <c r="J456" s="6">
        <v>993062</v>
      </c>
      <c r="K456" s="6">
        <v>1545</v>
      </c>
      <c r="L456" s="6"/>
      <c r="M456" s="6">
        <v>13752</v>
      </c>
      <c r="N456" s="6">
        <v>25881</v>
      </c>
      <c r="O456" s="6">
        <v>25881</v>
      </c>
      <c r="P456" s="6">
        <v>0</v>
      </c>
      <c r="Q456" s="6">
        <v>51763</v>
      </c>
    </row>
    <row r="457" spans="1:17" x14ac:dyDescent="0.35">
      <c r="A457" s="1">
        <v>40765</v>
      </c>
      <c r="B457" s="6">
        <v>2820657</v>
      </c>
      <c r="C457" s="6">
        <v>1715192</v>
      </c>
      <c r="D457" s="6">
        <v>5088</v>
      </c>
      <c r="E457" s="6">
        <v>1628060</v>
      </c>
      <c r="F457" s="6">
        <v>14599</v>
      </c>
      <c r="G457" s="6">
        <v>2625</v>
      </c>
      <c r="H457" s="6">
        <v>64820</v>
      </c>
      <c r="I457" s="6">
        <v>96807</v>
      </c>
      <c r="J457" s="6">
        <v>992791</v>
      </c>
      <c r="K457" s="6">
        <v>1443</v>
      </c>
      <c r="L457" s="6"/>
      <c r="M457" s="6">
        <v>14424</v>
      </c>
      <c r="N457" s="6">
        <v>25883</v>
      </c>
      <c r="O457" s="6">
        <v>25883</v>
      </c>
      <c r="P457" s="6">
        <v>0</v>
      </c>
      <c r="Q457" s="6">
        <v>51766</v>
      </c>
    </row>
    <row r="458" spans="1:17" x14ac:dyDescent="0.35">
      <c r="A458" s="1">
        <v>40772</v>
      </c>
      <c r="B458" s="6">
        <v>2806088</v>
      </c>
      <c r="C458" s="6">
        <v>1701186</v>
      </c>
      <c r="D458" s="6">
        <v>5088</v>
      </c>
      <c r="E458" s="6">
        <v>1647157</v>
      </c>
      <c r="F458" s="6">
        <v>8905</v>
      </c>
      <c r="G458" s="6">
        <v>5126</v>
      </c>
      <c r="H458" s="6">
        <v>34910</v>
      </c>
      <c r="I458" s="6">
        <v>95911</v>
      </c>
      <c r="J458" s="6">
        <v>992382</v>
      </c>
      <c r="K458" s="6">
        <v>1344</v>
      </c>
      <c r="L458" s="6"/>
      <c r="M458" s="6">
        <v>15266</v>
      </c>
      <c r="N458" s="6">
        <v>25909</v>
      </c>
      <c r="O458" s="6">
        <v>25909</v>
      </c>
      <c r="P458" s="6">
        <v>0</v>
      </c>
      <c r="Q458" s="6">
        <v>51817</v>
      </c>
    </row>
    <row r="459" spans="1:17" x14ac:dyDescent="0.35">
      <c r="A459" s="1">
        <v>40779</v>
      </c>
      <c r="B459" s="6">
        <v>2807603</v>
      </c>
      <c r="C459" s="6">
        <v>1699730</v>
      </c>
      <c r="D459" s="6">
        <v>5088</v>
      </c>
      <c r="E459" s="6">
        <v>1610044</v>
      </c>
      <c r="F459" s="6">
        <v>10896</v>
      </c>
      <c r="G459" s="6">
        <v>5228</v>
      </c>
      <c r="H459" s="6">
        <v>68475</v>
      </c>
      <c r="I459" s="6">
        <v>99519</v>
      </c>
      <c r="J459" s="6">
        <v>991611</v>
      </c>
      <c r="K459" s="6">
        <v>1398</v>
      </c>
      <c r="L459" s="6"/>
      <c r="M459" s="6">
        <v>15346</v>
      </c>
      <c r="N459" s="6">
        <v>25915</v>
      </c>
      <c r="O459" s="6">
        <v>25915</v>
      </c>
      <c r="P459" s="6">
        <v>0</v>
      </c>
      <c r="Q459" s="6">
        <v>51830</v>
      </c>
    </row>
    <row r="460" spans="1:17" x14ac:dyDescent="0.35">
      <c r="A460" s="1">
        <v>40786</v>
      </c>
      <c r="B460" s="6">
        <v>2801998</v>
      </c>
      <c r="C460" s="6">
        <v>1684806</v>
      </c>
      <c r="D460" s="6">
        <v>0</v>
      </c>
      <c r="E460" s="6">
        <v>1591995</v>
      </c>
      <c r="F460" s="6">
        <v>42481</v>
      </c>
      <c r="G460" s="6">
        <v>2675</v>
      </c>
      <c r="H460" s="6">
        <v>47654</v>
      </c>
      <c r="I460" s="6">
        <v>104544</v>
      </c>
      <c r="J460" s="6">
        <v>996056</v>
      </c>
      <c r="K460" s="6">
        <v>1418</v>
      </c>
      <c r="L460" s="6"/>
      <c r="M460" s="6">
        <v>15174</v>
      </c>
      <c r="N460" s="6">
        <v>25945</v>
      </c>
      <c r="O460" s="6">
        <v>25945</v>
      </c>
      <c r="P460" s="6">
        <v>0</v>
      </c>
      <c r="Q460" s="6">
        <v>51890</v>
      </c>
    </row>
    <row r="461" spans="1:17" x14ac:dyDescent="0.35">
      <c r="A461" s="1">
        <v>40793</v>
      </c>
      <c r="B461" s="6">
        <v>2806757</v>
      </c>
      <c r="C461" s="6">
        <v>1685185</v>
      </c>
      <c r="D461" s="6">
        <v>0</v>
      </c>
      <c r="E461" s="6">
        <v>1610237</v>
      </c>
      <c r="F461" s="6">
        <v>22841</v>
      </c>
      <c r="G461" s="6">
        <v>3242</v>
      </c>
      <c r="H461" s="6">
        <v>48865</v>
      </c>
      <c r="I461" s="6">
        <v>102756</v>
      </c>
      <c r="J461" s="6">
        <v>1001525</v>
      </c>
      <c r="K461" s="6">
        <v>2198</v>
      </c>
      <c r="L461" s="6"/>
      <c r="M461" s="6">
        <v>15093</v>
      </c>
      <c r="N461" s="6">
        <v>25951</v>
      </c>
      <c r="O461" s="6">
        <v>25951</v>
      </c>
      <c r="P461" s="6">
        <v>0</v>
      </c>
      <c r="Q461" s="6">
        <v>51903</v>
      </c>
    </row>
    <row r="462" spans="1:17" x14ac:dyDescent="0.35">
      <c r="A462" s="1">
        <v>40800</v>
      </c>
      <c r="B462" s="6">
        <v>2811637</v>
      </c>
      <c r="C462" s="6">
        <v>1702361</v>
      </c>
      <c r="D462" s="6">
        <v>0</v>
      </c>
      <c r="E462" s="6">
        <v>1620658</v>
      </c>
      <c r="F462" s="6">
        <v>16083</v>
      </c>
      <c r="G462" s="6">
        <v>2630</v>
      </c>
      <c r="H462" s="6">
        <v>62990</v>
      </c>
      <c r="I462" s="6">
        <v>94116</v>
      </c>
      <c r="J462" s="6">
        <v>998153</v>
      </c>
      <c r="K462" s="6">
        <v>1635</v>
      </c>
      <c r="L462" s="6"/>
      <c r="M462" s="6">
        <v>15372</v>
      </c>
      <c r="N462" s="6">
        <v>25952</v>
      </c>
      <c r="O462" s="6">
        <v>25952</v>
      </c>
      <c r="P462" s="6">
        <v>0</v>
      </c>
      <c r="Q462" s="6">
        <v>51904</v>
      </c>
    </row>
    <row r="463" spans="1:17" x14ac:dyDescent="0.35">
      <c r="A463" s="1">
        <v>40807</v>
      </c>
      <c r="B463" s="6">
        <v>2805844</v>
      </c>
      <c r="C463" s="6">
        <v>1702799</v>
      </c>
      <c r="D463" s="6">
        <v>0</v>
      </c>
      <c r="E463" s="6">
        <v>1549462</v>
      </c>
      <c r="F463" s="6">
        <v>74216</v>
      </c>
      <c r="G463" s="6">
        <v>2636</v>
      </c>
      <c r="H463" s="6">
        <v>76485</v>
      </c>
      <c r="I463" s="6">
        <v>90953</v>
      </c>
      <c r="J463" s="6">
        <v>995059</v>
      </c>
      <c r="K463" s="6">
        <v>1362</v>
      </c>
      <c r="L463" s="6"/>
      <c r="M463" s="6">
        <v>15672</v>
      </c>
      <c r="N463" s="6">
        <v>25952</v>
      </c>
      <c r="O463" s="6">
        <v>25952</v>
      </c>
      <c r="P463" s="6">
        <v>0</v>
      </c>
      <c r="Q463" s="6">
        <v>51903</v>
      </c>
    </row>
    <row r="464" spans="1:17" x14ac:dyDescent="0.35">
      <c r="A464" s="1">
        <v>40814</v>
      </c>
      <c r="B464" s="6">
        <v>2798913</v>
      </c>
      <c r="C464" s="6">
        <v>1703116</v>
      </c>
      <c r="D464" s="6">
        <v>5077</v>
      </c>
      <c r="E464" s="6">
        <v>1608996</v>
      </c>
      <c r="F464" s="6">
        <v>44942</v>
      </c>
      <c r="G464" s="6">
        <v>225</v>
      </c>
      <c r="H464" s="6">
        <v>43876</v>
      </c>
      <c r="I464" s="6">
        <v>82815</v>
      </c>
      <c r="J464" s="6">
        <v>996320</v>
      </c>
      <c r="K464" s="6">
        <v>1303</v>
      </c>
      <c r="L464" s="6"/>
      <c r="M464" s="6">
        <v>15358</v>
      </c>
      <c r="N464" s="6">
        <v>26004</v>
      </c>
      <c r="O464" s="6">
        <v>26004</v>
      </c>
      <c r="P464" s="6">
        <v>0</v>
      </c>
      <c r="Q464" s="6">
        <v>52008</v>
      </c>
    </row>
    <row r="465" spans="1:17" x14ac:dyDescent="0.35">
      <c r="A465" s="1">
        <v>40821</v>
      </c>
      <c r="B465" s="6">
        <v>2807669</v>
      </c>
      <c r="C465" s="6">
        <v>1707365</v>
      </c>
      <c r="D465" s="6">
        <v>5077</v>
      </c>
      <c r="E465" s="6">
        <v>1626597</v>
      </c>
      <c r="F465" s="6">
        <v>31623</v>
      </c>
      <c r="G465" s="6">
        <v>219</v>
      </c>
      <c r="H465" s="6">
        <v>43850</v>
      </c>
      <c r="I465" s="6">
        <v>82828</v>
      </c>
      <c r="J465" s="6">
        <v>1000668</v>
      </c>
      <c r="K465" s="6">
        <v>1517</v>
      </c>
      <c r="L465" s="6"/>
      <c r="M465" s="6">
        <v>15290</v>
      </c>
      <c r="N465" s="6">
        <v>26016</v>
      </c>
      <c r="O465" s="6">
        <v>26016</v>
      </c>
      <c r="P465" s="6">
        <v>0</v>
      </c>
      <c r="Q465" s="6">
        <v>52033</v>
      </c>
    </row>
    <row r="466" spans="1:17" x14ac:dyDescent="0.35">
      <c r="A466" s="1">
        <v>40828</v>
      </c>
      <c r="B466" s="6">
        <v>2808784</v>
      </c>
      <c r="C466" s="6">
        <v>1713420</v>
      </c>
      <c r="D466" s="6">
        <v>5077</v>
      </c>
      <c r="E466" s="6">
        <v>1635388</v>
      </c>
      <c r="F466" s="6">
        <v>17681</v>
      </c>
      <c r="G466" s="6">
        <v>126</v>
      </c>
      <c r="H466" s="6">
        <v>55148</v>
      </c>
      <c r="I466" s="6">
        <v>73484</v>
      </c>
      <c r="J466" s="6">
        <v>1003322</v>
      </c>
      <c r="K466" s="6">
        <v>2260</v>
      </c>
      <c r="L466" s="6"/>
      <c r="M466" s="6">
        <v>16298</v>
      </c>
      <c r="N466" s="6">
        <v>26019</v>
      </c>
      <c r="O466" s="6">
        <v>26019</v>
      </c>
      <c r="P466" s="6">
        <v>0</v>
      </c>
      <c r="Q466" s="6">
        <v>52037</v>
      </c>
    </row>
    <row r="467" spans="1:17" x14ac:dyDescent="0.35">
      <c r="A467" s="1">
        <v>40835</v>
      </c>
      <c r="B467" s="6">
        <v>2800350</v>
      </c>
      <c r="C467" s="6">
        <v>1701496</v>
      </c>
      <c r="D467" s="6">
        <v>5077</v>
      </c>
      <c r="E467" s="6">
        <v>1571686</v>
      </c>
      <c r="F467" s="6">
        <v>68392</v>
      </c>
      <c r="G467" s="6">
        <v>138</v>
      </c>
      <c r="H467" s="6">
        <v>56203</v>
      </c>
      <c r="I467" s="6">
        <v>80468</v>
      </c>
      <c r="J467" s="6">
        <v>1001153</v>
      </c>
      <c r="K467" s="6">
        <v>1396</v>
      </c>
      <c r="L467" s="6"/>
      <c r="M467" s="6">
        <v>15837</v>
      </c>
      <c r="N467" s="6">
        <v>26020</v>
      </c>
      <c r="O467" s="6">
        <v>26020</v>
      </c>
      <c r="P467" s="6">
        <v>0</v>
      </c>
      <c r="Q467" s="6">
        <v>52040</v>
      </c>
    </row>
    <row r="468" spans="1:17" x14ac:dyDescent="0.35">
      <c r="A468" s="1">
        <v>40842</v>
      </c>
      <c r="B468" s="6">
        <v>2793628</v>
      </c>
      <c r="C468" s="6">
        <v>1697001</v>
      </c>
      <c r="D468" s="6">
        <v>0</v>
      </c>
      <c r="E468" s="6">
        <v>1588042</v>
      </c>
      <c r="F468" s="6">
        <v>55187</v>
      </c>
      <c r="G468" s="6">
        <v>132</v>
      </c>
      <c r="H468" s="6">
        <v>53640</v>
      </c>
      <c r="I468" s="6">
        <v>81316</v>
      </c>
      <c r="J468" s="6">
        <v>1001574</v>
      </c>
      <c r="K468" s="6">
        <v>1117</v>
      </c>
      <c r="L468" s="6"/>
      <c r="M468" s="6">
        <v>12620</v>
      </c>
      <c r="N468" s="6">
        <v>26028</v>
      </c>
      <c r="O468" s="6">
        <v>26028</v>
      </c>
      <c r="P468" s="6">
        <v>0</v>
      </c>
      <c r="Q468" s="6">
        <v>52057</v>
      </c>
    </row>
    <row r="469" spans="1:17" x14ac:dyDescent="0.35">
      <c r="A469" s="1">
        <v>40849</v>
      </c>
      <c r="B469" s="6">
        <v>2769942</v>
      </c>
      <c r="C469" s="6">
        <v>1622402</v>
      </c>
      <c r="D469" s="6">
        <v>0</v>
      </c>
      <c r="E469" s="6">
        <v>1521759</v>
      </c>
      <c r="F469" s="6">
        <v>63901</v>
      </c>
      <c r="G469" s="6">
        <v>126</v>
      </c>
      <c r="H469" s="6">
        <v>36616</v>
      </c>
      <c r="I469" s="6">
        <v>124512</v>
      </c>
      <c r="J469" s="6">
        <v>1008443</v>
      </c>
      <c r="K469" s="6">
        <v>1408</v>
      </c>
      <c r="L469" s="6"/>
      <c r="M469" s="6">
        <v>13177</v>
      </c>
      <c r="N469" s="6">
        <v>26046</v>
      </c>
      <c r="O469" s="6">
        <v>26046</v>
      </c>
      <c r="P469" s="6">
        <v>0</v>
      </c>
      <c r="Q469" s="6">
        <v>52092</v>
      </c>
    </row>
    <row r="470" spans="1:17" x14ac:dyDescent="0.35">
      <c r="A470" s="1">
        <v>40856</v>
      </c>
      <c r="B470" s="6">
        <v>2787680</v>
      </c>
      <c r="C470" s="6">
        <v>1669380</v>
      </c>
      <c r="D470" s="6">
        <v>0</v>
      </c>
      <c r="E470" s="6">
        <v>1593637</v>
      </c>
      <c r="F470" s="6">
        <v>24193</v>
      </c>
      <c r="G470" s="6">
        <v>125</v>
      </c>
      <c r="H470" s="6">
        <v>51425</v>
      </c>
      <c r="I470" s="6">
        <v>87648</v>
      </c>
      <c r="J470" s="6">
        <v>1015192</v>
      </c>
      <c r="K470" s="6">
        <v>1481</v>
      </c>
      <c r="L470" s="6"/>
      <c r="M470" s="6">
        <v>13978</v>
      </c>
      <c r="N470" s="6">
        <v>26053</v>
      </c>
      <c r="O470" s="6">
        <v>26053</v>
      </c>
      <c r="P470" s="6">
        <v>0</v>
      </c>
      <c r="Q470" s="6">
        <v>52107</v>
      </c>
    </row>
    <row r="471" spans="1:17" x14ac:dyDescent="0.35">
      <c r="A471" s="1">
        <v>40863</v>
      </c>
      <c r="B471" s="6">
        <v>2779409</v>
      </c>
      <c r="C471" s="6">
        <v>1649775</v>
      </c>
      <c r="D471" s="6">
        <v>0</v>
      </c>
      <c r="E471" s="6">
        <v>1577567</v>
      </c>
      <c r="F471" s="6">
        <v>44782</v>
      </c>
      <c r="G471" s="6">
        <v>125</v>
      </c>
      <c r="H471" s="6">
        <v>27302</v>
      </c>
      <c r="I471" s="6">
        <v>96829</v>
      </c>
      <c r="J471" s="6">
        <v>1016372</v>
      </c>
      <c r="K471" s="6">
        <v>1566</v>
      </c>
      <c r="L471" s="6"/>
      <c r="M471" s="6">
        <v>14866</v>
      </c>
      <c r="N471" s="6">
        <v>26083</v>
      </c>
      <c r="O471" s="6">
        <v>26083</v>
      </c>
      <c r="P471" s="6">
        <v>0</v>
      </c>
      <c r="Q471" s="6">
        <v>52166</v>
      </c>
    </row>
    <row r="472" spans="1:17" x14ac:dyDescent="0.35">
      <c r="A472" s="1">
        <v>40870</v>
      </c>
      <c r="B472" s="6">
        <v>2768054</v>
      </c>
      <c r="C472" s="6">
        <v>1646690</v>
      </c>
      <c r="D472" s="6">
        <v>5055</v>
      </c>
      <c r="E472" s="6">
        <v>1491829</v>
      </c>
      <c r="F472" s="6">
        <v>34535</v>
      </c>
      <c r="G472" s="6">
        <v>124</v>
      </c>
      <c r="H472" s="6">
        <v>115147</v>
      </c>
      <c r="I472" s="6">
        <v>84779</v>
      </c>
      <c r="J472" s="6">
        <v>1020751</v>
      </c>
      <c r="K472" s="6">
        <v>1231</v>
      </c>
      <c r="L472" s="6"/>
      <c r="M472" s="6">
        <v>14603</v>
      </c>
      <c r="N472" s="6">
        <v>26963</v>
      </c>
      <c r="O472" s="6">
        <v>26963</v>
      </c>
      <c r="P472" s="6">
        <v>0</v>
      </c>
      <c r="Q472" s="6">
        <v>53925</v>
      </c>
    </row>
    <row r="473" spans="1:17" x14ac:dyDescent="0.35">
      <c r="A473" s="1">
        <v>40877</v>
      </c>
      <c r="B473" s="6">
        <v>2760273</v>
      </c>
      <c r="C473" s="6">
        <v>1630910</v>
      </c>
      <c r="D473" s="6">
        <v>5055</v>
      </c>
      <c r="E473" s="6">
        <v>1487253</v>
      </c>
      <c r="F473" s="6">
        <v>85605</v>
      </c>
      <c r="G473" s="6">
        <v>165</v>
      </c>
      <c r="H473" s="6">
        <v>52831</v>
      </c>
      <c r="I473" s="6">
        <v>92968</v>
      </c>
      <c r="J473" s="6">
        <v>1020447</v>
      </c>
      <c r="K473" s="6">
        <v>1234</v>
      </c>
      <c r="L473" s="6"/>
      <c r="M473" s="6">
        <v>14714</v>
      </c>
      <c r="N473" s="6">
        <v>26981</v>
      </c>
      <c r="O473" s="6">
        <v>26981</v>
      </c>
      <c r="P473" s="6">
        <v>0</v>
      </c>
      <c r="Q473" s="6">
        <v>53962</v>
      </c>
    </row>
    <row r="474" spans="1:17" x14ac:dyDescent="0.35">
      <c r="A474" s="1">
        <v>40884</v>
      </c>
      <c r="B474" s="6">
        <v>2766878</v>
      </c>
      <c r="C474" s="6">
        <v>1643078</v>
      </c>
      <c r="D474" s="6">
        <v>5055</v>
      </c>
      <c r="E474" s="6">
        <v>1549985</v>
      </c>
      <c r="F474" s="6">
        <v>21747</v>
      </c>
      <c r="G474" s="6">
        <v>126</v>
      </c>
      <c r="H474" s="6">
        <v>66165</v>
      </c>
      <c r="I474" s="6">
        <v>85198</v>
      </c>
      <c r="J474" s="6">
        <v>1022091</v>
      </c>
      <c r="K474" s="6">
        <v>1407</v>
      </c>
      <c r="L474" s="6"/>
      <c r="M474" s="6">
        <v>15104</v>
      </c>
      <c r="N474" s="6">
        <v>26906</v>
      </c>
      <c r="O474" s="6">
        <v>26906</v>
      </c>
      <c r="P474" s="6">
        <v>0</v>
      </c>
      <c r="Q474" s="6">
        <v>53813</v>
      </c>
    </row>
    <row r="475" spans="1:17" x14ac:dyDescent="0.35">
      <c r="A475" s="1">
        <v>40891</v>
      </c>
      <c r="B475" s="6">
        <v>2848609</v>
      </c>
      <c r="C475" s="6">
        <v>1724841</v>
      </c>
      <c r="D475" s="6">
        <v>5055</v>
      </c>
      <c r="E475" s="6">
        <v>1615168</v>
      </c>
      <c r="F475" s="6">
        <v>25651</v>
      </c>
      <c r="G475" s="6">
        <v>700</v>
      </c>
      <c r="H475" s="6">
        <v>78267</v>
      </c>
      <c r="I475" s="6">
        <v>82472</v>
      </c>
      <c r="J475" s="6">
        <v>1024629</v>
      </c>
      <c r="K475" s="6">
        <v>1334</v>
      </c>
      <c r="L475" s="6"/>
      <c r="M475" s="6">
        <v>15333</v>
      </c>
      <c r="N475" s="6">
        <v>26939</v>
      </c>
      <c r="O475" s="6">
        <v>26939</v>
      </c>
      <c r="P475" s="6">
        <v>0</v>
      </c>
      <c r="Q475" s="6">
        <v>53879</v>
      </c>
    </row>
    <row r="476" spans="1:17" x14ac:dyDescent="0.35">
      <c r="A476" s="1">
        <v>40898</v>
      </c>
      <c r="B476" s="6">
        <v>2862202</v>
      </c>
      <c r="C476" s="6">
        <v>1726593</v>
      </c>
      <c r="D476" s="6">
        <v>0</v>
      </c>
      <c r="E476" s="6">
        <v>1506559</v>
      </c>
      <c r="F476" s="6">
        <v>106592</v>
      </c>
      <c r="G476" s="6">
        <v>426</v>
      </c>
      <c r="H476" s="6">
        <v>113016</v>
      </c>
      <c r="I476" s="6">
        <v>90070</v>
      </c>
      <c r="J476" s="6">
        <v>1028516</v>
      </c>
      <c r="K476" s="6">
        <v>1252</v>
      </c>
      <c r="L476" s="6"/>
      <c r="M476" s="6">
        <v>15771</v>
      </c>
      <c r="N476" s="6">
        <v>26941</v>
      </c>
      <c r="O476" s="6">
        <v>26941</v>
      </c>
      <c r="P476" s="6">
        <v>0</v>
      </c>
      <c r="Q476" s="6">
        <v>53883</v>
      </c>
    </row>
    <row r="477" spans="1:17" x14ac:dyDescent="0.35">
      <c r="A477" s="1">
        <v>40905</v>
      </c>
      <c r="B477" s="6">
        <v>2872296</v>
      </c>
      <c r="C477" s="6">
        <v>1731928</v>
      </c>
      <c r="D477" s="6">
        <v>0</v>
      </c>
      <c r="E477" s="6">
        <v>1569267</v>
      </c>
      <c r="F477" s="6">
        <v>91418</v>
      </c>
      <c r="G477" s="6">
        <v>378</v>
      </c>
      <c r="H477" s="6">
        <v>70866</v>
      </c>
      <c r="I477" s="6">
        <v>88674</v>
      </c>
      <c r="J477" s="6">
        <v>1034520</v>
      </c>
      <c r="K477" s="6">
        <v>1494</v>
      </c>
      <c r="L477" s="6"/>
      <c r="M477" s="6">
        <v>15680</v>
      </c>
      <c r="N477" s="6">
        <v>26900</v>
      </c>
      <c r="O477" s="6">
        <v>26900</v>
      </c>
      <c r="P477" s="6">
        <v>0</v>
      </c>
      <c r="Q477" s="6">
        <v>53799</v>
      </c>
    </row>
    <row r="478" spans="1:17" x14ac:dyDescent="0.35">
      <c r="A478" s="1">
        <v>40912</v>
      </c>
      <c r="B478" s="6">
        <v>2863890</v>
      </c>
      <c r="C478" s="6">
        <v>1726984</v>
      </c>
      <c r="D478" s="6">
        <v>0</v>
      </c>
      <c r="E478" s="6">
        <v>1581549</v>
      </c>
      <c r="F478" s="6">
        <v>87031</v>
      </c>
      <c r="G478" s="6">
        <v>125</v>
      </c>
      <c r="H478" s="6">
        <v>58279</v>
      </c>
      <c r="I478" s="6">
        <v>88111</v>
      </c>
      <c r="J478" s="6">
        <v>1032534</v>
      </c>
      <c r="K478" s="6">
        <v>2411</v>
      </c>
      <c r="L478" s="6"/>
      <c r="M478" s="6">
        <v>13850</v>
      </c>
      <c r="N478" s="6">
        <v>26900</v>
      </c>
      <c r="O478" s="6">
        <v>26900</v>
      </c>
      <c r="P478" s="6">
        <v>0</v>
      </c>
      <c r="Q478" s="6">
        <v>53800</v>
      </c>
    </row>
    <row r="479" spans="1:17" x14ac:dyDescent="0.35">
      <c r="A479" s="1">
        <v>40919</v>
      </c>
      <c r="B479" s="6">
        <v>2845348</v>
      </c>
      <c r="C479" s="6">
        <v>1716108</v>
      </c>
      <c r="D479" s="6">
        <v>0</v>
      </c>
      <c r="E479" s="6">
        <v>1584775</v>
      </c>
      <c r="F479" s="6">
        <v>66067</v>
      </c>
      <c r="G479" s="6">
        <v>125</v>
      </c>
      <c r="H479" s="6">
        <v>65141</v>
      </c>
      <c r="I479" s="6">
        <v>84632</v>
      </c>
      <c r="J479" s="6">
        <v>1026588</v>
      </c>
      <c r="K479" s="6">
        <v>1315</v>
      </c>
      <c r="L479" s="6"/>
      <c r="M479" s="6">
        <v>16706</v>
      </c>
      <c r="N479" s="6">
        <v>26900</v>
      </c>
      <c r="O479" s="6">
        <v>26900</v>
      </c>
      <c r="P479" s="6">
        <v>0</v>
      </c>
      <c r="Q479" s="6">
        <v>53801</v>
      </c>
    </row>
    <row r="480" spans="1:17" x14ac:dyDescent="0.35">
      <c r="A480" s="1">
        <v>40926</v>
      </c>
      <c r="B480" s="6">
        <v>2865622</v>
      </c>
      <c r="C480" s="6">
        <v>1731151</v>
      </c>
      <c r="D480" s="6">
        <v>3079</v>
      </c>
      <c r="E480" s="6">
        <v>1545459</v>
      </c>
      <c r="F480" s="6">
        <v>108203</v>
      </c>
      <c r="G480" s="6">
        <v>126</v>
      </c>
      <c r="H480" s="6">
        <v>74285</v>
      </c>
      <c r="I480" s="6">
        <v>91093</v>
      </c>
      <c r="J480" s="6">
        <v>1026122</v>
      </c>
      <c r="K480" s="6">
        <v>1967</v>
      </c>
      <c r="L480" s="6"/>
      <c r="M480" s="6">
        <v>15288</v>
      </c>
      <c r="N480" s="6">
        <v>26901</v>
      </c>
      <c r="O480" s="6">
        <v>26901</v>
      </c>
      <c r="P480" s="6">
        <v>0</v>
      </c>
      <c r="Q480" s="6">
        <v>53801</v>
      </c>
    </row>
    <row r="481" spans="1:17" x14ac:dyDescent="0.35">
      <c r="A481" s="1">
        <v>40933</v>
      </c>
      <c r="B481" s="6">
        <v>2865744</v>
      </c>
      <c r="C481" s="6">
        <v>1736060</v>
      </c>
      <c r="D481" s="6">
        <v>3079</v>
      </c>
      <c r="E481" s="6">
        <v>1579243</v>
      </c>
      <c r="F481" s="6">
        <v>111938</v>
      </c>
      <c r="G481" s="6">
        <v>125</v>
      </c>
      <c r="H481" s="6">
        <v>41675</v>
      </c>
      <c r="I481" s="6">
        <v>88715</v>
      </c>
      <c r="J481" s="6">
        <v>1024676</v>
      </c>
      <c r="K481" s="6">
        <v>1016</v>
      </c>
      <c r="L481" s="6"/>
      <c r="M481" s="6">
        <v>15277</v>
      </c>
      <c r="N481" s="6">
        <v>26901</v>
      </c>
      <c r="O481" s="6">
        <v>26901</v>
      </c>
      <c r="P481" s="6">
        <v>0</v>
      </c>
      <c r="Q481" s="6">
        <v>53801</v>
      </c>
    </row>
    <row r="482" spans="1:17" x14ac:dyDescent="0.35">
      <c r="A482" s="1">
        <v>40940</v>
      </c>
      <c r="B482" s="6">
        <v>2870345</v>
      </c>
      <c r="C482" s="6">
        <v>1740056</v>
      </c>
      <c r="D482" s="6">
        <v>3079</v>
      </c>
      <c r="E482" s="6">
        <v>1573947</v>
      </c>
      <c r="F482" s="6">
        <v>120691</v>
      </c>
      <c r="G482" s="6">
        <v>141</v>
      </c>
      <c r="H482" s="6">
        <v>42198</v>
      </c>
      <c r="I482" s="6">
        <v>83873</v>
      </c>
      <c r="J482" s="6">
        <v>1028912</v>
      </c>
      <c r="K482" s="6">
        <v>1171</v>
      </c>
      <c r="L482" s="6"/>
      <c r="M482" s="6">
        <v>16334</v>
      </c>
      <c r="N482" s="6">
        <v>27301</v>
      </c>
      <c r="O482" s="6">
        <v>27301</v>
      </c>
      <c r="P482" s="6">
        <v>0</v>
      </c>
      <c r="Q482" s="6">
        <v>54602</v>
      </c>
    </row>
    <row r="483" spans="1:17" x14ac:dyDescent="0.35">
      <c r="A483" s="1">
        <v>40947</v>
      </c>
      <c r="B483" s="6">
        <v>2873730</v>
      </c>
      <c r="C483" s="6">
        <v>1731487</v>
      </c>
      <c r="D483" s="6">
        <v>3079</v>
      </c>
      <c r="E483" s="6">
        <v>1633735</v>
      </c>
      <c r="F483" s="6">
        <v>49136</v>
      </c>
      <c r="G483" s="6">
        <v>126</v>
      </c>
      <c r="H483" s="6">
        <v>45411</v>
      </c>
      <c r="I483" s="6">
        <v>86755</v>
      </c>
      <c r="J483" s="6">
        <v>1036968</v>
      </c>
      <c r="K483" s="6">
        <v>1207</v>
      </c>
      <c r="L483" s="6"/>
      <c r="M483" s="6">
        <v>17314</v>
      </c>
      <c r="N483" s="6">
        <v>27272</v>
      </c>
      <c r="O483" s="6">
        <v>27272</v>
      </c>
      <c r="P483" s="6">
        <v>0</v>
      </c>
      <c r="Q483" s="6">
        <v>54545</v>
      </c>
    </row>
    <row r="484" spans="1:17" x14ac:dyDescent="0.35">
      <c r="A484" s="1">
        <v>40954</v>
      </c>
      <c r="B484" s="6">
        <v>2883345</v>
      </c>
      <c r="C484" s="6">
        <v>1733639</v>
      </c>
      <c r="D484" s="6">
        <v>0</v>
      </c>
      <c r="E484" s="6">
        <v>1673837</v>
      </c>
      <c r="F484" s="6">
        <v>50066</v>
      </c>
      <c r="G484" s="6">
        <v>269</v>
      </c>
      <c r="H484" s="6">
        <v>9467</v>
      </c>
      <c r="I484" s="6">
        <v>87117</v>
      </c>
      <c r="J484" s="6">
        <v>1044259</v>
      </c>
      <c r="K484" s="6">
        <v>1111</v>
      </c>
      <c r="L484" s="6"/>
      <c r="M484" s="6">
        <v>17219</v>
      </c>
      <c r="N484" s="6">
        <v>27274</v>
      </c>
      <c r="O484" s="6">
        <v>27274</v>
      </c>
      <c r="P484" s="6">
        <v>0</v>
      </c>
      <c r="Q484" s="6">
        <v>54548</v>
      </c>
    </row>
    <row r="485" spans="1:17" x14ac:dyDescent="0.35">
      <c r="A485" s="1">
        <v>40961</v>
      </c>
      <c r="B485" s="6">
        <v>2878219</v>
      </c>
      <c r="C485" s="6">
        <v>1721285</v>
      </c>
      <c r="D485" s="6">
        <v>0</v>
      </c>
      <c r="E485" s="6">
        <v>1622800</v>
      </c>
      <c r="F485" s="6">
        <v>36033</v>
      </c>
      <c r="G485" s="6">
        <v>130</v>
      </c>
      <c r="H485" s="6">
        <v>62322</v>
      </c>
      <c r="I485" s="6">
        <v>89824</v>
      </c>
      <c r="J485" s="6">
        <v>1048004</v>
      </c>
      <c r="K485" s="6">
        <v>1642</v>
      </c>
      <c r="L485" s="6"/>
      <c r="M485" s="6">
        <v>17464</v>
      </c>
      <c r="N485" s="6">
        <v>27297</v>
      </c>
      <c r="O485" s="6">
        <v>27297</v>
      </c>
      <c r="P485" s="6">
        <v>0</v>
      </c>
      <c r="Q485" s="6">
        <v>54594</v>
      </c>
    </row>
    <row r="486" spans="1:17" x14ac:dyDescent="0.35">
      <c r="A486" s="1">
        <v>40968</v>
      </c>
      <c r="B486" s="6">
        <v>2871203</v>
      </c>
      <c r="C486" s="6">
        <v>1714479</v>
      </c>
      <c r="D486" s="6">
        <v>0</v>
      </c>
      <c r="E486" s="6">
        <v>1607107</v>
      </c>
      <c r="F486" s="6">
        <v>62542</v>
      </c>
      <c r="G486" s="6">
        <v>127</v>
      </c>
      <c r="H486" s="6">
        <v>44702</v>
      </c>
      <c r="I486" s="6">
        <v>87553</v>
      </c>
      <c r="J486" s="6">
        <v>1049876</v>
      </c>
      <c r="K486" s="6">
        <v>1064</v>
      </c>
      <c r="L486" s="6"/>
      <c r="M486" s="6">
        <v>18231</v>
      </c>
      <c r="N486" s="6">
        <v>27260</v>
      </c>
      <c r="O486" s="6">
        <v>27260</v>
      </c>
      <c r="P486" s="6">
        <v>0</v>
      </c>
      <c r="Q486" s="6">
        <v>54519</v>
      </c>
    </row>
    <row r="487" spans="1:17" x14ac:dyDescent="0.35">
      <c r="A487" s="1">
        <v>40975</v>
      </c>
      <c r="B487" s="6">
        <v>2830302</v>
      </c>
      <c r="C487" s="6">
        <v>1671731</v>
      </c>
      <c r="D487" s="6">
        <v>0</v>
      </c>
      <c r="E487" s="6">
        <v>1604062</v>
      </c>
      <c r="F487" s="6">
        <v>26437</v>
      </c>
      <c r="G487" s="6">
        <v>127</v>
      </c>
      <c r="H487" s="6">
        <v>41106</v>
      </c>
      <c r="I487" s="6">
        <v>86429</v>
      </c>
      <c r="J487" s="6">
        <v>1053260</v>
      </c>
      <c r="K487" s="6">
        <v>1242</v>
      </c>
      <c r="L487" s="6"/>
      <c r="M487" s="6">
        <v>17640</v>
      </c>
      <c r="N487" s="6">
        <v>27223</v>
      </c>
      <c r="O487" s="6">
        <v>27223</v>
      </c>
      <c r="P487" s="6">
        <v>0</v>
      </c>
      <c r="Q487" s="6">
        <v>54445</v>
      </c>
    </row>
    <row r="488" spans="1:17" x14ac:dyDescent="0.35">
      <c r="A488" s="1">
        <v>40982</v>
      </c>
      <c r="B488" s="6">
        <v>2839111</v>
      </c>
      <c r="C488" s="6">
        <v>1665676</v>
      </c>
      <c r="D488" s="6">
        <v>0</v>
      </c>
      <c r="E488" s="6">
        <v>1566195</v>
      </c>
      <c r="F488" s="6">
        <v>45420</v>
      </c>
      <c r="G488" s="6">
        <v>127</v>
      </c>
      <c r="H488" s="6">
        <v>53934</v>
      </c>
      <c r="I488" s="6">
        <v>99250</v>
      </c>
      <c r="J488" s="6">
        <v>1055150</v>
      </c>
      <c r="K488" s="6">
        <v>1397</v>
      </c>
      <c r="L488" s="6"/>
      <c r="M488" s="6">
        <v>17638</v>
      </c>
      <c r="N488" s="6">
        <v>27225</v>
      </c>
      <c r="O488" s="6">
        <v>27225</v>
      </c>
      <c r="P488" s="6">
        <v>0</v>
      </c>
      <c r="Q488" s="6">
        <v>54450</v>
      </c>
    </row>
    <row r="489" spans="1:17" x14ac:dyDescent="0.35">
      <c r="A489" s="1">
        <v>40989</v>
      </c>
      <c r="B489" s="6">
        <v>2838312</v>
      </c>
      <c r="C489" s="6">
        <v>1679522</v>
      </c>
      <c r="D489" s="6">
        <v>0</v>
      </c>
      <c r="E489" s="6">
        <v>1544629</v>
      </c>
      <c r="F489" s="6">
        <v>87172</v>
      </c>
      <c r="G489" s="6">
        <v>144</v>
      </c>
      <c r="H489" s="6">
        <v>47576</v>
      </c>
      <c r="I489" s="6">
        <v>85888</v>
      </c>
      <c r="J489" s="6">
        <v>1055474</v>
      </c>
      <c r="K489" s="6">
        <v>961</v>
      </c>
      <c r="L489" s="6"/>
      <c r="M489" s="6">
        <v>16467</v>
      </c>
      <c r="N489" s="6">
        <v>27167</v>
      </c>
      <c r="O489" s="6">
        <v>27167</v>
      </c>
      <c r="P489" s="6">
        <v>0</v>
      </c>
      <c r="Q489" s="6">
        <v>54334</v>
      </c>
    </row>
    <row r="490" spans="1:17" x14ac:dyDescent="0.35">
      <c r="A490" s="1">
        <v>40996</v>
      </c>
      <c r="B490" s="6">
        <v>2823703</v>
      </c>
      <c r="C490" s="6">
        <v>1666599</v>
      </c>
      <c r="D490" s="6">
        <v>3057</v>
      </c>
      <c r="E490" s="6">
        <v>1564982</v>
      </c>
      <c r="F490" s="6">
        <v>68452</v>
      </c>
      <c r="G490" s="6">
        <v>127</v>
      </c>
      <c r="H490" s="6">
        <v>29981</v>
      </c>
      <c r="I490" s="6">
        <v>83227</v>
      </c>
      <c r="J490" s="6">
        <v>1056418</v>
      </c>
      <c r="K490" s="6">
        <v>983</v>
      </c>
      <c r="L490" s="6"/>
      <c r="M490" s="6">
        <v>16476</v>
      </c>
      <c r="N490" s="6">
        <v>27217</v>
      </c>
      <c r="O490" s="6">
        <v>27217</v>
      </c>
      <c r="P490" s="6">
        <v>0</v>
      </c>
      <c r="Q490" s="6">
        <v>54434</v>
      </c>
    </row>
    <row r="491" spans="1:17" x14ac:dyDescent="0.35">
      <c r="A491" s="1">
        <v>41003</v>
      </c>
      <c r="B491" s="6">
        <v>2811044</v>
      </c>
      <c r="C491" s="6">
        <v>1651007</v>
      </c>
      <c r="D491" s="6">
        <v>3057</v>
      </c>
      <c r="E491" s="6">
        <v>1562352</v>
      </c>
      <c r="F491" s="6">
        <v>56774</v>
      </c>
      <c r="G491" s="6">
        <v>127</v>
      </c>
      <c r="H491" s="6">
        <v>28697</v>
      </c>
      <c r="I491" s="6">
        <v>83351</v>
      </c>
      <c r="J491" s="6">
        <v>1059520</v>
      </c>
      <c r="K491" s="6">
        <v>1287</v>
      </c>
      <c r="L491" s="6"/>
      <c r="M491" s="6">
        <v>15879</v>
      </c>
      <c r="N491" s="6">
        <v>27217</v>
      </c>
      <c r="O491" s="6">
        <v>27217</v>
      </c>
      <c r="P491" s="6">
        <v>0</v>
      </c>
      <c r="Q491" s="6">
        <v>54434</v>
      </c>
    </row>
    <row r="492" spans="1:17" x14ac:dyDescent="0.35">
      <c r="A492" s="1">
        <v>41010</v>
      </c>
      <c r="B492" s="6">
        <v>2812759</v>
      </c>
      <c r="C492" s="6">
        <v>1645506</v>
      </c>
      <c r="D492" s="6">
        <v>3057</v>
      </c>
      <c r="E492" s="6">
        <v>1568800</v>
      </c>
      <c r="F492" s="6">
        <v>35524</v>
      </c>
      <c r="G492" s="6">
        <v>127</v>
      </c>
      <c r="H492" s="6">
        <v>37997</v>
      </c>
      <c r="I492" s="6">
        <v>88889</v>
      </c>
      <c r="J492" s="6">
        <v>1059842</v>
      </c>
      <c r="K492" s="6">
        <v>1106</v>
      </c>
      <c r="L492" s="6"/>
      <c r="M492" s="6">
        <v>17416</v>
      </c>
      <c r="N492" s="6">
        <v>27220</v>
      </c>
      <c r="O492" s="6">
        <v>27220</v>
      </c>
      <c r="P492" s="6">
        <v>0</v>
      </c>
      <c r="Q492" s="6">
        <v>54441</v>
      </c>
    </row>
    <row r="493" spans="1:17" x14ac:dyDescent="0.35">
      <c r="A493" s="1">
        <v>41017</v>
      </c>
      <c r="B493" s="6">
        <v>2821011</v>
      </c>
      <c r="C493" s="6">
        <v>1653275</v>
      </c>
      <c r="D493" s="6">
        <v>3057</v>
      </c>
      <c r="E493" s="6">
        <v>1515300</v>
      </c>
      <c r="F493" s="6">
        <v>103093</v>
      </c>
      <c r="G493" s="6">
        <v>127</v>
      </c>
      <c r="H493" s="6">
        <v>31698</v>
      </c>
      <c r="I493" s="6">
        <v>91368</v>
      </c>
      <c r="J493" s="6">
        <v>1058550</v>
      </c>
      <c r="K493" s="6">
        <v>1145</v>
      </c>
      <c r="L493" s="6"/>
      <c r="M493" s="6">
        <v>16673</v>
      </c>
      <c r="N493" s="6">
        <v>27229</v>
      </c>
      <c r="O493" s="6">
        <v>27229</v>
      </c>
      <c r="P493" s="6">
        <v>0</v>
      </c>
      <c r="Q493" s="6">
        <v>54459</v>
      </c>
    </row>
    <row r="494" spans="1:17" x14ac:dyDescent="0.35">
      <c r="A494" s="1">
        <v>41024</v>
      </c>
      <c r="B494" s="6">
        <v>2812099</v>
      </c>
      <c r="C494" s="6">
        <v>1641029</v>
      </c>
      <c r="D494" s="6">
        <v>0</v>
      </c>
      <c r="E494" s="6">
        <v>1526319</v>
      </c>
      <c r="F494" s="6">
        <v>102592</v>
      </c>
      <c r="G494" s="6">
        <v>128</v>
      </c>
      <c r="H494" s="6">
        <v>11990</v>
      </c>
      <c r="I494" s="6">
        <v>92447</v>
      </c>
      <c r="J494" s="6">
        <v>1058308</v>
      </c>
      <c r="K494" s="6">
        <v>1018</v>
      </c>
      <c r="L494" s="6"/>
      <c r="M494" s="6">
        <v>19297</v>
      </c>
      <c r="N494" s="6">
        <v>27231</v>
      </c>
      <c r="O494" s="6">
        <v>27231</v>
      </c>
      <c r="P494" s="6">
        <v>0</v>
      </c>
      <c r="Q494" s="6">
        <v>54463</v>
      </c>
    </row>
    <row r="495" spans="1:17" x14ac:dyDescent="0.35">
      <c r="A495" s="1">
        <v>41031</v>
      </c>
      <c r="B495" s="6">
        <v>2809801</v>
      </c>
      <c r="C495" s="6">
        <v>1639584</v>
      </c>
      <c r="D495" s="6">
        <v>0</v>
      </c>
      <c r="E495" s="6">
        <v>1483144</v>
      </c>
      <c r="F495" s="6">
        <v>136746</v>
      </c>
      <c r="G495" s="6">
        <v>137</v>
      </c>
      <c r="H495" s="6">
        <v>19558</v>
      </c>
      <c r="I495" s="6">
        <v>90336</v>
      </c>
      <c r="J495" s="6">
        <v>1060633</v>
      </c>
      <c r="K495" s="6">
        <v>1137</v>
      </c>
      <c r="L495" s="6"/>
      <c r="M495" s="6">
        <v>18110</v>
      </c>
      <c r="N495" s="6">
        <v>27240</v>
      </c>
      <c r="O495" s="6">
        <v>27240</v>
      </c>
      <c r="P495" s="6">
        <v>0</v>
      </c>
      <c r="Q495" s="6">
        <v>54479</v>
      </c>
    </row>
    <row r="496" spans="1:17" x14ac:dyDescent="0.35">
      <c r="A496" s="1">
        <v>41038</v>
      </c>
      <c r="B496" s="6">
        <v>2809597</v>
      </c>
      <c r="C496" s="6">
        <v>1640640</v>
      </c>
      <c r="D496" s="6">
        <v>0</v>
      </c>
      <c r="E496" s="6">
        <v>1510340</v>
      </c>
      <c r="F496" s="6">
        <v>102803</v>
      </c>
      <c r="G496" s="6">
        <v>128</v>
      </c>
      <c r="H496" s="6">
        <v>27369</v>
      </c>
      <c r="I496" s="6">
        <v>87779</v>
      </c>
      <c r="J496" s="6">
        <v>1062148</v>
      </c>
      <c r="K496" s="6">
        <v>1122</v>
      </c>
      <c r="L496" s="6"/>
      <c r="M496" s="6">
        <v>17908</v>
      </c>
      <c r="N496" s="6">
        <v>27276</v>
      </c>
      <c r="O496" s="6">
        <v>27276</v>
      </c>
      <c r="P496" s="6">
        <v>0</v>
      </c>
      <c r="Q496" s="6">
        <v>54553</v>
      </c>
    </row>
    <row r="497" spans="1:17" x14ac:dyDescent="0.35">
      <c r="A497" s="1">
        <v>41045</v>
      </c>
      <c r="B497" s="6">
        <v>2796335</v>
      </c>
      <c r="C497" s="6">
        <v>1624983</v>
      </c>
      <c r="D497" s="6">
        <v>0</v>
      </c>
      <c r="E497" s="6">
        <v>1515702</v>
      </c>
      <c r="F497" s="6">
        <v>101035</v>
      </c>
      <c r="G497" s="6">
        <v>140</v>
      </c>
      <c r="H497" s="6">
        <v>8106</v>
      </c>
      <c r="I497" s="6">
        <v>91022</v>
      </c>
      <c r="J497" s="6">
        <v>1061643</v>
      </c>
      <c r="K497" s="6">
        <v>999</v>
      </c>
      <c r="L497" s="6"/>
      <c r="M497" s="6">
        <v>17688</v>
      </c>
      <c r="N497" s="6">
        <v>27325</v>
      </c>
      <c r="O497" s="6">
        <v>27325</v>
      </c>
      <c r="P497" s="6">
        <v>0</v>
      </c>
      <c r="Q497" s="6">
        <v>54649</v>
      </c>
    </row>
    <row r="498" spans="1:17" x14ac:dyDescent="0.35">
      <c r="A498" s="1">
        <v>41052</v>
      </c>
      <c r="B498" s="6">
        <v>2804847</v>
      </c>
      <c r="C498" s="6">
        <v>1628548</v>
      </c>
      <c r="D498" s="6">
        <v>3053</v>
      </c>
      <c r="E498" s="6">
        <v>1526151</v>
      </c>
      <c r="F498" s="6">
        <v>80366</v>
      </c>
      <c r="G498" s="6">
        <v>129</v>
      </c>
      <c r="H498" s="6">
        <v>18849</v>
      </c>
      <c r="I498" s="6">
        <v>93575</v>
      </c>
      <c r="J498" s="6">
        <v>1063767</v>
      </c>
      <c r="K498" s="6">
        <v>853</v>
      </c>
      <c r="L498" s="6"/>
      <c r="M498" s="6">
        <v>18104</v>
      </c>
      <c r="N498" s="6">
        <v>27324</v>
      </c>
      <c r="O498" s="6">
        <v>27324</v>
      </c>
      <c r="P498" s="6">
        <v>0</v>
      </c>
      <c r="Q498" s="6">
        <v>54648</v>
      </c>
    </row>
    <row r="499" spans="1:17" x14ac:dyDescent="0.35">
      <c r="A499" s="1">
        <v>41059</v>
      </c>
      <c r="B499" s="6">
        <v>2787997</v>
      </c>
      <c r="C499" s="6">
        <v>1607317</v>
      </c>
      <c r="D499" s="6">
        <v>3053</v>
      </c>
      <c r="E499" s="6">
        <v>1526088</v>
      </c>
      <c r="F499" s="6">
        <v>67595</v>
      </c>
      <c r="G499" s="6">
        <v>135</v>
      </c>
      <c r="H499" s="6">
        <v>10446</v>
      </c>
      <c r="I499" s="6">
        <v>93526</v>
      </c>
      <c r="J499" s="6">
        <v>1068150</v>
      </c>
      <c r="K499" s="6">
        <v>1334</v>
      </c>
      <c r="L499" s="6"/>
      <c r="M499" s="6">
        <v>17669</v>
      </c>
      <c r="N499" s="6">
        <v>27329</v>
      </c>
      <c r="O499" s="6">
        <v>27329</v>
      </c>
      <c r="P499" s="6">
        <v>0</v>
      </c>
      <c r="Q499" s="6">
        <v>54657</v>
      </c>
    </row>
    <row r="500" spans="1:17" x14ac:dyDescent="0.35">
      <c r="A500" s="1">
        <v>41066</v>
      </c>
      <c r="B500" s="6">
        <v>2797319</v>
      </c>
      <c r="C500" s="6">
        <v>1621645</v>
      </c>
      <c r="D500" s="6">
        <v>3053</v>
      </c>
      <c r="E500" s="6">
        <v>1546861</v>
      </c>
      <c r="F500" s="6">
        <v>54040</v>
      </c>
      <c r="G500" s="6">
        <v>129</v>
      </c>
      <c r="H500" s="6">
        <v>17561</v>
      </c>
      <c r="I500" s="6">
        <v>88861</v>
      </c>
      <c r="J500" s="6">
        <v>1067825</v>
      </c>
      <c r="K500" s="6">
        <v>1144</v>
      </c>
      <c r="L500" s="6"/>
      <c r="M500" s="6">
        <v>17845</v>
      </c>
      <c r="N500" s="6">
        <v>27350</v>
      </c>
      <c r="O500" s="6">
        <v>27350</v>
      </c>
      <c r="P500" s="6">
        <v>0</v>
      </c>
      <c r="Q500" s="6">
        <v>54699</v>
      </c>
    </row>
    <row r="501" spans="1:17" x14ac:dyDescent="0.35">
      <c r="A501" s="1">
        <v>41073</v>
      </c>
      <c r="B501" s="6">
        <v>2814433</v>
      </c>
      <c r="C501" s="6">
        <v>1640171</v>
      </c>
      <c r="D501" s="6">
        <v>3053</v>
      </c>
      <c r="E501" s="6">
        <v>1566665</v>
      </c>
      <c r="F501" s="6">
        <v>36248</v>
      </c>
      <c r="G501" s="6">
        <v>1573</v>
      </c>
      <c r="H501" s="6">
        <v>32631</v>
      </c>
      <c r="I501" s="6">
        <v>83419</v>
      </c>
      <c r="J501" s="6">
        <v>1067221</v>
      </c>
      <c r="K501" s="6">
        <v>950</v>
      </c>
      <c r="L501" s="6"/>
      <c r="M501" s="6">
        <v>22673</v>
      </c>
      <c r="N501" s="6">
        <v>27319</v>
      </c>
      <c r="O501" s="6">
        <v>27319</v>
      </c>
      <c r="P501" s="6">
        <v>0</v>
      </c>
      <c r="Q501" s="6">
        <v>54638</v>
      </c>
    </row>
    <row r="502" spans="1:17" x14ac:dyDescent="0.35">
      <c r="A502" s="1">
        <v>41080</v>
      </c>
      <c r="B502" s="6">
        <v>2816178</v>
      </c>
      <c r="C502" s="6">
        <v>1645633</v>
      </c>
      <c r="D502" s="6">
        <v>0</v>
      </c>
      <c r="E502" s="6">
        <v>1461720</v>
      </c>
      <c r="F502" s="6">
        <v>139880</v>
      </c>
      <c r="G502" s="6">
        <v>1575</v>
      </c>
      <c r="H502" s="6">
        <v>42459</v>
      </c>
      <c r="I502" s="6">
        <v>84108</v>
      </c>
      <c r="J502" s="6">
        <v>1066758</v>
      </c>
      <c r="K502" s="6">
        <v>881</v>
      </c>
      <c r="L502" s="6"/>
      <c r="M502" s="6">
        <v>18797</v>
      </c>
      <c r="N502" s="6">
        <v>27334</v>
      </c>
      <c r="O502" s="6">
        <v>27334</v>
      </c>
      <c r="P502" s="6">
        <v>0</v>
      </c>
      <c r="Q502" s="6">
        <v>54669</v>
      </c>
    </row>
    <row r="503" spans="1:17" x14ac:dyDescent="0.35">
      <c r="A503" s="1">
        <v>41087</v>
      </c>
      <c r="B503" s="6">
        <v>2808878</v>
      </c>
      <c r="C503" s="6">
        <v>1639014</v>
      </c>
      <c r="D503" s="6">
        <v>0</v>
      </c>
      <c r="E503" s="6">
        <v>1491988</v>
      </c>
      <c r="F503" s="6">
        <v>117923</v>
      </c>
      <c r="G503" s="6">
        <v>1578</v>
      </c>
      <c r="H503" s="6">
        <v>27526</v>
      </c>
      <c r="I503" s="6">
        <v>83737</v>
      </c>
      <c r="J503" s="6">
        <v>1067917</v>
      </c>
      <c r="K503" s="6">
        <v>956</v>
      </c>
      <c r="L503" s="6"/>
      <c r="M503" s="6">
        <v>17254</v>
      </c>
      <c r="N503" s="6">
        <v>27334</v>
      </c>
      <c r="O503" s="6">
        <v>27334</v>
      </c>
      <c r="P503" s="6">
        <v>0</v>
      </c>
      <c r="Q503" s="6">
        <v>54669</v>
      </c>
    </row>
    <row r="504" spans="1:17" x14ac:dyDescent="0.35">
      <c r="A504" s="1">
        <v>41094</v>
      </c>
      <c r="B504" s="6">
        <v>2811186</v>
      </c>
      <c r="C504" s="6">
        <v>1626895</v>
      </c>
      <c r="D504" s="6">
        <v>0</v>
      </c>
      <c r="E504" s="6">
        <v>1507949</v>
      </c>
      <c r="F504" s="6">
        <v>97508</v>
      </c>
      <c r="G504" s="6">
        <v>1588</v>
      </c>
      <c r="H504" s="6">
        <v>19849</v>
      </c>
      <c r="I504" s="6">
        <v>87963</v>
      </c>
      <c r="J504" s="6">
        <v>1075912</v>
      </c>
      <c r="K504" s="6">
        <v>1424</v>
      </c>
      <c r="L504" s="6"/>
      <c r="M504" s="6">
        <v>18992</v>
      </c>
      <c r="N504" s="6">
        <v>27336</v>
      </c>
      <c r="O504" s="6">
        <v>27336</v>
      </c>
      <c r="P504" s="6">
        <v>0</v>
      </c>
      <c r="Q504" s="6">
        <v>54672</v>
      </c>
    </row>
    <row r="505" spans="1:17" x14ac:dyDescent="0.35">
      <c r="A505" s="1">
        <v>41101</v>
      </c>
      <c r="B505" s="6">
        <v>2811605</v>
      </c>
      <c r="C505" s="6">
        <v>1630234</v>
      </c>
      <c r="D505" s="6">
        <v>0</v>
      </c>
      <c r="E505" s="6">
        <v>1527556</v>
      </c>
      <c r="F505" s="6">
        <v>75287</v>
      </c>
      <c r="G505" s="6">
        <v>2566</v>
      </c>
      <c r="H505" s="6">
        <v>24825</v>
      </c>
      <c r="I505" s="6">
        <v>89689</v>
      </c>
      <c r="J505" s="6">
        <v>1073732</v>
      </c>
      <c r="K505" s="6">
        <v>955</v>
      </c>
      <c r="L505" s="6"/>
      <c r="M505" s="6">
        <v>16996</v>
      </c>
      <c r="N505" s="6">
        <v>27337</v>
      </c>
      <c r="O505" s="6">
        <v>27337</v>
      </c>
      <c r="P505" s="6">
        <v>0</v>
      </c>
      <c r="Q505" s="6">
        <v>54674</v>
      </c>
    </row>
    <row r="506" spans="1:17" x14ac:dyDescent="0.35">
      <c r="A506" s="1">
        <v>41108</v>
      </c>
      <c r="B506" s="6">
        <v>2801130</v>
      </c>
      <c r="C506" s="6">
        <v>1630583</v>
      </c>
      <c r="D506" s="6">
        <v>0</v>
      </c>
      <c r="E506" s="6">
        <v>1537287</v>
      </c>
      <c r="F506" s="6">
        <v>58670</v>
      </c>
      <c r="G506" s="6">
        <v>2576</v>
      </c>
      <c r="H506" s="6">
        <v>32050</v>
      </c>
      <c r="I506" s="6">
        <v>87994</v>
      </c>
      <c r="J506" s="6">
        <v>1070218</v>
      </c>
      <c r="K506" s="6">
        <v>928</v>
      </c>
      <c r="L506" s="6"/>
      <c r="M506" s="6">
        <v>11407</v>
      </c>
      <c r="N506" s="6">
        <v>27338</v>
      </c>
      <c r="O506" s="6">
        <v>27338</v>
      </c>
      <c r="P506" s="6">
        <v>0</v>
      </c>
      <c r="Q506" s="6">
        <v>54676</v>
      </c>
    </row>
    <row r="507" spans="1:17" x14ac:dyDescent="0.35">
      <c r="A507" s="1">
        <v>41115</v>
      </c>
      <c r="B507" s="6">
        <v>2792078</v>
      </c>
      <c r="C507" s="6">
        <v>1622144</v>
      </c>
      <c r="D507" s="6">
        <v>3040</v>
      </c>
      <c r="E507" s="6">
        <v>1567867</v>
      </c>
      <c r="F507" s="6">
        <v>38258</v>
      </c>
      <c r="G507" s="6">
        <v>2565</v>
      </c>
      <c r="H507" s="6">
        <v>10414</v>
      </c>
      <c r="I507" s="6">
        <v>87501</v>
      </c>
      <c r="J507" s="6">
        <v>1069713</v>
      </c>
      <c r="K507" s="6">
        <v>798</v>
      </c>
      <c r="L507" s="6"/>
      <c r="M507" s="6">
        <v>11922</v>
      </c>
      <c r="N507" s="6">
        <v>27339</v>
      </c>
      <c r="O507" s="6">
        <v>27339</v>
      </c>
      <c r="P507" s="6">
        <v>0</v>
      </c>
      <c r="Q507" s="6">
        <v>54678</v>
      </c>
    </row>
    <row r="508" spans="1:17" x14ac:dyDescent="0.35">
      <c r="A508" s="1">
        <v>41122</v>
      </c>
      <c r="B508" s="6">
        <v>2796430</v>
      </c>
      <c r="C508" s="6">
        <v>1621630</v>
      </c>
      <c r="D508" s="6">
        <v>3040</v>
      </c>
      <c r="E508" s="6">
        <v>1540999</v>
      </c>
      <c r="F508" s="6">
        <v>52683</v>
      </c>
      <c r="G508" s="6">
        <v>4233</v>
      </c>
      <c r="H508" s="6">
        <v>20675</v>
      </c>
      <c r="I508" s="6">
        <v>89806</v>
      </c>
      <c r="J508" s="6">
        <v>1072591</v>
      </c>
      <c r="K508" s="6">
        <v>884</v>
      </c>
      <c r="L508" s="6"/>
      <c r="M508" s="6">
        <v>11520</v>
      </c>
      <c r="N508" s="6">
        <v>27344</v>
      </c>
      <c r="O508" s="6">
        <v>27344</v>
      </c>
      <c r="P508" s="6">
        <v>0</v>
      </c>
      <c r="Q508" s="6">
        <v>54688</v>
      </c>
    </row>
    <row r="509" spans="1:17" x14ac:dyDescent="0.35">
      <c r="A509" s="1">
        <v>41129</v>
      </c>
      <c r="B509" s="6">
        <v>2801490</v>
      </c>
      <c r="C509" s="6">
        <v>1623417</v>
      </c>
      <c r="D509" s="6">
        <v>3040</v>
      </c>
      <c r="E509" s="6">
        <v>1560221</v>
      </c>
      <c r="F509" s="6">
        <v>26113</v>
      </c>
      <c r="G509" s="6">
        <v>5084</v>
      </c>
      <c r="H509" s="6">
        <v>28960</v>
      </c>
      <c r="I509" s="6">
        <v>91505</v>
      </c>
      <c r="J509" s="6">
        <v>1074524</v>
      </c>
      <c r="K509" s="6">
        <v>896</v>
      </c>
      <c r="L509" s="6"/>
      <c r="M509" s="6">
        <v>11148</v>
      </c>
      <c r="N509" s="6">
        <v>27346</v>
      </c>
      <c r="O509" s="6">
        <v>27346</v>
      </c>
      <c r="P509" s="6">
        <v>0</v>
      </c>
      <c r="Q509" s="6">
        <v>54691</v>
      </c>
    </row>
    <row r="510" spans="1:17" x14ac:dyDescent="0.35">
      <c r="A510" s="1">
        <v>41136</v>
      </c>
      <c r="B510" s="6">
        <v>2778610</v>
      </c>
      <c r="C510" s="6">
        <v>1603025</v>
      </c>
      <c r="D510" s="6">
        <v>3040</v>
      </c>
      <c r="E510" s="6">
        <v>1563493</v>
      </c>
      <c r="F510" s="6">
        <v>19906</v>
      </c>
      <c r="G510" s="6">
        <v>5686</v>
      </c>
      <c r="H510" s="6">
        <v>10899</v>
      </c>
      <c r="I510" s="6">
        <v>90684</v>
      </c>
      <c r="J510" s="6">
        <v>1075217</v>
      </c>
      <c r="K510" s="6">
        <v>834</v>
      </c>
      <c r="L510" s="6"/>
      <c r="M510" s="6">
        <v>8850</v>
      </c>
      <c r="N510" s="6">
        <v>27354</v>
      </c>
      <c r="O510" s="6">
        <v>27354</v>
      </c>
      <c r="P510" s="6">
        <v>0</v>
      </c>
      <c r="Q510" s="6">
        <v>54708</v>
      </c>
    </row>
    <row r="511" spans="1:17" x14ac:dyDescent="0.35">
      <c r="A511" s="1">
        <v>41143</v>
      </c>
      <c r="B511" s="6">
        <v>2771001</v>
      </c>
      <c r="C511" s="6">
        <v>1591226</v>
      </c>
      <c r="D511" s="6">
        <v>0</v>
      </c>
      <c r="E511" s="6">
        <v>1509847</v>
      </c>
      <c r="F511" s="6">
        <v>13680</v>
      </c>
      <c r="G511" s="6">
        <v>5083</v>
      </c>
      <c r="H511" s="6">
        <v>62616</v>
      </c>
      <c r="I511" s="6">
        <v>93713</v>
      </c>
      <c r="J511" s="6">
        <v>1075754</v>
      </c>
      <c r="K511" s="6">
        <v>821</v>
      </c>
      <c r="L511" s="6"/>
      <c r="M511" s="6">
        <v>9487</v>
      </c>
      <c r="N511" s="6">
        <v>27330</v>
      </c>
      <c r="O511" s="6">
        <v>27330</v>
      </c>
      <c r="P511" s="6">
        <v>0</v>
      </c>
      <c r="Q511" s="6">
        <v>54660</v>
      </c>
    </row>
    <row r="512" spans="1:17" x14ac:dyDescent="0.35">
      <c r="A512" s="1">
        <v>41150</v>
      </c>
      <c r="B512" s="6">
        <v>2758137</v>
      </c>
      <c r="C512" s="6">
        <v>1573909</v>
      </c>
      <c r="D512" s="6">
        <v>0</v>
      </c>
      <c r="E512" s="6">
        <v>1531187</v>
      </c>
      <c r="F512" s="6">
        <v>25021</v>
      </c>
      <c r="G512" s="6">
        <v>5084</v>
      </c>
      <c r="H512" s="6">
        <v>12616</v>
      </c>
      <c r="I512" s="6">
        <v>92651</v>
      </c>
      <c r="J512" s="6">
        <v>1081169</v>
      </c>
      <c r="K512" s="6">
        <v>832</v>
      </c>
      <c r="L512" s="6"/>
      <c r="M512" s="6">
        <v>9576</v>
      </c>
      <c r="N512" s="6">
        <v>27334</v>
      </c>
      <c r="O512" s="6">
        <v>27334</v>
      </c>
      <c r="P512" s="6">
        <v>0</v>
      </c>
      <c r="Q512" s="6">
        <v>54669</v>
      </c>
    </row>
    <row r="513" spans="1:17" x14ac:dyDescent="0.35">
      <c r="A513" s="1">
        <v>41157</v>
      </c>
      <c r="B513" s="6">
        <v>2767534</v>
      </c>
      <c r="C513" s="6">
        <v>1580357</v>
      </c>
      <c r="D513" s="6">
        <v>0</v>
      </c>
      <c r="E513" s="6">
        <v>1528383</v>
      </c>
      <c r="F513" s="6">
        <v>26561</v>
      </c>
      <c r="G513" s="6">
        <v>5084</v>
      </c>
      <c r="H513" s="6">
        <v>20329</v>
      </c>
      <c r="I513" s="6">
        <v>89848</v>
      </c>
      <c r="J513" s="6">
        <v>1086606</v>
      </c>
      <c r="K513" s="6">
        <v>1372</v>
      </c>
      <c r="L513" s="6"/>
      <c r="M513" s="6">
        <v>9351</v>
      </c>
      <c r="N513" s="6">
        <v>27317</v>
      </c>
      <c r="O513" s="6">
        <v>27317</v>
      </c>
      <c r="P513" s="6">
        <v>0</v>
      </c>
      <c r="Q513" s="6">
        <v>54635</v>
      </c>
    </row>
    <row r="514" spans="1:17" x14ac:dyDescent="0.35">
      <c r="A514" s="1">
        <v>41164</v>
      </c>
      <c r="B514" s="6">
        <v>2768813</v>
      </c>
      <c r="C514" s="6">
        <v>1581168</v>
      </c>
      <c r="D514" s="6">
        <v>0</v>
      </c>
      <c r="E514" s="6">
        <v>1502895</v>
      </c>
      <c r="F514" s="6">
        <v>38483</v>
      </c>
      <c r="G514" s="6">
        <v>5561</v>
      </c>
      <c r="H514" s="6">
        <v>34229</v>
      </c>
      <c r="I514" s="6">
        <v>92983</v>
      </c>
      <c r="J514" s="6">
        <v>1083835</v>
      </c>
      <c r="K514" s="6">
        <v>910</v>
      </c>
      <c r="L514" s="6"/>
      <c r="M514" s="6">
        <v>9917</v>
      </c>
      <c r="N514" s="6">
        <v>27318</v>
      </c>
      <c r="O514" s="6">
        <v>27318</v>
      </c>
      <c r="P514" s="6">
        <v>0</v>
      </c>
      <c r="Q514" s="6">
        <v>54635</v>
      </c>
    </row>
    <row r="515" spans="1:17" x14ac:dyDescent="0.35">
      <c r="A515" s="1">
        <v>41171</v>
      </c>
      <c r="B515" s="6">
        <v>2766731</v>
      </c>
      <c r="C515" s="6">
        <v>1578409</v>
      </c>
      <c r="D515" s="6">
        <v>3040</v>
      </c>
      <c r="E515" s="6">
        <v>1420635</v>
      </c>
      <c r="F515" s="6">
        <v>75676</v>
      </c>
      <c r="G515" s="6">
        <v>5560</v>
      </c>
      <c r="H515" s="6">
        <v>73498</v>
      </c>
      <c r="I515" s="6">
        <v>93969</v>
      </c>
      <c r="J515" s="6">
        <v>1083307</v>
      </c>
      <c r="K515" s="6">
        <v>833</v>
      </c>
      <c r="L515" s="6"/>
      <c r="M515" s="6">
        <v>10213</v>
      </c>
      <c r="N515" s="6">
        <v>27422</v>
      </c>
      <c r="O515" s="6">
        <v>27422</v>
      </c>
      <c r="P515" s="6">
        <v>0</v>
      </c>
      <c r="Q515" s="6">
        <v>54843</v>
      </c>
    </row>
    <row r="516" spans="1:17" x14ac:dyDescent="0.35">
      <c r="A516" s="1">
        <v>41178</v>
      </c>
      <c r="B516" s="6">
        <v>2749739</v>
      </c>
      <c r="C516" s="6">
        <v>1563461</v>
      </c>
      <c r="D516" s="6">
        <v>3040</v>
      </c>
      <c r="E516" s="6">
        <v>1470536</v>
      </c>
      <c r="F516" s="6">
        <v>65665</v>
      </c>
      <c r="G516" s="6">
        <v>5560</v>
      </c>
      <c r="H516" s="6">
        <v>18660</v>
      </c>
      <c r="I516" s="6">
        <v>89536</v>
      </c>
      <c r="J516" s="6">
        <v>1085808</v>
      </c>
      <c r="K516" s="6">
        <v>779</v>
      </c>
      <c r="L516" s="6"/>
      <c r="M516" s="6">
        <v>10155</v>
      </c>
      <c r="N516" s="6">
        <v>27359</v>
      </c>
      <c r="O516" s="6">
        <v>27359</v>
      </c>
      <c r="P516" s="6">
        <v>0</v>
      </c>
      <c r="Q516" s="6">
        <v>54718</v>
      </c>
    </row>
    <row r="517" spans="1:17" x14ac:dyDescent="0.35">
      <c r="A517" s="1">
        <v>41185</v>
      </c>
      <c r="B517" s="6">
        <v>2753780</v>
      </c>
      <c r="C517" s="6">
        <v>1563498</v>
      </c>
      <c r="D517" s="6">
        <v>3040</v>
      </c>
      <c r="E517" s="6">
        <v>1464625</v>
      </c>
      <c r="F517" s="6">
        <v>73488</v>
      </c>
      <c r="G517" s="6">
        <v>5561</v>
      </c>
      <c r="H517" s="6">
        <v>16784</v>
      </c>
      <c r="I517" s="6">
        <v>87263</v>
      </c>
      <c r="J517" s="6">
        <v>1091276</v>
      </c>
      <c r="K517" s="6">
        <v>899</v>
      </c>
      <c r="L517" s="6"/>
      <c r="M517" s="6">
        <v>10843</v>
      </c>
      <c r="N517" s="6">
        <v>27366</v>
      </c>
      <c r="O517" s="6">
        <v>27366</v>
      </c>
      <c r="P517" s="6">
        <v>0</v>
      </c>
      <c r="Q517" s="6">
        <v>54732</v>
      </c>
    </row>
    <row r="518" spans="1:17" x14ac:dyDescent="0.35">
      <c r="A518" s="1">
        <v>41192</v>
      </c>
      <c r="B518" s="6">
        <v>2756888</v>
      </c>
      <c r="C518" s="6">
        <v>1561675</v>
      </c>
      <c r="D518" s="6">
        <v>3040</v>
      </c>
      <c r="E518" s="6">
        <v>1469795</v>
      </c>
      <c r="F518" s="6">
        <v>53452</v>
      </c>
      <c r="G518" s="6">
        <v>5561</v>
      </c>
      <c r="H518" s="6">
        <v>29828</v>
      </c>
      <c r="I518" s="6">
        <v>88335</v>
      </c>
      <c r="J518" s="6">
        <v>1094788</v>
      </c>
      <c r="K518" s="6">
        <v>1359</v>
      </c>
      <c r="L518" s="6"/>
      <c r="M518" s="6">
        <v>10731</v>
      </c>
      <c r="N518" s="6">
        <v>27368</v>
      </c>
      <c r="O518" s="6">
        <v>27368</v>
      </c>
      <c r="P518" s="6">
        <v>0</v>
      </c>
      <c r="Q518" s="6">
        <v>54735</v>
      </c>
    </row>
    <row r="519" spans="1:17" x14ac:dyDescent="0.35">
      <c r="A519" s="1">
        <v>41199</v>
      </c>
      <c r="B519" s="6">
        <v>2792181</v>
      </c>
      <c r="C519" s="6">
        <v>1585549</v>
      </c>
      <c r="D519" s="6">
        <v>0</v>
      </c>
      <c r="E519" s="6">
        <v>1506249</v>
      </c>
      <c r="F519" s="6">
        <v>68600</v>
      </c>
      <c r="G519" s="6">
        <v>5561</v>
      </c>
      <c r="H519" s="6">
        <v>5139</v>
      </c>
      <c r="I519" s="6">
        <v>101307</v>
      </c>
      <c r="J519" s="6">
        <v>1093841</v>
      </c>
      <c r="K519" s="6">
        <v>841</v>
      </c>
      <c r="L519" s="6"/>
      <c r="M519" s="6">
        <v>10643</v>
      </c>
      <c r="N519" s="6">
        <v>27369</v>
      </c>
      <c r="O519" s="6">
        <v>27369</v>
      </c>
      <c r="P519" s="6">
        <v>0</v>
      </c>
      <c r="Q519" s="6">
        <v>54738</v>
      </c>
    </row>
    <row r="520" spans="1:17" x14ac:dyDescent="0.35">
      <c r="A520" s="1">
        <v>41206</v>
      </c>
      <c r="B520" s="6">
        <v>2786216</v>
      </c>
      <c r="C520" s="6">
        <v>1590690</v>
      </c>
      <c r="D520" s="6">
        <v>0</v>
      </c>
      <c r="E520" s="6">
        <v>1433241</v>
      </c>
      <c r="F520" s="6">
        <v>52847</v>
      </c>
      <c r="G520" s="6">
        <v>4862</v>
      </c>
      <c r="H520" s="6">
        <v>99739</v>
      </c>
      <c r="I520" s="6">
        <v>91709</v>
      </c>
      <c r="J520" s="6">
        <v>1092845</v>
      </c>
      <c r="K520" s="6">
        <v>780</v>
      </c>
      <c r="L520" s="6"/>
      <c r="M520" s="6">
        <v>10192</v>
      </c>
      <c r="N520" s="6">
        <v>27374</v>
      </c>
      <c r="O520" s="6">
        <v>27374</v>
      </c>
      <c r="P520" s="6">
        <v>0</v>
      </c>
      <c r="Q520" s="6">
        <v>54748</v>
      </c>
    </row>
    <row r="521" spans="1:17" x14ac:dyDescent="0.35">
      <c r="A521" s="1">
        <v>41213</v>
      </c>
      <c r="B521" s="6">
        <v>2768377</v>
      </c>
      <c r="C521" s="6">
        <v>1558017</v>
      </c>
      <c r="D521" s="6">
        <v>0</v>
      </c>
      <c r="E521" s="6">
        <v>1434400</v>
      </c>
      <c r="F521" s="6">
        <v>99966</v>
      </c>
      <c r="G521" s="6">
        <v>5991</v>
      </c>
      <c r="H521" s="6">
        <v>17660</v>
      </c>
      <c r="I521" s="6">
        <v>99748</v>
      </c>
      <c r="J521" s="6">
        <v>1099575</v>
      </c>
      <c r="K521" s="6">
        <v>1058</v>
      </c>
      <c r="L521" s="6"/>
      <c r="M521" s="6">
        <v>9979</v>
      </c>
      <c r="N521" s="6">
        <v>27380</v>
      </c>
      <c r="O521" s="6">
        <v>27380</v>
      </c>
      <c r="P521" s="6">
        <v>0</v>
      </c>
      <c r="Q521" s="6">
        <v>54760</v>
      </c>
    </row>
    <row r="522" spans="1:17" x14ac:dyDescent="0.35">
      <c r="A522" s="1">
        <v>41220</v>
      </c>
      <c r="B522" s="6">
        <v>2775985</v>
      </c>
      <c r="C522" s="6">
        <v>1567205</v>
      </c>
      <c r="D522" s="6">
        <v>0</v>
      </c>
      <c r="E522" s="6">
        <v>1511296</v>
      </c>
      <c r="F522" s="6">
        <v>23970</v>
      </c>
      <c r="G522" s="6">
        <v>5931</v>
      </c>
      <c r="H522" s="6">
        <v>26008</v>
      </c>
      <c r="I522" s="6">
        <v>92980</v>
      </c>
      <c r="J522" s="6">
        <v>1104765</v>
      </c>
      <c r="K522" s="6">
        <v>1040</v>
      </c>
      <c r="L522" s="6"/>
      <c r="M522" s="6">
        <v>9994</v>
      </c>
      <c r="N522" s="6">
        <v>27403</v>
      </c>
      <c r="O522" s="6">
        <v>27403</v>
      </c>
      <c r="P522" s="6">
        <v>0</v>
      </c>
      <c r="Q522" s="6">
        <v>54806</v>
      </c>
    </row>
    <row r="523" spans="1:17" x14ac:dyDescent="0.35">
      <c r="A523" s="1">
        <v>41227</v>
      </c>
      <c r="B523" s="6">
        <v>2822103</v>
      </c>
      <c r="C523" s="6">
        <v>1600244</v>
      </c>
      <c r="D523" s="6">
        <v>3043</v>
      </c>
      <c r="E523" s="6">
        <v>1506782</v>
      </c>
      <c r="F523" s="6">
        <v>26859</v>
      </c>
      <c r="G523" s="6">
        <v>6481</v>
      </c>
      <c r="H523" s="6">
        <v>57078</v>
      </c>
      <c r="I523" s="6">
        <v>93590</v>
      </c>
      <c r="J523" s="6">
        <v>1106915</v>
      </c>
      <c r="K523" s="6">
        <v>1703</v>
      </c>
      <c r="L523" s="6"/>
      <c r="M523" s="6">
        <v>19650</v>
      </c>
      <c r="N523" s="6">
        <v>27570</v>
      </c>
      <c r="O523" s="6">
        <v>27570</v>
      </c>
      <c r="P523" s="6">
        <v>0</v>
      </c>
      <c r="Q523" s="6">
        <v>55141</v>
      </c>
    </row>
    <row r="524" spans="1:17" x14ac:dyDescent="0.35">
      <c r="A524" s="1">
        <v>41234</v>
      </c>
      <c r="B524" s="6">
        <v>2815991</v>
      </c>
      <c r="C524" s="6">
        <v>1597728</v>
      </c>
      <c r="D524" s="6">
        <v>3043</v>
      </c>
      <c r="E524" s="6">
        <v>1512914</v>
      </c>
      <c r="F524" s="6">
        <v>15639</v>
      </c>
      <c r="G524" s="6">
        <v>6724</v>
      </c>
      <c r="H524" s="6">
        <v>59408</v>
      </c>
      <c r="I524" s="6">
        <v>93736</v>
      </c>
      <c r="J524" s="6">
        <v>1111192</v>
      </c>
      <c r="K524" s="6">
        <v>910</v>
      </c>
      <c r="L524" s="6"/>
      <c r="M524" s="6">
        <v>12426</v>
      </c>
      <c r="N524" s="6">
        <v>27585</v>
      </c>
      <c r="O524" s="6">
        <v>27585</v>
      </c>
      <c r="P524" s="6">
        <v>0</v>
      </c>
      <c r="Q524" s="6">
        <v>55170</v>
      </c>
    </row>
    <row r="525" spans="1:17" x14ac:dyDescent="0.35">
      <c r="A525" s="1">
        <v>41241</v>
      </c>
      <c r="B525" s="6">
        <v>2796182</v>
      </c>
      <c r="C525" s="6">
        <v>1580893</v>
      </c>
      <c r="D525" s="6">
        <v>3043</v>
      </c>
      <c r="E525" s="6">
        <v>1539515</v>
      </c>
      <c r="F525" s="6">
        <v>16103</v>
      </c>
      <c r="G525" s="6">
        <v>6482</v>
      </c>
      <c r="H525" s="6">
        <v>15750</v>
      </c>
      <c r="I525" s="6">
        <v>93230</v>
      </c>
      <c r="J525" s="6">
        <v>1110454</v>
      </c>
      <c r="K525" s="6">
        <v>845</v>
      </c>
      <c r="L525" s="6"/>
      <c r="M525" s="6">
        <v>10759</v>
      </c>
      <c r="N525" s="6">
        <v>27590</v>
      </c>
      <c r="O525" s="6">
        <v>27590</v>
      </c>
      <c r="P525" s="6">
        <v>0</v>
      </c>
      <c r="Q525" s="6">
        <v>55180</v>
      </c>
    </row>
    <row r="526" spans="1:17" x14ac:dyDescent="0.35">
      <c r="A526" s="1">
        <v>41248</v>
      </c>
      <c r="B526" s="6">
        <v>2805114</v>
      </c>
      <c r="C526" s="6">
        <v>1583829</v>
      </c>
      <c r="D526" s="6">
        <v>3043</v>
      </c>
      <c r="E526" s="6">
        <v>1523936</v>
      </c>
      <c r="F526" s="6">
        <v>21431</v>
      </c>
      <c r="G526" s="6">
        <v>7977</v>
      </c>
      <c r="H526" s="6">
        <v>27443</v>
      </c>
      <c r="I526" s="6">
        <v>96318</v>
      </c>
      <c r="J526" s="6">
        <v>1112322</v>
      </c>
      <c r="K526" s="6">
        <v>1002</v>
      </c>
      <c r="L526" s="6"/>
      <c r="M526" s="6">
        <v>11642</v>
      </c>
      <c r="N526" s="6">
        <v>27346</v>
      </c>
      <c r="O526" s="6">
        <v>27346</v>
      </c>
      <c r="P526" s="6">
        <v>0</v>
      </c>
      <c r="Q526" s="6">
        <v>54693</v>
      </c>
    </row>
    <row r="527" spans="1:17" x14ac:dyDescent="0.35">
      <c r="A527" s="1">
        <v>41255</v>
      </c>
      <c r="B527" s="6">
        <v>2862534</v>
      </c>
      <c r="C527" s="6">
        <v>1625199</v>
      </c>
      <c r="D527" s="6">
        <v>0</v>
      </c>
      <c r="E527" s="6">
        <v>1548229</v>
      </c>
      <c r="F527" s="6">
        <v>31399</v>
      </c>
      <c r="G527" s="6">
        <v>5841</v>
      </c>
      <c r="H527" s="6">
        <v>39730</v>
      </c>
      <c r="I527" s="6">
        <v>102444</v>
      </c>
      <c r="J527" s="6">
        <v>1113527</v>
      </c>
      <c r="K527" s="6">
        <v>1170</v>
      </c>
      <c r="L527" s="6"/>
      <c r="M527" s="6">
        <v>20193</v>
      </c>
      <c r="N527" s="6">
        <v>27363</v>
      </c>
      <c r="O527" s="6">
        <v>27363</v>
      </c>
      <c r="P527" s="6">
        <v>0</v>
      </c>
      <c r="Q527" s="6">
        <v>54726</v>
      </c>
    </row>
    <row r="528" spans="1:17" x14ac:dyDescent="0.35">
      <c r="A528" s="1">
        <v>41262</v>
      </c>
      <c r="B528" s="6">
        <v>2865502</v>
      </c>
      <c r="C528" s="6">
        <v>1634685</v>
      </c>
      <c r="D528" s="6">
        <v>0</v>
      </c>
      <c r="E528" s="6">
        <v>1482698</v>
      </c>
      <c r="F528" s="6">
        <v>75017</v>
      </c>
      <c r="G528" s="6">
        <v>6000</v>
      </c>
      <c r="H528" s="6">
        <v>70971</v>
      </c>
      <c r="I528" s="6">
        <v>100964</v>
      </c>
      <c r="J528" s="6">
        <v>1117463</v>
      </c>
      <c r="K528" s="6">
        <v>990</v>
      </c>
      <c r="L528" s="6"/>
      <c r="M528" s="6">
        <v>11399</v>
      </c>
      <c r="N528" s="6">
        <v>27364</v>
      </c>
      <c r="O528" s="6">
        <v>27364</v>
      </c>
      <c r="P528" s="6">
        <v>0</v>
      </c>
      <c r="Q528" s="6">
        <v>54728</v>
      </c>
    </row>
    <row r="529" spans="1:17" x14ac:dyDescent="0.35">
      <c r="A529" s="1">
        <v>41269</v>
      </c>
      <c r="B529" s="6">
        <v>2852572</v>
      </c>
      <c r="C529" s="6">
        <v>1617257</v>
      </c>
      <c r="D529" s="6">
        <v>0</v>
      </c>
      <c r="E529" s="6">
        <v>1532687</v>
      </c>
      <c r="F529" s="6">
        <v>55679</v>
      </c>
      <c r="G529" s="6">
        <v>6163</v>
      </c>
      <c r="H529" s="6">
        <v>22729</v>
      </c>
      <c r="I529" s="6">
        <v>99853</v>
      </c>
      <c r="J529" s="6">
        <v>1124578</v>
      </c>
      <c r="K529" s="6">
        <v>829</v>
      </c>
      <c r="L529" s="6"/>
      <c r="M529" s="6">
        <v>10056</v>
      </c>
      <c r="N529" s="6">
        <v>27364</v>
      </c>
      <c r="O529" s="6">
        <v>27364</v>
      </c>
      <c r="P529" s="6">
        <v>0</v>
      </c>
      <c r="Q529" s="6">
        <v>54728</v>
      </c>
    </row>
    <row r="530" spans="1:17" x14ac:dyDescent="0.35">
      <c r="A530" s="1">
        <v>41276</v>
      </c>
      <c r="B530" s="6">
        <v>2862469</v>
      </c>
      <c r="C530" s="6">
        <v>1622799</v>
      </c>
      <c r="D530" s="6">
        <v>0</v>
      </c>
      <c r="E530" s="6">
        <v>1508672</v>
      </c>
      <c r="F530" s="6">
        <v>84458</v>
      </c>
      <c r="G530" s="6">
        <v>6310</v>
      </c>
      <c r="H530" s="6">
        <v>23359</v>
      </c>
      <c r="I530" s="6">
        <v>103271</v>
      </c>
      <c r="J530" s="6">
        <v>1126861</v>
      </c>
      <c r="K530" s="6">
        <v>1193</v>
      </c>
      <c r="L530" s="6"/>
      <c r="M530" s="6">
        <v>8346</v>
      </c>
      <c r="N530" s="6">
        <v>27360</v>
      </c>
      <c r="O530" s="6">
        <v>27360</v>
      </c>
      <c r="P530" s="6">
        <v>0</v>
      </c>
      <c r="Q530" s="6">
        <v>54720</v>
      </c>
    </row>
    <row r="531" spans="1:17" x14ac:dyDescent="0.35">
      <c r="A531" s="1">
        <v>41283</v>
      </c>
      <c r="B531" s="6">
        <v>2874006</v>
      </c>
      <c r="C531" s="6">
        <v>1650607</v>
      </c>
      <c r="D531" s="6">
        <v>0</v>
      </c>
      <c r="E531" s="6">
        <v>1565502</v>
      </c>
      <c r="F531" s="6">
        <v>47338</v>
      </c>
      <c r="G531" s="6">
        <v>6465</v>
      </c>
      <c r="H531" s="6">
        <v>31301</v>
      </c>
      <c r="I531" s="6">
        <v>94967</v>
      </c>
      <c r="J531" s="6">
        <v>1118345</v>
      </c>
      <c r="K531" s="6">
        <v>926</v>
      </c>
      <c r="L531" s="6"/>
      <c r="M531" s="6">
        <v>9161</v>
      </c>
      <c r="N531" s="6">
        <v>27361</v>
      </c>
      <c r="O531" s="6">
        <v>27361</v>
      </c>
      <c r="P531" s="6">
        <v>0</v>
      </c>
      <c r="Q531" s="6">
        <v>54722</v>
      </c>
    </row>
    <row r="532" spans="1:17" x14ac:dyDescent="0.35">
      <c r="A532" s="1">
        <v>41290</v>
      </c>
      <c r="B532" s="6">
        <v>2909087</v>
      </c>
      <c r="C532" s="6">
        <v>1693907</v>
      </c>
      <c r="D532" s="6">
        <v>0</v>
      </c>
      <c r="E532" s="6">
        <v>1604286</v>
      </c>
      <c r="F532" s="6">
        <v>77177</v>
      </c>
      <c r="G532" s="6">
        <v>7149</v>
      </c>
      <c r="H532" s="6">
        <v>5295</v>
      </c>
      <c r="I532" s="6">
        <v>90644</v>
      </c>
      <c r="J532" s="6">
        <v>1112818</v>
      </c>
      <c r="K532" s="6">
        <v>808</v>
      </c>
      <c r="L532" s="6"/>
      <c r="M532" s="6">
        <v>10909</v>
      </c>
      <c r="N532" s="6">
        <v>27363</v>
      </c>
      <c r="O532" s="6">
        <v>27363</v>
      </c>
      <c r="P532" s="6">
        <v>0</v>
      </c>
      <c r="Q532" s="6">
        <v>54725</v>
      </c>
    </row>
    <row r="533" spans="1:17" x14ac:dyDescent="0.35">
      <c r="A533" s="1">
        <v>41297</v>
      </c>
      <c r="B533" s="6">
        <v>2956967</v>
      </c>
      <c r="C533" s="6">
        <v>1741877</v>
      </c>
      <c r="D533" s="6">
        <v>3036</v>
      </c>
      <c r="E533" s="6">
        <v>1596324</v>
      </c>
      <c r="F533" s="6">
        <v>81243</v>
      </c>
      <c r="G533" s="6">
        <v>7281</v>
      </c>
      <c r="H533" s="6">
        <v>53993</v>
      </c>
      <c r="I533" s="6">
        <v>89893</v>
      </c>
      <c r="J533" s="6">
        <v>1113879</v>
      </c>
      <c r="K533" s="6">
        <v>1201</v>
      </c>
      <c r="L533" s="6"/>
      <c r="M533" s="6">
        <v>10118</v>
      </c>
      <c r="N533" s="6">
        <v>27365</v>
      </c>
      <c r="O533" s="6">
        <v>27365</v>
      </c>
      <c r="P533" s="6">
        <v>0</v>
      </c>
      <c r="Q533" s="6">
        <v>54730</v>
      </c>
    </row>
    <row r="534" spans="1:17" x14ac:dyDescent="0.35">
      <c r="A534" s="1">
        <v>41304</v>
      </c>
      <c r="B534" s="6">
        <v>2953916</v>
      </c>
      <c r="C534" s="6">
        <v>1732563</v>
      </c>
      <c r="D534" s="6">
        <v>3036</v>
      </c>
      <c r="E534" s="6">
        <v>1644994</v>
      </c>
      <c r="F534" s="6">
        <v>71305</v>
      </c>
      <c r="G534" s="6">
        <v>7433</v>
      </c>
      <c r="H534" s="6">
        <v>5794</v>
      </c>
      <c r="I534" s="6">
        <v>98432</v>
      </c>
      <c r="J534" s="6">
        <v>1113859</v>
      </c>
      <c r="K534" s="6">
        <v>810</v>
      </c>
      <c r="L534" s="6"/>
      <c r="M534" s="6">
        <v>8252</v>
      </c>
      <c r="N534" s="6">
        <v>27394</v>
      </c>
      <c r="O534" s="6">
        <v>27394</v>
      </c>
      <c r="P534" s="6">
        <v>0</v>
      </c>
      <c r="Q534" s="6">
        <v>54788</v>
      </c>
    </row>
    <row r="535" spans="1:17" x14ac:dyDescent="0.35">
      <c r="A535" s="1">
        <v>41311</v>
      </c>
      <c r="B535" s="6">
        <v>2960164</v>
      </c>
      <c r="C535" s="6">
        <v>1747137</v>
      </c>
      <c r="D535" s="6">
        <v>3036</v>
      </c>
      <c r="E535" s="6">
        <v>1667715</v>
      </c>
      <c r="F535" s="6">
        <v>48137</v>
      </c>
      <c r="G535" s="6">
        <v>8094</v>
      </c>
      <c r="H535" s="6">
        <v>20155</v>
      </c>
      <c r="I535" s="6">
        <v>84529</v>
      </c>
      <c r="J535" s="6">
        <v>1118594</v>
      </c>
      <c r="K535" s="6">
        <v>1372</v>
      </c>
      <c r="L535" s="6"/>
      <c r="M535" s="6">
        <v>8532</v>
      </c>
      <c r="N535" s="6">
        <v>27406</v>
      </c>
      <c r="O535" s="6">
        <v>27406</v>
      </c>
      <c r="P535" s="6">
        <v>0</v>
      </c>
      <c r="Q535" s="6">
        <v>54811</v>
      </c>
    </row>
    <row r="536" spans="1:17" x14ac:dyDescent="0.35">
      <c r="A536" s="1">
        <v>41318</v>
      </c>
      <c r="B536" s="6">
        <v>3019246</v>
      </c>
      <c r="C536" s="6">
        <v>1795410</v>
      </c>
      <c r="D536" s="6">
        <v>3036</v>
      </c>
      <c r="E536" s="6">
        <v>1696681</v>
      </c>
      <c r="F536" s="6">
        <v>42358</v>
      </c>
      <c r="G536" s="6">
        <v>8248</v>
      </c>
      <c r="H536" s="6">
        <v>45087</v>
      </c>
      <c r="I536" s="6">
        <v>89055</v>
      </c>
      <c r="J536" s="6">
        <v>1122999</v>
      </c>
      <c r="K536" s="6">
        <v>1237</v>
      </c>
      <c r="L536" s="6"/>
      <c r="M536" s="6">
        <v>10544</v>
      </c>
      <c r="N536" s="6">
        <v>27490</v>
      </c>
      <c r="O536" s="6">
        <v>27490</v>
      </c>
      <c r="P536" s="6">
        <v>0</v>
      </c>
      <c r="Q536" s="6">
        <v>54979</v>
      </c>
    </row>
    <row r="537" spans="1:17" x14ac:dyDescent="0.35">
      <c r="A537" s="1">
        <v>41325</v>
      </c>
      <c r="B537" s="6">
        <v>3040168</v>
      </c>
      <c r="C537" s="6">
        <v>1808112</v>
      </c>
      <c r="D537" s="6">
        <v>0</v>
      </c>
      <c r="E537" s="6">
        <v>1668383</v>
      </c>
      <c r="F537" s="6">
        <v>40703</v>
      </c>
      <c r="G537" s="6">
        <v>8401</v>
      </c>
      <c r="H537" s="6">
        <v>90625</v>
      </c>
      <c r="I537" s="6">
        <v>93121</v>
      </c>
      <c r="J537" s="6">
        <v>1127723</v>
      </c>
      <c r="K537" s="6">
        <v>1640</v>
      </c>
      <c r="L537" s="6"/>
      <c r="M537" s="6">
        <v>9572</v>
      </c>
      <c r="N537" s="6">
        <v>27491</v>
      </c>
      <c r="O537" s="6">
        <v>27491</v>
      </c>
      <c r="P537" s="6">
        <v>0</v>
      </c>
      <c r="Q537" s="6">
        <v>54982</v>
      </c>
    </row>
    <row r="538" spans="1:17" x14ac:dyDescent="0.35">
      <c r="A538" s="1">
        <v>41332</v>
      </c>
      <c r="B538" s="6">
        <v>3035612</v>
      </c>
      <c r="C538" s="6">
        <v>1795227</v>
      </c>
      <c r="D538" s="6">
        <v>0</v>
      </c>
      <c r="E538" s="6">
        <v>1754362</v>
      </c>
      <c r="F538" s="6">
        <v>15966</v>
      </c>
      <c r="G538" s="6">
        <v>8556</v>
      </c>
      <c r="H538" s="6">
        <v>16343</v>
      </c>
      <c r="I538" s="6">
        <v>100612</v>
      </c>
      <c r="J538" s="6">
        <v>1128862</v>
      </c>
      <c r="K538" s="6">
        <v>1466</v>
      </c>
      <c r="L538" s="6"/>
      <c r="M538" s="6">
        <v>9444</v>
      </c>
      <c r="N538" s="6">
        <v>27494</v>
      </c>
      <c r="O538" s="6">
        <v>27494</v>
      </c>
      <c r="P538" s="6">
        <v>0</v>
      </c>
      <c r="Q538" s="6">
        <v>54987</v>
      </c>
    </row>
    <row r="539" spans="1:17" x14ac:dyDescent="0.35">
      <c r="A539" s="1">
        <v>41339</v>
      </c>
      <c r="B539" s="6">
        <v>3053791</v>
      </c>
      <c r="C539" s="6">
        <v>1816120</v>
      </c>
      <c r="D539" s="6">
        <v>0</v>
      </c>
      <c r="E539" s="6">
        <v>1745310</v>
      </c>
      <c r="F539" s="6">
        <v>48960</v>
      </c>
      <c r="G539" s="6">
        <v>8635</v>
      </c>
      <c r="H539" s="6">
        <v>13215</v>
      </c>
      <c r="I539" s="6">
        <v>93467</v>
      </c>
      <c r="J539" s="6">
        <v>1132652</v>
      </c>
      <c r="K539" s="6">
        <v>1499</v>
      </c>
      <c r="L539" s="6"/>
      <c r="M539" s="6">
        <v>10054</v>
      </c>
      <c r="N539" s="6">
        <v>27507</v>
      </c>
      <c r="O539" s="6">
        <v>27507</v>
      </c>
      <c r="P539" s="6">
        <v>0</v>
      </c>
      <c r="Q539" s="6">
        <v>55014</v>
      </c>
    </row>
    <row r="540" spans="1:17" x14ac:dyDescent="0.35">
      <c r="A540" s="1">
        <v>41346</v>
      </c>
      <c r="B540" s="6">
        <v>3110305</v>
      </c>
      <c r="C540" s="6">
        <v>1872039</v>
      </c>
      <c r="D540" s="6">
        <v>0</v>
      </c>
      <c r="E540" s="6">
        <v>1802589</v>
      </c>
      <c r="F540" s="6">
        <v>28448</v>
      </c>
      <c r="G540" s="6">
        <v>7600</v>
      </c>
      <c r="H540" s="6">
        <v>33403</v>
      </c>
      <c r="I540" s="6">
        <v>92190</v>
      </c>
      <c r="J540" s="6">
        <v>1133295</v>
      </c>
      <c r="K540" s="6">
        <v>1219</v>
      </c>
      <c r="L540" s="6"/>
      <c r="M540" s="6">
        <v>11562</v>
      </c>
      <c r="N540" s="6">
        <v>27546</v>
      </c>
      <c r="O540" s="6">
        <v>27546</v>
      </c>
      <c r="P540" s="6">
        <v>0</v>
      </c>
      <c r="Q540" s="6">
        <v>55091</v>
      </c>
    </row>
    <row r="541" spans="1:17" x14ac:dyDescent="0.35">
      <c r="A541" s="1">
        <v>41353</v>
      </c>
      <c r="B541" s="6">
        <v>3151793</v>
      </c>
      <c r="C541" s="6">
        <v>1913914</v>
      </c>
      <c r="D541" s="6">
        <v>3045</v>
      </c>
      <c r="E541" s="6">
        <v>1756224</v>
      </c>
      <c r="F541" s="6">
        <v>71131</v>
      </c>
      <c r="G541" s="6">
        <v>8952</v>
      </c>
      <c r="H541" s="6">
        <v>74562</v>
      </c>
      <c r="I541" s="6">
        <v>92925</v>
      </c>
      <c r="J541" s="6">
        <v>1132556</v>
      </c>
      <c r="K541" s="6">
        <v>1138</v>
      </c>
      <c r="L541" s="6"/>
      <c r="M541" s="6">
        <v>11260</v>
      </c>
      <c r="N541" s="6">
        <v>27547</v>
      </c>
      <c r="O541" s="6">
        <v>27547</v>
      </c>
      <c r="P541" s="6">
        <v>0</v>
      </c>
      <c r="Q541" s="6">
        <v>55094</v>
      </c>
    </row>
    <row r="542" spans="1:17" x14ac:dyDescent="0.35">
      <c r="A542" s="1">
        <v>41360</v>
      </c>
      <c r="B542" s="6">
        <v>3147127</v>
      </c>
      <c r="C542" s="6">
        <v>1909584</v>
      </c>
      <c r="D542" s="6">
        <v>3045</v>
      </c>
      <c r="E542" s="6">
        <v>1829612</v>
      </c>
      <c r="F542" s="6">
        <v>53218</v>
      </c>
      <c r="G542" s="6">
        <v>9107</v>
      </c>
      <c r="H542" s="6">
        <v>14601</v>
      </c>
      <c r="I542" s="6">
        <v>92541</v>
      </c>
      <c r="J542" s="6">
        <v>1135095</v>
      </c>
      <c r="K542" s="6">
        <v>791</v>
      </c>
      <c r="L542" s="6"/>
      <c r="M542" s="6">
        <v>9117</v>
      </c>
      <c r="N542" s="6">
        <v>27564</v>
      </c>
      <c r="O542" s="6">
        <v>27564</v>
      </c>
      <c r="P542" s="6">
        <v>0</v>
      </c>
      <c r="Q542" s="6">
        <v>55128</v>
      </c>
    </row>
    <row r="543" spans="1:17" x14ac:dyDescent="0.35">
      <c r="A543" s="1">
        <v>41367</v>
      </c>
      <c r="B543" s="6">
        <v>3160300</v>
      </c>
      <c r="C543" s="6">
        <v>1918418</v>
      </c>
      <c r="D543" s="6">
        <v>3045</v>
      </c>
      <c r="E543" s="6">
        <v>1837830</v>
      </c>
      <c r="F543" s="6">
        <v>60060</v>
      </c>
      <c r="G543" s="6">
        <v>9186</v>
      </c>
      <c r="H543" s="6">
        <v>8298</v>
      </c>
      <c r="I543" s="6">
        <v>94167</v>
      </c>
      <c r="J543" s="6">
        <v>1136943</v>
      </c>
      <c r="K543" s="6">
        <v>879</v>
      </c>
      <c r="L543" s="6"/>
      <c r="M543" s="6">
        <v>9894</v>
      </c>
      <c r="N543" s="6">
        <v>27566</v>
      </c>
      <c r="O543" s="6">
        <v>27566</v>
      </c>
      <c r="P543" s="6">
        <v>0</v>
      </c>
      <c r="Q543" s="6">
        <v>55132</v>
      </c>
    </row>
    <row r="544" spans="1:17" x14ac:dyDescent="0.35">
      <c r="A544" s="1">
        <v>41374</v>
      </c>
      <c r="B544" s="6">
        <v>3172623</v>
      </c>
      <c r="C544" s="6">
        <v>1929444</v>
      </c>
      <c r="D544" s="6">
        <v>3045</v>
      </c>
      <c r="E544" s="6">
        <v>1851361</v>
      </c>
      <c r="F544" s="6">
        <v>52487</v>
      </c>
      <c r="G544" s="6">
        <v>9380</v>
      </c>
      <c r="H544" s="6">
        <v>13171</v>
      </c>
      <c r="I544" s="6">
        <v>94280</v>
      </c>
      <c r="J544" s="6">
        <v>1137087</v>
      </c>
      <c r="K544" s="6">
        <v>825</v>
      </c>
      <c r="L544" s="6"/>
      <c r="M544" s="6">
        <v>10988</v>
      </c>
      <c r="N544" s="6">
        <v>27570</v>
      </c>
      <c r="O544" s="6">
        <v>27570</v>
      </c>
      <c r="P544" s="6">
        <v>0</v>
      </c>
      <c r="Q544" s="6">
        <v>55139</v>
      </c>
    </row>
    <row r="545" spans="1:17" x14ac:dyDescent="0.35">
      <c r="A545" s="1">
        <v>41381</v>
      </c>
      <c r="B545" s="6">
        <v>3239968</v>
      </c>
      <c r="C545" s="6">
        <v>1993475</v>
      </c>
      <c r="D545" s="6">
        <v>0</v>
      </c>
      <c r="E545" s="6">
        <v>1849229</v>
      </c>
      <c r="F545" s="6">
        <v>121204</v>
      </c>
      <c r="G545" s="6">
        <v>9870</v>
      </c>
      <c r="H545" s="6">
        <v>13172</v>
      </c>
      <c r="I545" s="6">
        <v>97577</v>
      </c>
      <c r="J545" s="6">
        <v>1136345</v>
      </c>
      <c r="K545" s="6">
        <v>923</v>
      </c>
      <c r="L545" s="6"/>
      <c r="M545" s="6">
        <v>11648</v>
      </c>
      <c r="N545" s="6">
        <v>27571</v>
      </c>
      <c r="O545" s="6">
        <v>27571</v>
      </c>
      <c r="P545" s="6">
        <v>0</v>
      </c>
      <c r="Q545" s="6">
        <v>55141</v>
      </c>
    </row>
    <row r="546" spans="1:17" x14ac:dyDescent="0.35">
      <c r="A546" s="1">
        <v>41388</v>
      </c>
      <c r="B546" s="6">
        <v>3263521</v>
      </c>
      <c r="C546" s="6">
        <v>2025001</v>
      </c>
      <c r="D546" s="6">
        <v>0</v>
      </c>
      <c r="E546" s="6">
        <v>1749487</v>
      </c>
      <c r="F546" s="6">
        <v>167621</v>
      </c>
      <c r="G546" s="6">
        <v>9869</v>
      </c>
      <c r="H546" s="6">
        <v>98023</v>
      </c>
      <c r="I546" s="6">
        <v>90455</v>
      </c>
      <c r="J546" s="6">
        <v>1137605</v>
      </c>
      <c r="K546" s="6">
        <v>853</v>
      </c>
      <c r="L546" s="6"/>
      <c r="M546" s="6">
        <v>9608</v>
      </c>
      <c r="N546" s="6">
        <v>27564</v>
      </c>
      <c r="O546" s="6">
        <v>27564</v>
      </c>
      <c r="P546" s="6">
        <v>0</v>
      </c>
      <c r="Q546" s="6">
        <v>55128</v>
      </c>
    </row>
    <row r="547" spans="1:17" x14ac:dyDescent="0.35">
      <c r="A547" s="1">
        <v>41395</v>
      </c>
      <c r="B547" s="6">
        <v>3262037</v>
      </c>
      <c r="C547" s="6">
        <v>2015267</v>
      </c>
      <c r="D547" s="6">
        <v>0</v>
      </c>
      <c r="E547" s="6">
        <v>1813604</v>
      </c>
      <c r="F547" s="6">
        <v>184624</v>
      </c>
      <c r="G547" s="6">
        <v>9949</v>
      </c>
      <c r="H547" s="6">
        <v>7091</v>
      </c>
      <c r="I547" s="6">
        <v>95281</v>
      </c>
      <c r="J547" s="6">
        <v>1139975</v>
      </c>
      <c r="K547" s="6">
        <v>1290</v>
      </c>
      <c r="L547" s="6"/>
      <c r="M547" s="6">
        <v>10225</v>
      </c>
      <c r="N547" s="6">
        <v>27579</v>
      </c>
      <c r="O547" s="6">
        <v>27579</v>
      </c>
      <c r="P547" s="6">
        <v>0</v>
      </c>
      <c r="Q547" s="6">
        <v>55157</v>
      </c>
    </row>
    <row r="548" spans="1:17" x14ac:dyDescent="0.35">
      <c r="A548" s="1">
        <v>41402</v>
      </c>
      <c r="B548" s="6">
        <v>3269445</v>
      </c>
      <c r="C548" s="6">
        <v>2027713</v>
      </c>
      <c r="D548" s="6">
        <v>0</v>
      </c>
      <c r="E548" s="6">
        <v>1869663</v>
      </c>
      <c r="F548" s="6">
        <v>133620</v>
      </c>
      <c r="G548" s="6">
        <v>10105</v>
      </c>
      <c r="H548" s="6">
        <v>14325</v>
      </c>
      <c r="I548" s="6">
        <v>88221</v>
      </c>
      <c r="J548" s="6">
        <v>1142531</v>
      </c>
      <c r="K548" s="6">
        <v>1348</v>
      </c>
      <c r="L548" s="6"/>
      <c r="M548" s="6">
        <v>9632</v>
      </c>
      <c r="N548" s="6">
        <v>27585</v>
      </c>
      <c r="O548" s="6">
        <v>27585</v>
      </c>
      <c r="P548" s="6">
        <v>0</v>
      </c>
      <c r="Q548" s="6">
        <v>55171</v>
      </c>
    </row>
    <row r="549" spans="1:17" x14ac:dyDescent="0.35">
      <c r="A549" s="1">
        <v>41409</v>
      </c>
      <c r="B549" s="6">
        <v>3299076</v>
      </c>
      <c r="C549" s="6">
        <v>2056372</v>
      </c>
      <c r="D549" s="6">
        <v>0</v>
      </c>
      <c r="E549" s="6">
        <v>1952297</v>
      </c>
      <c r="F549" s="6">
        <v>69489</v>
      </c>
      <c r="G549" s="6">
        <v>10868</v>
      </c>
      <c r="H549" s="6">
        <v>23717</v>
      </c>
      <c r="I549" s="6">
        <v>89385</v>
      </c>
      <c r="J549" s="6">
        <v>1143322</v>
      </c>
      <c r="K549" s="6">
        <v>1245</v>
      </c>
      <c r="L549" s="6"/>
      <c r="M549" s="6">
        <v>8753</v>
      </c>
      <c r="N549" s="6">
        <v>27596</v>
      </c>
      <c r="O549" s="6">
        <v>27596</v>
      </c>
      <c r="P549" s="6">
        <v>0</v>
      </c>
      <c r="Q549" s="6">
        <v>55193</v>
      </c>
    </row>
    <row r="550" spans="1:17" x14ac:dyDescent="0.35">
      <c r="A550" s="1">
        <v>41416</v>
      </c>
      <c r="B550" s="6">
        <v>3343510</v>
      </c>
      <c r="C550" s="6">
        <v>2101236</v>
      </c>
      <c r="D550" s="6">
        <v>0</v>
      </c>
      <c r="E550" s="6">
        <v>1975178</v>
      </c>
      <c r="F550" s="6">
        <v>25206</v>
      </c>
      <c r="G550" s="6">
        <v>10959</v>
      </c>
      <c r="H550" s="6">
        <v>89893</v>
      </c>
      <c r="I550" s="6">
        <v>86693</v>
      </c>
      <c r="J550" s="6">
        <v>1145256</v>
      </c>
      <c r="K550" s="6">
        <v>1167</v>
      </c>
      <c r="L550" s="6"/>
      <c r="M550" s="6">
        <v>9157</v>
      </c>
      <c r="N550" s="6">
        <v>27602</v>
      </c>
      <c r="O550" s="6">
        <v>27602</v>
      </c>
      <c r="P550" s="6">
        <v>0</v>
      </c>
      <c r="Q550" s="6">
        <v>55203</v>
      </c>
    </row>
    <row r="551" spans="1:17" x14ac:dyDescent="0.35">
      <c r="A551" s="1">
        <v>41423</v>
      </c>
      <c r="B551" s="6">
        <v>3329923</v>
      </c>
      <c r="C551" s="6">
        <v>2083333</v>
      </c>
      <c r="D551" s="6">
        <v>10496</v>
      </c>
      <c r="E551" s="6">
        <v>2022589</v>
      </c>
      <c r="F551" s="6">
        <v>14298</v>
      </c>
      <c r="G551" s="6">
        <v>11024</v>
      </c>
      <c r="H551" s="6">
        <v>24925</v>
      </c>
      <c r="I551" s="6">
        <v>88177</v>
      </c>
      <c r="J551" s="6">
        <v>1149335</v>
      </c>
      <c r="K551" s="6">
        <v>1627</v>
      </c>
      <c r="L551" s="6"/>
      <c r="M551" s="6">
        <v>7451</v>
      </c>
      <c r="N551" s="6">
        <v>27602</v>
      </c>
      <c r="O551" s="6">
        <v>27602</v>
      </c>
      <c r="P551" s="6">
        <v>0</v>
      </c>
      <c r="Q551" s="6">
        <v>55205</v>
      </c>
    </row>
    <row r="552" spans="1:17" x14ac:dyDescent="0.35">
      <c r="A552" s="1">
        <v>41430</v>
      </c>
      <c r="B552" s="6">
        <v>3345164</v>
      </c>
      <c r="C552" s="6">
        <v>2094786</v>
      </c>
      <c r="D552" s="6">
        <v>10496</v>
      </c>
      <c r="E552" s="6">
        <v>2026257</v>
      </c>
      <c r="F552" s="6">
        <v>41025</v>
      </c>
      <c r="G552" s="6">
        <v>11182</v>
      </c>
      <c r="H552" s="6">
        <v>5825</v>
      </c>
      <c r="I552" s="6">
        <v>94279</v>
      </c>
      <c r="J552" s="6">
        <v>1147520</v>
      </c>
      <c r="K552" s="6">
        <v>980</v>
      </c>
      <c r="L552" s="6"/>
      <c r="M552" s="6">
        <v>7600</v>
      </c>
      <c r="N552" s="6">
        <v>27509</v>
      </c>
      <c r="O552" s="6">
        <v>27509</v>
      </c>
      <c r="P552" s="6">
        <v>0</v>
      </c>
      <c r="Q552" s="6">
        <v>55018</v>
      </c>
    </row>
    <row r="553" spans="1:17" x14ac:dyDescent="0.35">
      <c r="A553" s="1">
        <v>41437</v>
      </c>
      <c r="B553" s="6">
        <v>3355872</v>
      </c>
      <c r="C553" s="6">
        <v>2113610</v>
      </c>
      <c r="D553" s="6">
        <v>10496</v>
      </c>
      <c r="E553" s="6">
        <v>2040727</v>
      </c>
      <c r="F553" s="6">
        <v>39284</v>
      </c>
      <c r="G553" s="6">
        <v>9711</v>
      </c>
      <c r="H553" s="6">
        <v>13391</v>
      </c>
      <c r="I553" s="6">
        <v>86277</v>
      </c>
      <c r="J553" s="6">
        <v>1146598</v>
      </c>
      <c r="K553" s="6">
        <v>974</v>
      </c>
      <c r="L553" s="6"/>
      <c r="M553" s="6">
        <v>8414</v>
      </c>
      <c r="N553" s="6">
        <v>27485</v>
      </c>
      <c r="O553" s="6">
        <v>27485</v>
      </c>
      <c r="P553" s="6">
        <v>0</v>
      </c>
      <c r="Q553" s="6">
        <v>54969</v>
      </c>
    </row>
    <row r="554" spans="1:17" x14ac:dyDescent="0.35">
      <c r="A554" s="1">
        <v>41444</v>
      </c>
      <c r="B554" s="6">
        <v>3415554</v>
      </c>
      <c r="C554" s="6">
        <v>2170291</v>
      </c>
      <c r="D554" s="6">
        <v>10496</v>
      </c>
      <c r="E554" s="6">
        <v>1928398</v>
      </c>
      <c r="F554" s="6">
        <v>117287</v>
      </c>
      <c r="G554" s="6">
        <v>10090</v>
      </c>
      <c r="H554" s="6">
        <v>104020</v>
      </c>
      <c r="I554" s="6">
        <v>88367</v>
      </c>
      <c r="J554" s="6">
        <v>1146877</v>
      </c>
      <c r="K554" s="6">
        <v>881</v>
      </c>
      <c r="L554" s="6"/>
      <c r="M554" s="6">
        <v>9138</v>
      </c>
      <c r="N554" s="6">
        <v>27488</v>
      </c>
      <c r="O554" s="6">
        <v>27488</v>
      </c>
      <c r="P554" s="6">
        <v>0</v>
      </c>
      <c r="Q554" s="6">
        <v>54976</v>
      </c>
    </row>
    <row r="555" spans="1:17" x14ac:dyDescent="0.35">
      <c r="A555" s="1">
        <v>41451</v>
      </c>
      <c r="B555" s="6">
        <v>3423696</v>
      </c>
      <c r="C555" s="6">
        <v>2177554</v>
      </c>
      <c r="D555" s="6">
        <v>0</v>
      </c>
      <c r="E555" s="6">
        <v>2017729</v>
      </c>
      <c r="F555" s="6">
        <v>94271</v>
      </c>
      <c r="G555" s="6">
        <v>10014</v>
      </c>
      <c r="H555" s="6">
        <v>55540</v>
      </c>
      <c r="I555" s="6">
        <v>88693</v>
      </c>
      <c r="J555" s="6">
        <v>1150335</v>
      </c>
      <c r="K555" s="6">
        <v>872</v>
      </c>
      <c r="L555" s="6"/>
      <c r="M555" s="6">
        <v>6242</v>
      </c>
      <c r="N555" s="6">
        <v>27488</v>
      </c>
      <c r="O555" s="6">
        <v>27488</v>
      </c>
      <c r="P555" s="6">
        <v>0</v>
      </c>
      <c r="Q555" s="6">
        <v>54977</v>
      </c>
    </row>
    <row r="556" spans="1:17" x14ac:dyDescent="0.35">
      <c r="A556" s="1">
        <v>41458</v>
      </c>
      <c r="B556" s="6">
        <v>3437758</v>
      </c>
      <c r="C556" s="6">
        <v>2178311</v>
      </c>
      <c r="D556" s="6">
        <v>0</v>
      </c>
      <c r="E556" s="6">
        <v>2051984</v>
      </c>
      <c r="F556" s="6">
        <v>106048</v>
      </c>
      <c r="G556" s="6">
        <v>10030</v>
      </c>
      <c r="H556" s="6">
        <v>10249</v>
      </c>
      <c r="I556" s="6">
        <v>91871</v>
      </c>
      <c r="J556" s="6">
        <v>1159060</v>
      </c>
      <c r="K556" s="6">
        <v>1004</v>
      </c>
      <c r="L556" s="6"/>
      <c r="M556" s="6">
        <v>7512</v>
      </c>
      <c r="N556" s="6">
        <v>27492</v>
      </c>
      <c r="O556" s="6">
        <v>27492</v>
      </c>
      <c r="P556" s="6">
        <v>0</v>
      </c>
      <c r="Q556" s="6">
        <v>54985</v>
      </c>
    </row>
    <row r="557" spans="1:17" x14ac:dyDescent="0.35">
      <c r="A557" s="1">
        <v>41465</v>
      </c>
      <c r="B557" s="6">
        <v>3449112</v>
      </c>
      <c r="C557" s="6">
        <v>2199036</v>
      </c>
      <c r="D557" s="6">
        <v>0</v>
      </c>
      <c r="E557" s="6">
        <v>2083053</v>
      </c>
      <c r="F557" s="6">
        <v>75254</v>
      </c>
      <c r="G557" s="6">
        <v>9944</v>
      </c>
      <c r="H557" s="6">
        <v>30785</v>
      </c>
      <c r="I557" s="6">
        <v>85903</v>
      </c>
      <c r="J557" s="6">
        <v>1156856</v>
      </c>
      <c r="K557" s="6">
        <v>879</v>
      </c>
      <c r="L557" s="6"/>
      <c r="M557" s="6">
        <v>6439</v>
      </c>
      <c r="N557" s="6">
        <v>27492</v>
      </c>
      <c r="O557" s="6">
        <v>27492</v>
      </c>
      <c r="P557" s="6">
        <v>0</v>
      </c>
      <c r="Q557" s="6">
        <v>54983</v>
      </c>
    </row>
    <row r="558" spans="1:17" x14ac:dyDescent="0.35">
      <c r="A558" s="1">
        <v>41472</v>
      </c>
      <c r="B558" s="6">
        <v>3482830</v>
      </c>
      <c r="C558" s="6">
        <v>2232609</v>
      </c>
      <c r="D558" s="6">
        <v>0</v>
      </c>
      <c r="E558" s="6">
        <v>2140437</v>
      </c>
      <c r="F558" s="6">
        <v>67165</v>
      </c>
      <c r="G558" s="6">
        <v>9944</v>
      </c>
      <c r="H558" s="6">
        <v>15064</v>
      </c>
      <c r="I558" s="6">
        <v>88519</v>
      </c>
      <c r="J558" s="6">
        <v>1152591</v>
      </c>
      <c r="K558" s="6">
        <v>843</v>
      </c>
      <c r="L558" s="6"/>
      <c r="M558" s="6">
        <v>8269</v>
      </c>
      <c r="N558" s="6">
        <v>27516</v>
      </c>
      <c r="O558" s="6">
        <v>27516</v>
      </c>
      <c r="P558" s="6">
        <v>0</v>
      </c>
      <c r="Q558" s="6">
        <v>55031</v>
      </c>
    </row>
    <row r="559" spans="1:17" x14ac:dyDescent="0.35">
      <c r="A559" s="1">
        <v>41479</v>
      </c>
      <c r="B559" s="6">
        <v>3519542</v>
      </c>
      <c r="C559" s="6">
        <v>2272721</v>
      </c>
      <c r="D559" s="6">
        <v>11913</v>
      </c>
      <c r="E559" s="6">
        <v>2099329</v>
      </c>
      <c r="F559" s="6">
        <v>50966</v>
      </c>
      <c r="G559" s="6">
        <v>10410</v>
      </c>
      <c r="H559" s="6">
        <v>100102</v>
      </c>
      <c r="I559" s="6">
        <v>85555</v>
      </c>
      <c r="J559" s="6">
        <v>1151986</v>
      </c>
      <c r="K559" s="6">
        <v>863</v>
      </c>
      <c r="L559" s="6"/>
      <c r="M559" s="6">
        <v>8417</v>
      </c>
      <c r="N559" s="6">
        <v>27516</v>
      </c>
      <c r="O559" s="6">
        <v>27516</v>
      </c>
      <c r="P559" s="6">
        <v>0</v>
      </c>
      <c r="Q559" s="6">
        <v>55032</v>
      </c>
    </row>
    <row r="560" spans="1:17" x14ac:dyDescent="0.35">
      <c r="A560" s="1">
        <v>41486</v>
      </c>
      <c r="B560" s="6">
        <v>3516773</v>
      </c>
      <c r="C560" s="6">
        <v>2262560</v>
      </c>
      <c r="D560" s="6">
        <v>11913</v>
      </c>
      <c r="E560" s="6">
        <v>2120843</v>
      </c>
      <c r="F560" s="6">
        <v>109693</v>
      </c>
      <c r="G560" s="6">
        <v>10481</v>
      </c>
      <c r="H560" s="6">
        <v>9630</v>
      </c>
      <c r="I560" s="6">
        <v>91085</v>
      </c>
      <c r="J560" s="6">
        <v>1154322</v>
      </c>
      <c r="K560" s="6">
        <v>921</v>
      </c>
      <c r="L560" s="6"/>
      <c r="M560" s="6">
        <v>7884</v>
      </c>
      <c r="N560" s="6">
        <v>27512</v>
      </c>
      <c r="O560" s="6">
        <v>27512</v>
      </c>
      <c r="P560" s="6">
        <v>0</v>
      </c>
      <c r="Q560" s="6">
        <v>55024</v>
      </c>
    </row>
    <row r="561" spans="1:17" x14ac:dyDescent="0.35">
      <c r="A561" s="1">
        <v>41493</v>
      </c>
      <c r="B561" s="6">
        <v>3530333</v>
      </c>
      <c r="C561" s="6">
        <v>2270342</v>
      </c>
      <c r="D561" s="6">
        <v>11913</v>
      </c>
      <c r="E561" s="6">
        <v>2160982</v>
      </c>
      <c r="F561" s="6">
        <v>62679</v>
      </c>
      <c r="G561" s="6">
        <v>10411</v>
      </c>
      <c r="H561" s="6">
        <v>24357</v>
      </c>
      <c r="I561" s="6">
        <v>93140</v>
      </c>
      <c r="J561" s="6">
        <v>1156918</v>
      </c>
      <c r="K561" s="6">
        <v>918</v>
      </c>
      <c r="L561" s="6"/>
      <c r="M561" s="6">
        <v>9015</v>
      </c>
      <c r="N561" s="6">
        <v>27513</v>
      </c>
      <c r="O561" s="6">
        <v>27513</v>
      </c>
      <c r="P561" s="6">
        <v>0</v>
      </c>
      <c r="Q561" s="6">
        <v>55026</v>
      </c>
    </row>
    <row r="562" spans="1:17" x14ac:dyDescent="0.35">
      <c r="A562" s="1">
        <v>41500</v>
      </c>
      <c r="B562" s="6">
        <v>3591229</v>
      </c>
      <c r="C562" s="6">
        <v>2326070</v>
      </c>
      <c r="D562" s="6">
        <v>11913</v>
      </c>
      <c r="E562" s="6">
        <v>2198859</v>
      </c>
      <c r="F562" s="6">
        <v>57157</v>
      </c>
      <c r="G562" s="6">
        <v>10411</v>
      </c>
      <c r="H562" s="6">
        <v>47730</v>
      </c>
      <c r="I562" s="6">
        <v>98069</v>
      </c>
      <c r="J562" s="6">
        <v>1156364</v>
      </c>
      <c r="K562" s="6">
        <v>889</v>
      </c>
      <c r="L562" s="6"/>
      <c r="M562" s="6">
        <v>9837</v>
      </c>
      <c r="N562" s="6">
        <v>27547</v>
      </c>
      <c r="O562" s="6">
        <v>27547</v>
      </c>
      <c r="P562" s="6">
        <v>0</v>
      </c>
      <c r="Q562" s="6">
        <v>55094</v>
      </c>
    </row>
    <row r="563" spans="1:17" x14ac:dyDescent="0.35">
      <c r="A563" s="1">
        <v>41507</v>
      </c>
      <c r="B563" s="6">
        <v>3590581</v>
      </c>
      <c r="C563" s="6">
        <v>2329112</v>
      </c>
      <c r="D563" s="6">
        <v>0</v>
      </c>
      <c r="E563" s="6">
        <v>2200192</v>
      </c>
      <c r="F563" s="6">
        <v>41527</v>
      </c>
      <c r="G563" s="6">
        <v>10376</v>
      </c>
      <c r="H563" s="6">
        <v>77018</v>
      </c>
      <c r="I563" s="6">
        <v>96342</v>
      </c>
      <c r="J563" s="6">
        <v>1156377</v>
      </c>
      <c r="K563" s="6">
        <v>776</v>
      </c>
      <c r="L563" s="6"/>
      <c r="M563" s="6">
        <v>7974</v>
      </c>
      <c r="N563" s="6">
        <v>27544</v>
      </c>
      <c r="O563" s="6">
        <v>27544</v>
      </c>
      <c r="P563" s="6">
        <v>0</v>
      </c>
      <c r="Q563" s="6">
        <v>55087</v>
      </c>
    </row>
    <row r="564" spans="1:17" x14ac:dyDescent="0.35">
      <c r="A564" s="1">
        <v>41514</v>
      </c>
      <c r="B564" s="6">
        <v>3589503</v>
      </c>
      <c r="C564" s="6">
        <v>2329363</v>
      </c>
      <c r="D564" s="6">
        <v>0</v>
      </c>
      <c r="E564" s="6">
        <v>2264575</v>
      </c>
      <c r="F564" s="6">
        <v>25064</v>
      </c>
      <c r="G564" s="6">
        <v>10382</v>
      </c>
      <c r="H564" s="6">
        <v>29343</v>
      </c>
      <c r="I564" s="6">
        <v>90524</v>
      </c>
      <c r="J564" s="6">
        <v>1160510</v>
      </c>
      <c r="K564" s="6">
        <v>722</v>
      </c>
      <c r="L564" s="6"/>
      <c r="M564" s="6">
        <v>8384</v>
      </c>
      <c r="N564" s="6">
        <v>27477</v>
      </c>
      <c r="O564" s="6">
        <v>27477</v>
      </c>
      <c r="P564" s="6">
        <v>0</v>
      </c>
      <c r="Q564" s="6">
        <v>54953</v>
      </c>
    </row>
    <row r="565" spans="1:17" x14ac:dyDescent="0.35">
      <c r="A565" s="1">
        <v>41521</v>
      </c>
      <c r="B565" s="6">
        <v>3599295</v>
      </c>
      <c r="C565" s="6">
        <v>2330460</v>
      </c>
      <c r="D565" s="6">
        <v>0</v>
      </c>
      <c r="E565" s="6">
        <v>2274198</v>
      </c>
      <c r="F565" s="6">
        <v>36359</v>
      </c>
      <c r="G565" s="6">
        <v>10380</v>
      </c>
      <c r="H565" s="6">
        <v>9524</v>
      </c>
      <c r="I565" s="6">
        <v>92711</v>
      </c>
      <c r="J565" s="6">
        <v>1166699</v>
      </c>
      <c r="K565" s="6">
        <v>1438</v>
      </c>
      <c r="L565" s="6"/>
      <c r="M565" s="6">
        <v>7986</v>
      </c>
      <c r="N565" s="6">
        <v>27444</v>
      </c>
      <c r="O565" s="6">
        <v>27444</v>
      </c>
      <c r="P565" s="6">
        <v>0</v>
      </c>
      <c r="Q565" s="6">
        <v>54887</v>
      </c>
    </row>
    <row r="566" spans="1:17" x14ac:dyDescent="0.35">
      <c r="A566" s="1">
        <v>41528</v>
      </c>
      <c r="B566" s="6">
        <v>3607148</v>
      </c>
      <c r="C566" s="6">
        <v>2342409</v>
      </c>
      <c r="D566" s="6">
        <v>0</v>
      </c>
      <c r="E566" s="6">
        <v>2275642</v>
      </c>
      <c r="F566" s="6">
        <v>30020</v>
      </c>
      <c r="G566" s="6">
        <v>8765</v>
      </c>
      <c r="H566" s="6">
        <v>27982</v>
      </c>
      <c r="I566" s="6">
        <v>92164</v>
      </c>
      <c r="J566" s="6">
        <v>1163470</v>
      </c>
      <c r="K566" s="6">
        <v>884</v>
      </c>
      <c r="L566" s="6"/>
      <c r="M566" s="6">
        <v>8222</v>
      </c>
      <c r="N566" s="6">
        <v>27444</v>
      </c>
      <c r="O566" s="6">
        <v>27444</v>
      </c>
      <c r="P566" s="6">
        <v>0</v>
      </c>
      <c r="Q566" s="6">
        <v>54887</v>
      </c>
    </row>
    <row r="567" spans="1:17" x14ac:dyDescent="0.35">
      <c r="A567" s="1">
        <v>41535</v>
      </c>
      <c r="B567" s="6">
        <v>3667315</v>
      </c>
      <c r="C567" s="6">
        <v>2402693</v>
      </c>
      <c r="D567" s="6">
        <v>11662</v>
      </c>
      <c r="E567" s="6">
        <v>2254032</v>
      </c>
      <c r="F567" s="6">
        <v>60914</v>
      </c>
      <c r="G567" s="6">
        <v>8874</v>
      </c>
      <c r="H567" s="6">
        <v>67211</v>
      </c>
      <c r="I567" s="6">
        <v>93020</v>
      </c>
      <c r="J567" s="6">
        <v>1161845</v>
      </c>
      <c r="K567" s="6">
        <v>776</v>
      </c>
      <c r="L567" s="6"/>
      <c r="M567" s="6">
        <v>8982</v>
      </c>
      <c r="N567" s="6">
        <v>27438</v>
      </c>
      <c r="O567" s="6">
        <v>27438</v>
      </c>
      <c r="P567" s="6">
        <v>0</v>
      </c>
      <c r="Q567" s="6">
        <v>54876</v>
      </c>
    </row>
    <row r="568" spans="1:17" x14ac:dyDescent="0.35">
      <c r="A568" s="1">
        <v>41542</v>
      </c>
      <c r="B568" s="6">
        <v>3679136</v>
      </c>
      <c r="C568" s="6">
        <v>2402987</v>
      </c>
      <c r="D568" s="6">
        <v>11662</v>
      </c>
      <c r="E568" s="6">
        <v>2307013</v>
      </c>
      <c r="F568" s="6">
        <v>46017</v>
      </c>
      <c r="G568" s="6">
        <v>8877</v>
      </c>
      <c r="H568" s="6">
        <v>29418</v>
      </c>
      <c r="I568" s="6">
        <v>103170</v>
      </c>
      <c r="J568" s="6">
        <v>1162802</v>
      </c>
      <c r="K568" s="6">
        <v>685</v>
      </c>
      <c r="L568" s="6"/>
      <c r="M568" s="6">
        <v>9491</v>
      </c>
      <c r="N568" s="6">
        <v>27441</v>
      </c>
      <c r="O568" s="6">
        <v>27441</v>
      </c>
      <c r="P568" s="6">
        <v>0</v>
      </c>
      <c r="Q568" s="6">
        <v>54882</v>
      </c>
    </row>
    <row r="569" spans="1:17" x14ac:dyDescent="0.35">
      <c r="A569" s="1">
        <v>41549</v>
      </c>
      <c r="B569" s="6">
        <v>3692504</v>
      </c>
      <c r="C569" s="6">
        <v>2419728</v>
      </c>
      <c r="D569" s="6">
        <v>11662</v>
      </c>
      <c r="E569" s="6">
        <v>2329156</v>
      </c>
      <c r="F569" s="6">
        <v>57533</v>
      </c>
      <c r="G569" s="6">
        <v>8876</v>
      </c>
      <c r="H569" s="6">
        <v>12500</v>
      </c>
      <c r="I569" s="6">
        <v>95385</v>
      </c>
      <c r="J569" s="6">
        <v>1166479</v>
      </c>
      <c r="K569" s="6">
        <v>883</v>
      </c>
      <c r="L569" s="6"/>
      <c r="M569" s="6">
        <v>10028</v>
      </c>
      <c r="N569" s="6">
        <v>27441</v>
      </c>
      <c r="O569" s="6">
        <v>27441</v>
      </c>
      <c r="P569" s="6">
        <v>0</v>
      </c>
      <c r="Q569" s="6">
        <v>54883</v>
      </c>
    </row>
    <row r="570" spans="1:17" x14ac:dyDescent="0.35">
      <c r="A570" s="1">
        <v>41556</v>
      </c>
      <c r="B570" s="6">
        <v>3703787</v>
      </c>
      <c r="C570" s="6">
        <v>2422687</v>
      </c>
      <c r="D570" s="6">
        <v>11662</v>
      </c>
      <c r="E570" s="6">
        <v>2362899</v>
      </c>
      <c r="F570" s="6">
        <v>23393</v>
      </c>
      <c r="G570" s="6">
        <v>8877</v>
      </c>
      <c r="H570" s="6">
        <v>15857</v>
      </c>
      <c r="I570" s="6">
        <v>99085</v>
      </c>
      <c r="J570" s="6">
        <v>1170912</v>
      </c>
      <c r="K570" s="6">
        <v>869</v>
      </c>
      <c r="L570" s="6"/>
      <c r="M570" s="6">
        <v>10234</v>
      </c>
      <c r="N570" s="6">
        <v>27438</v>
      </c>
      <c r="O570" s="6">
        <v>27438</v>
      </c>
      <c r="P570" s="6">
        <v>0</v>
      </c>
      <c r="Q570" s="6">
        <v>54876</v>
      </c>
    </row>
    <row r="571" spans="1:17" x14ac:dyDescent="0.35">
      <c r="A571" s="1">
        <v>41563</v>
      </c>
      <c r="B571" s="6">
        <v>3758705</v>
      </c>
      <c r="C571" s="6">
        <v>2469196</v>
      </c>
      <c r="D571" s="6">
        <v>0</v>
      </c>
      <c r="E571" s="6">
        <v>2383431</v>
      </c>
      <c r="F571" s="6">
        <v>31866</v>
      </c>
      <c r="G571" s="6">
        <v>8802</v>
      </c>
      <c r="H571" s="6">
        <v>45096</v>
      </c>
      <c r="I571" s="6">
        <v>105655</v>
      </c>
      <c r="J571" s="6">
        <v>1173127</v>
      </c>
      <c r="K571" s="6">
        <v>1380</v>
      </c>
      <c r="L571" s="6"/>
      <c r="M571" s="6">
        <v>9347</v>
      </c>
      <c r="N571" s="6">
        <v>27447</v>
      </c>
      <c r="O571" s="6">
        <v>27447</v>
      </c>
      <c r="P571" s="6">
        <v>0</v>
      </c>
      <c r="Q571" s="6">
        <v>54893</v>
      </c>
    </row>
    <row r="572" spans="1:17" x14ac:dyDescent="0.35">
      <c r="A572" s="1">
        <v>41570</v>
      </c>
      <c r="B572" s="6">
        <v>3784139</v>
      </c>
      <c r="C572" s="6">
        <v>2478638</v>
      </c>
      <c r="D572" s="6">
        <v>0</v>
      </c>
      <c r="E572" s="6">
        <v>2382593</v>
      </c>
      <c r="F572" s="6">
        <v>35691</v>
      </c>
      <c r="G572" s="6">
        <v>8652</v>
      </c>
      <c r="H572" s="6">
        <v>51702</v>
      </c>
      <c r="I572" s="6">
        <v>121235</v>
      </c>
      <c r="J572" s="6">
        <v>1173971</v>
      </c>
      <c r="K572" s="6">
        <v>661</v>
      </c>
      <c r="L572" s="6"/>
      <c r="M572" s="6">
        <v>9634</v>
      </c>
      <c r="N572" s="6">
        <v>27447</v>
      </c>
      <c r="O572" s="6">
        <v>27447</v>
      </c>
      <c r="P572" s="6">
        <v>0</v>
      </c>
      <c r="Q572" s="6">
        <v>54894</v>
      </c>
    </row>
    <row r="573" spans="1:17" x14ac:dyDescent="0.35">
      <c r="A573" s="1">
        <v>41577</v>
      </c>
      <c r="B573" s="6">
        <v>3788542</v>
      </c>
      <c r="C573" s="6">
        <v>2488916</v>
      </c>
      <c r="D573" s="6">
        <v>0</v>
      </c>
      <c r="E573" s="6">
        <v>2434946</v>
      </c>
      <c r="F573" s="6">
        <v>30725</v>
      </c>
      <c r="G573" s="6">
        <v>8653</v>
      </c>
      <c r="H573" s="6">
        <v>14592</v>
      </c>
      <c r="I573" s="6">
        <v>114290</v>
      </c>
      <c r="J573" s="6">
        <v>1175550</v>
      </c>
      <c r="K573" s="6">
        <v>705</v>
      </c>
      <c r="L573" s="6"/>
      <c r="M573" s="6">
        <v>9080</v>
      </c>
      <c r="N573" s="6">
        <v>27427</v>
      </c>
      <c r="O573" s="6">
        <v>27427</v>
      </c>
      <c r="P573" s="6">
        <v>0</v>
      </c>
      <c r="Q573" s="6">
        <v>54855</v>
      </c>
    </row>
    <row r="574" spans="1:17" x14ac:dyDescent="0.35">
      <c r="A574" s="1">
        <v>41584</v>
      </c>
      <c r="B574" s="6">
        <v>3796797</v>
      </c>
      <c r="C574" s="6">
        <v>2499041</v>
      </c>
      <c r="D574" s="6">
        <v>0</v>
      </c>
      <c r="E574" s="6">
        <v>2450034</v>
      </c>
      <c r="F574" s="6">
        <v>30596</v>
      </c>
      <c r="G574" s="6">
        <v>8654</v>
      </c>
      <c r="H574" s="6">
        <v>9758</v>
      </c>
      <c r="I574" s="6">
        <v>110809</v>
      </c>
      <c r="J574" s="6">
        <v>1177482</v>
      </c>
      <c r="K574" s="6">
        <v>919</v>
      </c>
      <c r="L574" s="6"/>
      <c r="M574" s="6">
        <v>8546</v>
      </c>
      <c r="N574" s="6">
        <v>27413</v>
      </c>
      <c r="O574" s="6">
        <v>27413</v>
      </c>
      <c r="P574" s="6">
        <v>0</v>
      </c>
      <c r="Q574" s="6">
        <v>54826</v>
      </c>
    </row>
    <row r="575" spans="1:17" x14ac:dyDescent="0.35">
      <c r="A575" s="1">
        <v>41591</v>
      </c>
      <c r="B575" s="6">
        <v>3852581</v>
      </c>
      <c r="C575" s="6">
        <v>2554275</v>
      </c>
      <c r="D575" s="6">
        <v>0</v>
      </c>
      <c r="E575" s="6">
        <v>2489017</v>
      </c>
      <c r="F575" s="6">
        <v>34247</v>
      </c>
      <c r="G575" s="6">
        <v>8653</v>
      </c>
      <c r="H575" s="6">
        <v>22358</v>
      </c>
      <c r="I575" s="6">
        <v>106270</v>
      </c>
      <c r="J575" s="6">
        <v>1178742</v>
      </c>
      <c r="K575" s="6">
        <v>1311</v>
      </c>
      <c r="L575" s="6"/>
      <c r="M575" s="6">
        <v>11982</v>
      </c>
      <c r="N575" s="6">
        <v>27421</v>
      </c>
      <c r="O575" s="6">
        <v>27421</v>
      </c>
      <c r="P575" s="6">
        <v>0</v>
      </c>
      <c r="Q575" s="6">
        <v>54843</v>
      </c>
    </row>
    <row r="576" spans="1:17" x14ac:dyDescent="0.35">
      <c r="A576" s="1">
        <v>41598</v>
      </c>
      <c r="B576" s="6">
        <v>3851721</v>
      </c>
      <c r="C576" s="6">
        <v>2559256</v>
      </c>
      <c r="D576" s="6">
        <v>0</v>
      </c>
      <c r="E576" s="6">
        <v>2470180</v>
      </c>
      <c r="F576" s="6">
        <v>47871</v>
      </c>
      <c r="G576" s="6">
        <v>8735</v>
      </c>
      <c r="H576" s="6">
        <v>32470</v>
      </c>
      <c r="I576" s="6">
        <v>106473</v>
      </c>
      <c r="J576" s="6">
        <v>1176942</v>
      </c>
      <c r="K576" s="6">
        <v>676</v>
      </c>
      <c r="L576" s="6"/>
      <c r="M576" s="6">
        <v>8375</v>
      </c>
      <c r="N576" s="6">
        <v>27450</v>
      </c>
      <c r="O576" s="6">
        <v>27450</v>
      </c>
      <c r="P576" s="6">
        <v>0</v>
      </c>
      <c r="Q576" s="6">
        <v>54899</v>
      </c>
    </row>
    <row r="577" spans="1:17" x14ac:dyDescent="0.35">
      <c r="A577" s="1">
        <v>41605</v>
      </c>
      <c r="B577" s="6">
        <v>3870912</v>
      </c>
      <c r="C577" s="6">
        <v>2569904</v>
      </c>
      <c r="D577" s="6">
        <v>13532</v>
      </c>
      <c r="E577" s="6">
        <v>2488387</v>
      </c>
      <c r="F577" s="6">
        <v>45433</v>
      </c>
      <c r="G577" s="6">
        <v>8740</v>
      </c>
      <c r="H577" s="6">
        <v>13813</v>
      </c>
      <c r="I577" s="6">
        <v>107739</v>
      </c>
      <c r="J577" s="6">
        <v>1183993</v>
      </c>
      <c r="K577" s="6">
        <v>739</v>
      </c>
      <c r="L577" s="6"/>
      <c r="M577" s="6">
        <v>8537</v>
      </c>
      <c r="N577" s="6">
        <v>27482</v>
      </c>
      <c r="O577" s="6">
        <v>27482</v>
      </c>
      <c r="P577" s="6">
        <v>0</v>
      </c>
      <c r="Q577" s="6">
        <v>54964</v>
      </c>
    </row>
    <row r="578" spans="1:17" x14ac:dyDescent="0.35">
      <c r="A578" s="1">
        <v>41612</v>
      </c>
      <c r="B578" s="6">
        <v>3877647</v>
      </c>
      <c r="C578" s="6">
        <v>2574410</v>
      </c>
      <c r="D578" s="6">
        <v>13532</v>
      </c>
      <c r="E578" s="6">
        <v>2510626</v>
      </c>
      <c r="F578" s="6">
        <v>32379</v>
      </c>
      <c r="G578" s="6">
        <v>8734</v>
      </c>
      <c r="H578" s="6">
        <v>9139</v>
      </c>
      <c r="I578" s="6">
        <v>109592</v>
      </c>
      <c r="J578" s="6">
        <v>1185260</v>
      </c>
      <c r="K578" s="6">
        <v>838</v>
      </c>
      <c r="L578" s="6"/>
      <c r="M578" s="6">
        <v>7547</v>
      </c>
      <c r="N578" s="6">
        <v>27490</v>
      </c>
      <c r="O578" s="6">
        <v>27490</v>
      </c>
      <c r="P578" s="6">
        <v>0</v>
      </c>
      <c r="Q578" s="6">
        <v>54980</v>
      </c>
    </row>
    <row r="579" spans="1:17" x14ac:dyDescent="0.35">
      <c r="A579" s="1">
        <v>41619</v>
      </c>
      <c r="B579" s="6">
        <v>3938974</v>
      </c>
      <c r="C579" s="6">
        <v>2603505</v>
      </c>
      <c r="D579" s="6">
        <v>13532</v>
      </c>
      <c r="E579" s="6">
        <v>2540722</v>
      </c>
      <c r="F579" s="6">
        <v>21490</v>
      </c>
      <c r="G579" s="6">
        <v>7971</v>
      </c>
      <c r="H579" s="6">
        <v>19789</v>
      </c>
      <c r="I579" s="6">
        <v>135741</v>
      </c>
      <c r="J579" s="6">
        <v>1186440</v>
      </c>
      <c r="K579" s="6">
        <v>721</v>
      </c>
      <c r="L579" s="6"/>
      <c r="M579" s="6">
        <v>12567</v>
      </c>
      <c r="N579" s="6">
        <v>27490</v>
      </c>
      <c r="O579" s="6">
        <v>27490</v>
      </c>
      <c r="P579" s="6">
        <v>0</v>
      </c>
      <c r="Q579" s="6">
        <v>54981</v>
      </c>
    </row>
    <row r="580" spans="1:17" x14ac:dyDescent="0.35">
      <c r="A580" s="1">
        <v>41626</v>
      </c>
      <c r="B580" s="6">
        <v>3953077</v>
      </c>
      <c r="C580" s="6">
        <v>2643081</v>
      </c>
      <c r="D580" s="6">
        <v>13532</v>
      </c>
      <c r="E580" s="6">
        <v>2465932</v>
      </c>
      <c r="F580" s="6">
        <v>116998</v>
      </c>
      <c r="G580" s="6">
        <v>7973</v>
      </c>
      <c r="H580" s="6">
        <v>38646</v>
      </c>
      <c r="I580" s="6">
        <v>111966</v>
      </c>
      <c r="J580" s="6">
        <v>1189176</v>
      </c>
      <c r="K580" s="6">
        <v>793</v>
      </c>
      <c r="L580" s="6"/>
      <c r="M580" s="6">
        <v>8061</v>
      </c>
      <c r="N580" s="6">
        <v>27492</v>
      </c>
      <c r="O580" s="6">
        <v>27492</v>
      </c>
      <c r="P580" s="6">
        <v>0</v>
      </c>
      <c r="Q580" s="6">
        <v>54984</v>
      </c>
    </row>
    <row r="581" spans="1:17" x14ac:dyDescent="0.35">
      <c r="A581" s="1">
        <v>41633</v>
      </c>
      <c r="B581" s="6">
        <v>3977557</v>
      </c>
      <c r="C581" s="6">
        <v>2620337</v>
      </c>
      <c r="D581" s="6">
        <v>0</v>
      </c>
      <c r="E581" s="6">
        <v>2450733</v>
      </c>
      <c r="F581" s="6">
        <v>93893</v>
      </c>
      <c r="G581" s="6">
        <v>7980</v>
      </c>
      <c r="H581" s="6">
        <v>67731</v>
      </c>
      <c r="I581" s="6">
        <v>151257</v>
      </c>
      <c r="J581" s="6">
        <v>1195201</v>
      </c>
      <c r="K581" s="6">
        <v>1214</v>
      </c>
      <c r="L581" s="6"/>
      <c r="M581" s="6">
        <v>9549</v>
      </c>
      <c r="N581" s="6">
        <v>27509</v>
      </c>
      <c r="O581" s="6">
        <v>27509</v>
      </c>
      <c r="P581" s="6">
        <v>0</v>
      </c>
      <c r="Q581" s="6">
        <v>55018</v>
      </c>
    </row>
    <row r="582" spans="1:17" x14ac:dyDescent="0.35">
      <c r="A582" s="1">
        <v>41640</v>
      </c>
      <c r="B582" s="6">
        <v>3968627</v>
      </c>
      <c r="C582" s="6">
        <v>2445620</v>
      </c>
      <c r="D582" s="6">
        <v>0</v>
      </c>
      <c r="E582" s="6">
        <v>2249070</v>
      </c>
      <c r="F582" s="6">
        <v>162399</v>
      </c>
      <c r="G582" s="6">
        <v>7970</v>
      </c>
      <c r="H582" s="6">
        <v>26181</v>
      </c>
      <c r="I582" s="6">
        <v>315924</v>
      </c>
      <c r="J582" s="6">
        <v>1197920</v>
      </c>
      <c r="K582" s="6">
        <v>1127</v>
      </c>
      <c r="L582" s="6"/>
      <c r="M582" s="6">
        <v>8035</v>
      </c>
      <c r="N582" s="6">
        <v>27507</v>
      </c>
      <c r="O582" s="6">
        <v>27507</v>
      </c>
      <c r="P582" s="6">
        <v>0</v>
      </c>
      <c r="Q582" s="6">
        <v>55014</v>
      </c>
    </row>
    <row r="583" spans="1:17" x14ac:dyDescent="0.35">
      <c r="A583" s="1">
        <v>41647</v>
      </c>
      <c r="B583" s="6">
        <v>3973163</v>
      </c>
      <c r="C583" s="6">
        <v>2622977</v>
      </c>
      <c r="D583" s="6">
        <v>0</v>
      </c>
      <c r="E583" s="6">
        <v>2490132</v>
      </c>
      <c r="F583" s="6">
        <v>110758</v>
      </c>
      <c r="G583" s="6">
        <v>8047</v>
      </c>
      <c r="H583" s="6">
        <v>14040</v>
      </c>
      <c r="I583" s="6">
        <v>150726</v>
      </c>
      <c r="J583" s="6">
        <v>1190760</v>
      </c>
      <c r="K583" s="6">
        <v>765</v>
      </c>
      <c r="L583" s="6"/>
      <c r="M583" s="6">
        <v>7935</v>
      </c>
      <c r="N583" s="6">
        <v>27511</v>
      </c>
      <c r="O583" s="6">
        <v>27511</v>
      </c>
      <c r="P583" s="6">
        <v>0</v>
      </c>
      <c r="Q583" s="6">
        <v>55022</v>
      </c>
    </row>
    <row r="584" spans="1:17" x14ac:dyDescent="0.35">
      <c r="A584" s="1">
        <v>41654</v>
      </c>
      <c r="B584" s="6">
        <v>4016498</v>
      </c>
      <c r="C584" s="6">
        <v>2668577</v>
      </c>
      <c r="D584" s="6">
        <v>0</v>
      </c>
      <c r="E584" s="6">
        <v>2560078</v>
      </c>
      <c r="F584" s="6">
        <v>87926</v>
      </c>
      <c r="G584" s="6">
        <v>8047</v>
      </c>
      <c r="H584" s="6">
        <v>12525</v>
      </c>
      <c r="I584" s="6">
        <v>156266</v>
      </c>
      <c r="J584" s="6">
        <v>1183539</v>
      </c>
      <c r="K584" s="6">
        <v>659</v>
      </c>
      <c r="L584" s="6"/>
      <c r="M584" s="6">
        <v>7458</v>
      </c>
      <c r="N584" s="6">
        <v>27515</v>
      </c>
      <c r="O584" s="6">
        <v>27515</v>
      </c>
      <c r="P584" s="6">
        <v>0</v>
      </c>
      <c r="Q584" s="6">
        <v>55030</v>
      </c>
    </row>
    <row r="585" spans="1:17" x14ac:dyDescent="0.35">
      <c r="A585" s="1">
        <v>41661</v>
      </c>
      <c r="B585" s="6">
        <v>4042883</v>
      </c>
      <c r="C585" s="6">
        <v>2649398</v>
      </c>
      <c r="D585" s="6">
        <v>12822</v>
      </c>
      <c r="E585" s="6">
        <v>2494731</v>
      </c>
      <c r="F585" s="6">
        <v>96724</v>
      </c>
      <c r="G585" s="6">
        <v>8060</v>
      </c>
      <c r="H585" s="6">
        <v>37061</v>
      </c>
      <c r="I585" s="6">
        <v>201954</v>
      </c>
      <c r="J585" s="6">
        <v>1182672</v>
      </c>
      <c r="K585" s="6">
        <v>1124</v>
      </c>
      <c r="L585" s="6"/>
      <c r="M585" s="6">
        <v>7734</v>
      </c>
      <c r="N585" s="6">
        <v>27515</v>
      </c>
      <c r="O585" s="6">
        <v>27515</v>
      </c>
      <c r="P585" s="6">
        <v>0</v>
      </c>
      <c r="Q585" s="6">
        <v>55031</v>
      </c>
    </row>
    <row r="586" spans="1:17" x14ac:dyDescent="0.35">
      <c r="A586" s="1">
        <v>41668</v>
      </c>
      <c r="B586" s="6">
        <v>4047106</v>
      </c>
      <c r="C586" s="6">
        <v>2660304</v>
      </c>
      <c r="D586" s="6">
        <v>12822</v>
      </c>
      <c r="E586" s="6">
        <v>2525775</v>
      </c>
      <c r="F586" s="6">
        <v>95632</v>
      </c>
      <c r="G586" s="6">
        <v>8062</v>
      </c>
      <c r="H586" s="6">
        <v>18013</v>
      </c>
      <c r="I586" s="6">
        <v>195428</v>
      </c>
      <c r="J586" s="6">
        <v>1183141</v>
      </c>
      <c r="K586" s="6">
        <v>609</v>
      </c>
      <c r="L586" s="6"/>
      <c r="M586" s="6">
        <v>7623</v>
      </c>
      <c r="N586" s="6">
        <v>27516</v>
      </c>
      <c r="O586" s="6">
        <v>27516</v>
      </c>
      <c r="P586" s="6">
        <v>0</v>
      </c>
      <c r="Q586" s="6">
        <v>55033</v>
      </c>
    </row>
    <row r="587" spans="1:17" x14ac:dyDescent="0.35">
      <c r="A587" s="1">
        <v>41675</v>
      </c>
      <c r="B587" s="6">
        <v>4054144</v>
      </c>
      <c r="C587" s="6">
        <v>2662136</v>
      </c>
      <c r="D587" s="6">
        <v>12822</v>
      </c>
      <c r="E587" s="6">
        <v>2546900</v>
      </c>
      <c r="F587" s="6">
        <v>77423</v>
      </c>
      <c r="G587" s="6">
        <v>7971</v>
      </c>
      <c r="H587" s="6">
        <v>17020</v>
      </c>
      <c r="I587" s="6">
        <v>196114</v>
      </c>
      <c r="J587" s="6">
        <v>1187151</v>
      </c>
      <c r="K587" s="6">
        <v>772</v>
      </c>
      <c r="L587" s="6"/>
      <c r="M587" s="6">
        <v>7971</v>
      </c>
      <c r="N587" s="6">
        <v>27571</v>
      </c>
      <c r="O587" s="6">
        <v>27571</v>
      </c>
      <c r="P587" s="6">
        <v>0</v>
      </c>
      <c r="Q587" s="6">
        <v>55141</v>
      </c>
    </row>
    <row r="588" spans="1:17" x14ac:dyDescent="0.35">
      <c r="A588" s="1">
        <v>41682</v>
      </c>
      <c r="B588" s="6">
        <v>4063668</v>
      </c>
      <c r="C588" s="6">
        <v>2672927</v>
      </c>
      <c r="D588" s="6">
        <v>12822</v>
      </c>
      <c r="E588" s="6">
        <v>2601785</v>
      </c>
      <c r="F588" s="6">
        <v>32564</v>
      </c>
      <c r="G588" s="6">
        <v>7971</v>
      </c>
      <c r="H588" s="6">
        <v>17784</v>
      </c>
      <c r="I588" s="6">
        <v>192072</v>
      </c>
      <c r="J588" s="6">
        <v>1191693</v>
      </c>
      <c r="K588" s="6">
        <v>765</v>
      </c>
      <c r="L588" s="6"/>
      <c r="M588" s="6">
        <v>6212</v>
      </c>
      <c r="N588" s="6">
        <v>27903</v>
      </c>
      <c r="O588" s="6">
        <v>27903</v>
      </c>
      <c r="P588" s="6">
        <v>0</v>
      </c>
      <c r="Q588" s="6">
        <v>55805</v>
      </c>
    </row>
    <row r="589" spans="1:17" x14ac:dyDescent="0.35">
      <c r="A589" s="1">
        <v>41689</v>
      </c>
      <c r="B589" s="6">
        <v>4093395</v>
      </c>
      <c r="C589" s="6">
        <v>2688780</v>
      </c>
      <c r="D589" s="6">
        <v>0</v>
      </c>
      <c r="E589" s="6">
        <v>2610617</v>
      </c>
      <c r="F589" s="6">
        <v>49750</v>
      </c>
      <c r="G589" s="6">
        <v>7977</v>
      </c>
      <c r="H589" s="6">
        <v>20436</v>
      </c>
      <c r="I589" s="6">
        <v>193885</v>
      </c>
      <c r="J589" s="6">
        <v>1202562</v>
      </c>
      <c r="K589" s="6">
        <v>1230</v>
      </c>
      <c r="L589" s="6"/>
      <c r="M589" s="6">
        <v>6938</v>
      </c>
      <c r="N589" s="6">
        <v>27914</v>
      </c>
      <c r="O589" s="6">
        <v>27914</v>
      </c>
      <c r="P589" s="6">
        <v>0</v>
      </c>
      <c r="Q589" s="6">
        <v>55829</v>
      </c>
    </row>
    <row r="590" spans="1:17" x14ac:dyDescent="0.35">
      <c r="A590" s="1">
        <v>41696</v>
      </c>
      <c r="B590" s="6">
        <v>4104095</v>
      </c>
      <c r="C590" s="6">
        <v>2657705</v>
      </c>
      <c r="D590" s="6">
        <v>0</v>
      </c>
      <c r="E590" s="6">
        <v>2610540</v>
      </c>
      <c r="F590" s="6">
        <v>27427</v>
      </c>
      <c r="G590" s="6">
        <v>7972</v>
      </c>
      <c r="H590" s="6">
        <v>11766</v>
      </c>
      <c r="I590" s="6">
        <v>232674</v>
      </c>
      <c r="J590" s="6">
        <v>1207569</v>
      </c>
      <c r="K590" s="6">
        <v>718</v>
      </c>
      <c r="L590" s="6"/>
      <c r="M590" s="6">
        <v>5429</v>
      </c>
      <c r="N590" s="6">
        <v>27939</v>
      </c>
      <c r="O590" s="6">
        <v>27939</v>
      </c>
      <c r="P590" s="6">
        <v>0</v>
      </c>
      <c r="Q590" s="6">
        <v>55877</v>
      </c>
    </row>
    <row r="591" spans="1:17" x14ac:dyDescent="0.35">
      <c r="A591" s="1">
        <v>41703</v>
      </c>
      <c r="B591" s="6">
        <v>4115688</v>
      </c>
      <c r="C591" s="6">
        <v>2720220</v>
      </c>
      <c r="D591" s="6">
        <v>0</v>
      </c>
      <c r="E591" s="6">
        <v>2659069</v>
      </c>
      <c r="F591" s="6">
        <v>45744</v>
      </c>
      <c r="G591" s="6">
        <v>7972</v>
      </c>
      <c r="H591" s="6">
        <v>7435</v>
      </c>
      <c r="I591" s="6">
        <v>172726</v>
      </c>
      <c r="J591" s="6">
        <v>1215074</v>
      </c>
      <c r="K591" s="6">
        <v>913</v>
      </c>
      <c r="L591" s="6"/>
      <c r="M591" s="6">
        <v>6755</v>
      </c>
      <c r="N591" s="6">
        <v>28037</v>
      </c>
      <c r="O591" s="6">
        <v>28037</v>
      </c>
      <c r="P591" s="6">
        <v>0</v>
      </c>
      <c r="Q591" s="6">
        <v>56074</v>
      </c>
    </row>
    <row r="592" spans="1:17" x14ac:dyDescent="0.35">
      <c r="A592" s="1">
        <v>41710</v>
      </c>
      <c r="B592" s="6">
        <v>4125285</v>
      </c>
      <c r="C592" s="6">
        <v>2737638</v>
      </c>
      <c r="D592" s="6">
        <v>13542</v>
      </c>
      <c r="E592" s="6">
        <v>2662686</v>
      </c>
      <c r="F592" s="6">
        <v>42797</v>
      </c>
      <c r="G592" s="6">
        <v>6570</v>
      </c>
      <c r="H592" s="6">
        <v>12043</v>
      </c>
      <c r="I592" s="6">
        <v>161627</v>
      </c>
      <c r="J592" s="6">
        <v>1218569</v>
      </c>
      <c r="K592" s="6">
        <v>822</v>
      </c>
      <c r="L592" s="6"/>
      <c r="M592" s="6">
        <v>6629</v>
      </c>
      <c r="N592" s="6">
        <v>28038</v>
      </c>
      <c r="O592" s="6">
        <v>28038</v>
      </c>
      <c r="P592" s="6">
        <v>0</v>
      </c>
      <c r="Q592" s="6">
        <v>56076</v>
      </c>
    </row>
    <row r="593" spans="1:17" x14ac:dyDescent="0.35">
      <c r="A593" s="1">
        <v>41717</v>
      </c>
      <c r="B593" s="6">
        <v>4165994</v>
      </c>
      <c r="C593" s="6">
        <v>2763593</v>
      </c>
      <c r="D593" s="6">
        <v>15183</v>
      </c>
      <c r="E593" s="6">
        <v>2613996</v>
      </c>
      <c r="F593" s="6">
        <v>118033</v>
      </c>
      <c r="G593" s="6">
        <v>6978</v>
      </c>
      <c r="H593" s="6">
        <v>9403</v>
      </c>
      <c r="I593" s="6">
        <v>171880</v>
      </c>
      <c r="J593" s="6">
        <v>1223183</v>
      </c>
      <c r="K593" s="6">
        <v>739</v>
      </c>
      <c r="L593" s="6"/>
      <c r="M593" s="6">
        <v>6598</v>
      </c>
      <c r="N593" s="6">
        <v>28044</v>
      </c>
      <c r="O593" s="6">
        <v>28044</v>
      </c>
      <c r="P593" s="6">
        <v>0</v>
      </c>
      <c r="Q593" s="6">
        <v>56087</v>
      </c>
    </row>
    <row r="594" spans="1:17" x14ac:dyDescent="0.35">
      <c r="A594" s="1">
        <v>41724</v>
      </c>
      <c r="B594" s="6">
        <v>4170870</v>
      </c>
      <c r="C594" s="6">
        <v>2741942</v>
      </c>
      <c r="D594" s="6">
        <v>15413</v>
      </c>
      <c r="E594" s="6">
        <v>2611169</v>
      </c>
      <c r="F594" s="6">
        <v>89067</v>
      </c>
      <c r="G594" s="6">
        <v>7028</v>
      </c>
      <c r="H594" s="6">
        <v>19265</v>
      </c>
      <c r="I594" s="6">
        <v>197795</v>
      </c>
      <c r="J594" s="6">
        <v>1224796</v>
      </c>
      <c r="K594" s="6">
        <v>673</v>
      </c>
      <c r="L594" s="6"/>
      <c r="M594" s="6">
        <v>5665</v>
      </c>
      <c r="N594" s="6">
        <v>28050</v>
      </c>
      <c r="O594" s="6">
        <v>28050</v>
      </c>
      <c r="P594" s="6">
        <v>0</v>
      </c>
      <c r="Q594" s="6">
        <v>56101</v>
      </c>
    </row>
    <row r="595" spans="1:17" x14ac:dyDescent="0.35">
      <c r="A595" s="1">
        <v>41731</v>
      </c>
      <c r="B595" s="6">
        <v>4180341</v>
      </c>
      <c r="C595" s="6">
        <v>2749450</v>
      </c>
      <c r="D595" s="6">
        <v>14251</v>
      </c>
      <c r="E595" s="6">
        <v>2611768</v>
      </c>
      <c r="F595" s="6">
        <v>107199</v>
      </c>
      <c r="G595" s="6">
        <v>6980</v>
      </c>
      <c r="H595" s="6">
        <v>9252</v>
      </c>
      <c r="I595" s="6">
        <v>197200</v>
      </c>
      <c r="J595" s="6">
        <v>1226950</v>
      </c>
      <c r="K595" s="6">
        <v>834</v>
      </c>
      <c r="L595" s="6"/>
      <c r="M595" s="6">
        <v>5907</v>
      </c>
      <c r="N595" s="6">
        <v>28050</v>
      </c>
      <c r="O595" s="6">
        <v>28050</v>
      </c>
      <c r="P595" s="6">
        <v>0</v>
      </c>
      <c r="Q595" s="6">
        <v>56100</v>
      </c>
    </row>
    <row r="596" spans="1:17" x14ac:dyDescent="0.35">
      <c r="A596" s="1">
        <v>41738</v>
      </c>
      <c r="B596" s="6">
        <v>4188066</v>
      </c>
      <c r="C596" s="6">
        <v>2770145</v>
      </c>
      <c r="D596" s="6">
        <v>0</v>
      </c>
      <c r="E596" s="6">
        <v>2697888</v>
      </c>
      <c r="F596" s="6">
        <v>54528</v>
      </c>
      <c r="G596" s="6">
        <v>6977</v>
      </c>
      <c r="H596" s="6">
        <v>10751</v>
      </c>
      <c r="I596" s="6">
        <v>182253</v>
      </c>
      <c r="J596" s="6">
        <v>1227767</v>
      </c>
      <c r="K596" s="6">
        <v>720</v>
      </c>
      <c r="L596" s="6"/>
      <c r="M596" s="6">
        <v>7181</v>
      </c>
      <c r="N596" s="6">
        <v>28061</v>
      </c>
      <c r="O596" s="6">
        <v>28061</v>
      </c>
      <c r="P596" s="6">
        <v>0</v>
      </c>
      <c r="Q596" s="6">
        <v>56122</v>
      </c>
    </row>
    <row r="597" spans="1:17" x14ac:dyDescent="0.35">
      <c r="A597" s="1">
        <v>41745</v>
      </c>
      <c r="B597" s="6">
        <v>4227870</v>
      </c>
      <c r="C597" s="6">
        <v>2818762</v>
      </c>
      <c r="D597" s="6">
        <v>0</v>
      </c>
      <c r="E597" s="6">
        <v>2670804</v>
      </c>
      <c r="F597" s="6">
        <v>134483</v>
      </c>
      <c r="G597" s="6">
        <v>6978</v>
      </c>
      <c r="H597" s="6">
        <v>6498</v>
      </c>
      <c r="I597" s="6">
        <v>173515</v>
      </c>
      <c r="J597" s="6">
        <v>1227489</v>
      </c>
      <c r="K597" s="6">
        <v>772</v>
      </c>
      <c r="L597" s="6"/>
      <c r="M597" s="6">
        <v>7331</v>
      </c>
      <c r="N597" s="6">
        <v>28048</v>
      </c>
      <c r="O597" s="6">
        <v>28048</v>
      </c>
      <c r="P597" s="6">
        <v>0</v>
      </c>
      <c r="Q597" s="6">
        <v>56097</v>
      </c>
    </row>
    <row r="598" spans="1:17" x14ac:dyDescent="0.35">
      <c r="A598" s="1">
        <v>41752</v>
      </c>
      <c r="B598" s="6">
        <v>4240222</v>
      </c>
      <c r="C598" s="6">
        <v>2749487</v>
      </c>
      <c r="D598" s="6">
        <v>0</v>
      </c>
      <c r="E598" s="6">
        <v>2583715</v>
      </c>
      <c r="F598" s="6">
        <v>150225</v>
      </c>
      <c r="G598" s="6">
        <v>7803</v>
      </c>
      <c r="H598" s="6">
        <v>7743</v>
      </c>
      <c r="I598" s="6">
        <v>256532</v>
      </c>
      <c r="J598" s="6">
        <v>1227118</v>
      </c>
      <c r="K598" s="6">
        <v>655</v>
      </c>
      <c r="L598" s="6"/>
      <c r="M598" s="6">
        <v>6430</v>
      </c>
      <c r="N598" s="6">
        <v>28059</v>
      </c>
      <c r="O598" s="6">
        <v>28059</v>
      </c>
      <c r="P598" s="6">
        <v>0</v>
      </c>
      <c r="Q598" s="6">
        <v>56118</v>
      </c>
    </row>
    <row r="599" spans="1:17" x14ac:dyDescent="0.35">
      <c r="A599" s="1">
        <v>41759</v>
      </c>
      <c r="B599" s="6">
        <v>4239922</v>
      </c>
      <c r="C599" s="6">
        <v>2678265</v>
      </c>
      <c r="D599" s="6">
        <v>0</v>
      </c>
      <c r="E599" s="6">
        <v>2514438</v>
      </c>
      <c r="F599" s="6">
        <v>148343</v>
      </c>
      <c r="G599" s="6">
        <v>7826</v>
      </c>
      <c r="H599" s="6">
        <v>7659</v>
      </c>
      <c r="I599" s="6">
        <v>325498</v>
      </c>
      <c r="J599" s="6">
        <v>1228708</v>
      </c>
      <c r="K599" s="6">
        <v>863</v>
      </c>
      <c r="L599" s="6"/>
      <c r="M599" s="6">
        <v>6588</v>
      </c>
      <c r="N599" s="6">
        <v>28064</v>
      </c>
      <c r="O599" s="6">
        <v>28064</v>
      </c>
      <c r="P599" s="6">
        <v>0</v>
      </c>
      <c r="Q599" s="6">
        <v>56127</v>
      </c>
    </row>
    <row r="600" spans="1:17" x14ac:dyDescent="0.35">
      <c r="A600" s="1">
        <v>41766</v>
      </c>
      <c r="B600" s="6">
        <v>4246925</v>
      </c>
      <c r="C600" s="6">
        <v>2707287</v>
      </c>
      <c r="D600" s="6">
        <v>0</v>
      </c>
      <c r="E600" s="6">
        <v>2597049</v>
      </c>
      <c r="F600" s="6">
        <v>96998</v>
      </c>
      <c r="G600" s="6">
        <v>7777</v>
      </c>
      <c r="H600" s="6">
        <v>5463</v>
      </c>
      <c r="I600" s="6">
        <v>300195</v>
      </c>
      <c r="J600" s="6">
        <v>1231360</v>
      </c>
      <c r="K600" s="6">
        <v>775</v>
      </c>
      <c r="L600" s="6"/>
      <c r="M600" s="6">
        <v>7309</v>
      </c>
      <c r="N600" s="6">
        <v>28109</v>
      </c>
      <c r="O600" s="6">
        <v>28109</v>
      </c>
      <c r="P600" s="6">
        <v>0</v>
      </c>
      <c r="Q600" s="6">
        <v>56217</v>
      </c>
    </row>
    <row r="601" spans="1:17" x14ac:dyDescent="0.35">
      <c r="A601" s="1">
        <v>41773</v>
      </c>
      <c r="B601" s="6">
        <v>4280343</v>
      </c>
      <c r="C601" s="6">
        <v>2746648</v>
      </c>
      <c r="D601" s="6">
        <v>0</v>
      </c>
      <c r="E601" s="6">
        <v>2647633</v>
      </c>
      <c r="F601" s="6">
        <v>62954</v>
      </c>
      <c r="G601" s="6">
        <v>7777</v>
      </c>
      <c r="H601" s="6">
        <v>28284</v>
      </c>
      <c r="I601" s="6">
        <v>293672</v>
      </c>
      <c r="J601" s="6">
        <v>1232057</v>
      </c>
      <c r="K601" s="6">
        <v>747</v>
      </c>
      <c r="L601" s="6"/>
      <c r="M601" s="6">
        <v>7220</v>
      </c>
      <c r="N601" s="6">
        <v>28153</v>
      </c>
      <c r="O601" s="6">
        <v>28153</v>
      </c>
      <c r="P601" s="6">
        <v>0</v>
      </c>
      <c r="Q601" s="6">
        <v>56305</v>
      </c>
    </row>
    <row r="602" spans="1:17" x14ac:dyDescent="0.35">
      <c r="A602" s="1">
        <v>41780</v>
      </c>
      <c r="B602" s="6">
        <v>4271217</v>
      </c>
      <c r="C602" s="6">
        <v>2705237</v>
      </c>
      <c r="D602" s="6">
        <v>0</v>
      </c>
      <c r="E602" s="6">
        <v>2658133</v>
      </c>
      <c r="F602" s="6">
        <v>31128</v>
      </c>
      <c r="G602" s="6">
        <v>7777</v>
      </c>
      <c r="H602" s="6">
        <v>8198</v>
      </c>
      <c r="I602" s="6">
        <v>324701</v>
      </c>
      <c r="J602" s="6">
        <v>1233591</v>
      </c>
      <c r="K602" s="6">
        <v>653</v>
      </c>
      <c r="L602" s="6"/>
      <c r="M602" s="6">
        <v>7036</v>
      </c>
      <c r="N602" s="6">
        <v>28172</v>
      </c>
      <c r="O602" s="6">
        <v>28172</v>
      </c>
      <c r="P602" s="6">
        <v>0</v>
      </c>
      <c r="Q602" s="6">
        <v>56343</v>
      </c>
    </row>
    <row r="603" spans="1:17" x14ac:dyDescent="0.35">
      <c r="A603" s="1">
        <v>41787</v>
      </c>
      <c r="B603" s="6">
        <v>4266313</v>
      </c>
      <c r="C603" s="6">
        <v>2742018</v>
      </c>
      <c r="D603" s="6">
        <v>27575</v>
      </c>
      <c r="E603" s="6">
        <v>2677298</v>
      </c>
      <c r="F603" s="6">
        <v>22950</v>
      </c>
      <c r="G603" s="6">
        <v>7788</v>
      </c>
      <c r="H603" s="6">
        <v>6406</v>
      </c>
      <c r="I603" s="6">
        <v>278205</v>
      </c>
      <c r="J603" s="6">
        <v>1237978</v>
      </c>
      <c r="K603" s="6">
        <v>951</v>
      </c>
      <c r="L603" s="6"/>
      <c r="M603" s="6">
        <v>7162</v>
      </c>
      <c r="N603" s="6">
        <v>28171</v>
      </c>
      <c r="O603" s="6">
        <v>28171</v>
      </c>
      <c r="P603" s="6">
        <v>0</v>
      </c>
      <c r="Q603" s="6">
        <v>56342</v>
      </c>
    </row>
    <row r="604" spans="1:17" x14ac:dyDescent="0.35">
      <c r="A604" s="1">
        <v>41794</v>
      </c>
      <c r="B604" s="6">
        <v>4274604</v>
      </c>
      <c r="C604" s="6">
        <v>2796824</v>
      </c>
      <c r="D604" s="6">
        <v>42904</v>
      </c>
      <c r="E604" s="6">
        <v>2708064</v>
      </c>
      <c r="F604" s="6">
        <v>31902</v>
      </c>
      <c r="G604" s="6">
        <v>7779</v>
      </c>
      <c r="H604" s="6">
        <v>6175</v>
      </c>
      <c r="I604" s="6">
        <v>232954</v>
      </c>
      <c r="J604" s="6">
        <v>1237058</v>
      </c>
      <c r="K604" s="6">
        <v>814</v>
      </c>
      <c r="L604" s="6"/>
      <c r="M604" s="6">
        <v>6954</v>
      </c>
      <c r="N604" s="6">
        <v>28156</v>
      </c>
      <c r="O604" s="6">
        <v>28156</v>
      </c>
      <c r="P604" s="6">
        <v>0</v>
      </c>
      <c r="Q604" s="6">
        <v>56313</v>
      </c>
    </row>
    <row r="605" spans="1:17" x14ac:dyDescent="0.35">
      <c r="A605" s="1">
        <v>41801</v>
      </c>
      <c r="B605" s="6">
        <v>4284593</v>
      </c>
      <c r="C605" s="6">
        <v>2827218</v>
      </c>
      <c r="D605" s="6">
        <v>59102</v>
      </c>
      <c r="E605" s="6">
        <v>2709242</v>
      </c>
      <c r="F605" s="6">
        <v>42420</v>
      </c>
      <c r="G605" s="6">
        <v>5946</v>
      </c>
      <c r="H605" s="6">
        <v>10508</v>
      </c>
      <c r="I605" s="6">
        <v>213136</v>
      </c>
      <c r="J605" s="6">
        <v>1236061</v>
      </c>
      <c r="K605" s="6">
        <v>698</v>
      </c>
      <c r="L605" s="6"/>
      <c r="M605" s="6">
        <v>7481</v>
      </c>
      <c r="N605" s="6">
        <v>28155</v>
      </c>
      <c r="O605" s="6">
        <v>28155</v>
      </c>
      <c r="P605" s="6">
        <v>0</v>
      </c>
      <c r="Q605" s="6">
        <v>56310</v>
      </c>
    </row>
    <row r="606" spans="1:17" x14ac:dyDescent="0.35">
      <c r="A606" s="1">
        <v>41808</v>
      </c>
      <c r="B606" s="6">
        <v>4311856</v>
      </c>
      <c r="C606" s="6">
        <v>2876908</v>
      </c>
      <c r="D606" s="6">
        <v>77769</v>
      </c>
      <c r="E606" s="6">
        <v>2637585</v>
      </c>
      <c r="F606" s="6">
        <v>147619</v>
      </c>
      <c r="G606" s="6">
        <v>5951</v>
      </c>
      <c r="H606" s="6">
        <v>7984</v>
      </c>
      <c r="I606" s="6">
        <v>191425</v>
      </c>
      <c r="J606" s="6">
        <v>1235772</v>
      </c>
      <c r="K606" s="6">
        <v>727</v>
      </c>
      <c r="L606" s="6"/>
      <c r="M606" s="6">
        <v>7024</v>
      </c>
      <c r="N606" s="6">
        <v>28156</v>
      </c>
      <c r="O606" s="6">
        <v>28156</v>
      </c>
      <c r="P606" s="6">
        <v>0</v>
      </c>
      <c r="Q606" s="6">
        <v>56312</v>
      </c>
    </row>
    <row r="607" spans="1:17" x14ac:dyDescent="0.35">
      <c r="A607" s="1">
        <v>41815</v>
      </c>
      <c r="B607" s="6">
        <v>4312026</v>
      </c>
      <c r="C607" s="6">
        <v>2845413</v>
      </c>
      <c r="D607" s="6">
        <v>92690</v>
      </c>
      <c r="E607" s="6">
        <v>2628060</v>
      </c>
      <c r="F607" s="6">
        <v>108064</v>
      </c>
      <c r="G607" s="6">
        <v>5952</v>
      </c>
      <c r="H607" s="6">
        <v>10648</v>
      </c>
      <c r="I607" s="6">
        <v>222743</v>
      </c>
      <c r="J607" s="6">
        <v>1236205</v>
      </c>
      <c r="K607" s="6">
        <v>591</v>
      </c>
      <c r="L607" s="6"/>
      <c r="M607" s="6">
        <v>7074</v>
      </c>
      <c r="N607" s="6">
        <v>28161</v>
      </c>
      <c r="O607" s="6">
        <v>28161</v>
      </c>
      <c r="P607" s="6">
        <v>0</v>
      </c>
      <c r="Q607" s="6">
        <v>56321</v>
      </c>
    </row>
    <row r="608" spans="1:17" x14ac:dyDescent="0.35">
      <c r="A608" s="1">
        <v>41822</v>
      </c>
      <c r="B608" s="6">
        <v>4320713</v>
      </c>
      <c r="C608" s="6">
        <v>2811615</v>
      </c>
      <c r="D608" s="6">
        <v>92420</v>
      </c>
      <c r="E608" s="6">
        <v>2604780</v>
      </c>
      <c r="F608" s="6">
        <v>101085</v>
      </c>
      <c r="G608" s="6">
        <v>5941</v>
      </c>
      <c r="H608" s="6">
        <v>7389</v>
      </c>
      <c r="I608" s="6">
        <v>258122</v>
      </c>
      <c r="J608" s="6">
        <v>1243667</v>
      </c>
      <c r="K608" s="6">
        <v>787</v>
      </c>
      <c r="L608" s="6"/>
      <c r="M608" s="6">
        <v>6522</v>
      </c>
      <c r="N608" s="6">
        <v>28159</v>
      </c>
      <c r="O608" s="6">
        <v>28159</v>
      </c>
      <c r="P608" s="6">
        <v>0</v>
      </c>
      <c r="Q608" s="6">
        <v>56318</v>
      </c>
    </row>
    <row r="609" spans="1:17" x14ac:dyDescent="0.35">
      <c r="A609" s="1">
        <v>41829</v>
      </c>
      <c r="B609" s="6">
        <v>4327083</v>
      </c>
      <c r="C609" s="6">
        <v>2827188</v>
      </c>
      <c r="D609" s="6">
        <v>124887</v>
      </c>
      <c r="E609" s="6">
        <v>2633053</v>
      </c>
      <c r="F609" s="6">
        <v>56503</v>
      </c>
      <c r="G609" s="6">
        <v>5866</v>
      </c>
      <c r="H609" s="6">
        <v>6878</v>
      </c>
      <c r="I609" s="6">
        <v>248252</v>
      </c>
      <c r="J609" s="6">
        <v>1244205</v>
      </c>
      <c r="K609" s="6">
        <v>749</v>
      </c>
      <c r="L609" s="6"/>
      <c r="M609" s="6">
        <v>6689</v>
      </c>
      <c r="N609" s="6">
        <v>28159</v>
      </c>
      <c r="O609" s="6">
        <v>28159</v>
      </c>
      <c r="P609" s="6">
        <v>0</v>
      </c>
      <c r="Q609" s="6">
        <v>56319</v>
      </c>
    </row>
    <row r="610" spans="1:17" x14ac:dyDescent="0.35">
      <c r="A610" s="1">
        <v>41836</v>
      </c>
      <c r="B610" s="6">
        <v>4341880</v>
      </c>
      <c r="C610" s="6">
        <v>2884172</v>
      </c>
      <c r="D610" s="6">
        <v>152795</v>
      </c>
      <c r="E610" s="6">
        <v>2654218</v>
      </c>
      <c r="F610" s="6">
        <v>63737</v>
      </c>
      <c r="G610" s="6">
        <v>6566</v>
      </c>
      <c r="H610" s="6">
        <v>6856</v>
      </c>
      <c r="I610" s="6">
        <v>209476</v>
      </c>
      <c r="J610" s="6">
        <v>1241287</v>
      </c>
      <c r="K610" s="6">
        <v>689</v>
      </c>
      <c r="L610" s="6"/>
      <c r="M610" s="6">
        <v>6256</v>
      </c>
      <c r="N610" s="6">
        <v>28161</v>
      </c>
      <c r="O610" s="6">
        <v>28161</v>
      </c>
      <c r="P610" s="6">
        <v>0</v>
      </c>
      <c r="Q610" s="6">
        <v>56321</v>
      </c>
    </row>
    <row r="611" spans="1:17" x14ac:dyDescent="0.35">
      <c r="A611" s="1">
        <v>41843</v>
      </c>
      <c r="B611" s="6">
        <v>4354425</v>
      </c>
      <c r="C611" s="6">
        <v>2865359</v>
      </c>
      <c r="D611" s="6">
        <v>0</v>
      </c>
      <c r="E611" s="6">
        <v>2787997</v>
      </c>
      <c r="F611" s="6">
        <v>55807</v>
      </c>
      <c r="G611" s="6">
        <v>6564</v>
      </c>
      <c r="H611" s="6">
        <v>14991</v>
      </c>
      <c r="I611" s="6">
        <v>241689</v>
      </c>
      <c r="J611" s="6">
        <v>1240227</v>
      </c>
      <c r="K611" s="6">
        <v>615</v>
      </c>
      <c r="L611" s="6"/>
      <c r="M611" s="6">
        <v>6535</v>
      </c>
      <c r="N611" s="6">
        <v>28161</v>
      </c>
      <c r="O611" s="6">
        <v>28161</v>
      </c>
      <c r="P611" s="6">
        <v>0</v>
      </c>
      <c r="Q611" s="6">
        <v>56321</v>
      </c>
    </row>
    <row r="612" spans="1:17" x14ac:dyDescent="0.35">
      <c r="A612" s="1">
        <v>41850</v>
      </c>
      <c r="B612" s="6">
        <v>4350311</v>
      </c>
      <c r="C612" s="6">
        <v>2872881</v>
      </c>
      <c r="D612" s="6">
        <v>0</v>
      </c>
      <c r="E612" s="6">
        <v>2785798</v>
      </c>
      <c r="F612" s="6">
        <v>70123</v>
      </c>
      <c r="G612" s="6">
        <v>6565</v>
      </c>
      <c r="H612" s="6">
        <v>10395</v>
      </c>
      <c r="I612" s="6">
        <v>228730</v>
      </c>
      <c r="J612" s="6">
        <v>1241974</v>
      </c>
      <c r="K612" s="6">
        <v>639</v>
      </c>
      <c r="L612" s="6"/>
      <c r="M612" s="6">
        <v>6087</v>
      </c>
      <c r="N612" s="6">
        <v>28163</v>
      </c>
      <c r="O612" s="6">
        <v>28163</v>
      </c>
      <c r="P612" s="6">
        <v>0</v>
      </c>
      <c r="Q612" s="6">
        <v>56326</v>
      </c>
    </row>
    <row r="613" spans="1:17" x14ac:dyDescent="0.35">
      <c r="A613" s="1">
        <v>41857</v>
      </c>
      <c r="B613" s="6">
        <v>4353800</v>
      </c>
      <c r="C613" s="6">
        <v>2872425</v>
      </c>
      <c r="D613" s="6">
        <v>0</v>
      </c>
      <c r="E613" s="6">
        <v>2789406</v>
      </c>
      <c r="F613" s="6">
        <v>69324</v>
      </c>
      <c r="G613" s="6">
        <v>6565</v>
      </c>
      <c r="H613" s="6">
        <v>7130</v>
      </c>
      <c r="I613" s="6">
        <v>229393</v>
      </c>
      <c r="J613" s="6">
        <v>1244467</v>
      </c>
      <c r="K613" s="6">
        <v>851</v>
      </c>
      <c r="L613" s="6"/>
      <c r="M613" s="6">
        <v>6664</v>
      </c>
      <c r="N613" s="6">
        <v>28155</v>
      </c>
      <c r="O613" s="6">
        <v>28155</v>
      </c>
      <c r="P613" s="6">
        <v>0</v>
      </c>
      <c r="Q613" s="6">
        <v>56311</v>
      </c>
    </row>
    <row r="614" spans="1:17" x14ac:dyDescent="0.35">
      <c r="A614" s="1">
        <v>41864</v>
      </c>
      <c r="B614" s="6">
        <v>4375588</v>
      </c>
      <c r="C614" s="6">
        <v>2889100</v>
      </c>
      <c r="D614" s="6">
        <v>0</v>
      </c>
      <c r="E614" s="6">
        <v>2799350</v>
      </c>
      <c r="F614" s="6">
        <v>68670</v>
      </c>
      <c r="G614" s="6">
        <v>6566</v>
      </c>
      <c r="H614" s="6">
        <v>14515</v>
      </c>
      <c r="I614" s="6">
        <v>233606</v>
      </c>
      <c r="J614" s="6">
        <v>1244873</v>
      </c>
      <c r="K614" s="6">
        <v>664</v>
      </c>
      <c r="L614" s="6"/>
      <c r="M614" s="6">
        <v>7345</v>
      </c>
      <c r="N614" s="6">
        <v>28168</v>
      </c>
      <c r="O614" s="6">
        <v>28168</v>
      </c>
      <c r="P614" s="6">
        <v>0</v>
      </c>
      <c r="Q614" s="6">
        <v>56335</v>
      </c>
    </row>
    <row r="615" spans="1:17" x14ac:dyDescent="0.35">
      <c r="A615" s="1">
        <v>41871</v>
      </c>
      <c r="B615" s="6">
        <v>4356567</v>
      </c>
      <c r="C615" s="6">
        <v>2837007</v>
      </c>
      <c r="D615" s="6">
        <v>0</v>
      </c>
      <c r="E615" s="6">
        <v>2769843</v>
      </c>
      <c r="F615" s="6">
        <v>32225</v>
      </c>
      <c r="G615" s="6">
        <v>6566</v>
      </c>
      <c r="H615" s="6">
        <v>28373</v>
      </c>
      <c r="I615" s="6">
        <v>268591</v>
      </c>
      <c r="J615" s="6">
        <v>1243749</v>
      </c>
      <c r="K615" s="6">
        <v>616</v>
      </c>
      <c r="L615" s="6"/>
      <c r="M615" s="6">
        <v>6604</v>
      </c>
      <c r="N615" s="6">
        <v>28178</v>
      </c>
      <c r="O615" s="6">
        <v>28178</v>
      </c>
      <c r="P615" s="6">
        <v>0</v>
      </c>
      <c r="Q615" s="6">
        <v>56357</v>
      </c>
    </row>
    <row r="616" spans="1:17" x14ac:dyDescent="0.35">
      <c r="A616" s="1">
        <v>41878</v>
      </c>
      <c r="B616" s="6">
        <v>4357417</v>
      </c>
      <c r="C616" s="6">
        <v>2821916</v>
      </c>
      <c r="D616" s="6">
        <v>0</v>
      </c>
      <c r="E616" s="6">
        <v>2778394</v>
      </c>
      <c r="F616" s="6">
        <v>29547</v>
      </c>
      <c r="G616" s="6">
        <v>6564</v>
      </c>
      <c r="H616" s="6">
        <v>7411</v>
      </c>
      <c r="I616" s="6">
        <v>282002</v>
      </c>
      <c r="J616" s="6">
        <v>1246222</v>
      </c>
      <c r="K616" s="6">
        <v>639</v>
      </c>
      <c r="L616" s="6"/>
      <c r="M616" s="6">
        <v>6638</v>
      </c>
      <c r="N616" s="6">
        <v>28160</v>
      </c>
      <c r="O616" s="6">
        <v>28160</v>
      </c>
      <c r="P616" s="6">
        <v>0</v>
      </c>
      <c r="Q616" s="6">
        <v>56319</v>
      </c>
    </row>
    <row r="617" spans="1:17" x14ac:dyDescent="0.35">
      <c r="A617" s="1">
        <v>41885</v>
      </c>
      <c r="B617" s="6">
        <v>4359250</v>
      </c>
      <c r="C617" s="6">
        <v>2850684</v>
      </c>
      <c r="D617" s="6">
        <v>0</v>
      </c>
      <c r="E617" s="6">
        <v>2813753</v>
      </c>
      <c r="F617" s="6">
        <v>21036</v>
      </c>
      <c r="G617" s="6">
        <v>6567</v>
      </c>
      <c r="H617" s="6">
        <v>9328</v>
      </c>
      <c r="I617" s="6">
        <v>250306</v>
      </c>
      <c r="J617" s="6">
        <v>1250066</v>
      </c>
      <c r="K617" s="6">
        <v>1203</v>
      </c>
      <c r="L617" s="6"/>
      <c r="M617" s="6">
        <v>6992</v>
      </c>
      <c r="N617" s="6">
        <v>28168</v>
      </c>
      <c r="O617" s="6">
        <v>28168</v>
      </c>
      <c r="P617" s="6">
        <v>0</v>
      </c>
      <c r="Q617" s="6">
        <v>56337</v>
      </c>
    </row>
    <row r="618" spans="1:17" x14ac:dyDescent="0.35">
      <c r="A618" s="1">
        <v>41892</v>
      </c>
      <c r="B618" s="6">
        <v>4365067</v>
      </c>
      <c r="C618" s="6">
        <v>2842072</v>
      </c>
      <c r="D618" s="6">
        <v>0</v>
      </c>
      <c r="E618" s="6">
        <v>2788954</v>
      </c>
      <c r="F618" s="6">
        <v>31872</v>
      </c>
      <c r="G618" s="6">
        <v>5241</v>
      </c>
      <c r="H618" s="6">
        <v>16004</v>
      </c>
      <c r="I618" s="6">
        <v>267602</v>
      </c>
      <c r="J618" s="6">
        <v>1247980</v>
      </c>
      <c r="K618" s="6">
        <v>721</v>
      </c>
      <c r="L618" s="6"/>
      <c r="M618" s="6">
        <v>6693</v>
      </c>
      <c r="N618" s="6">
        <v>28170</v>
      </c>
      <c r="O618" s="6">
        <v>28170</v>
      </c>
      <c r="P618" s="6">
        <v>0</v>
      </c>
      <c r="Q618" s="6">
        <v>56341</v>
      </c>
    </row>
    <row r="619" spans="1:17" x14ac:dyDescent="0.35">
      <c r="A619" s="1">
        <v>41899</v>
      </c>
      <c r="B619" s="6">
        <v>4393241</v>
      </c>
      <c r="C619" s="6">
        <v>2888799</v>
      </c>
      <c r="D619" s="6">
        <v>0</v>
      </c>
      <c r="E619" s="6">
        <v>2751908</v>
      </c>
      <c r="F619" s="6">
        <v>123965</v>
      </c>
      <c r="G619" s="6">
        <v>5244</v>
      </c>
      <c r="H619" s="6">
        <v>7682</v>
      </c>
      <c r="I619" s="6">
        <v>252224</v>
      </c>
      <c r="J619" s="6">
        <v>1244959</v>
      </c>
      <c r="K619" s="6">
        <v>652</v>
      </c>
      <c r="L619" s="6"/>
      <c r="M619" s="6">
        <v>6607</v>
      </c>
      <c r="N619" s="6">
        <v>28173</v>
      </c>
      <c r="O619" s="6">
        <v>28173</v>
      </c>
      <c r="P619" s="6">
        <v>0</v>
      </c>
      <c r="Q619" s="6">
        <v>56347</v>
      </c>
    </row>
    <row r="620" spans="1:17" x14ac:dyDescent="0.35">
      <c r="A620" s="1">
        <v>41906</v>
      </c>
      <c r="B620" s="6">
        <v>4402681</v>
      </c>
      <c r="C620" s="6">
        <v>2888956</v>
      </c>
      <c r="D620" s="6">
        <v>0</v>
      </c>
      <c r="E620" s="6">
        <v>2707185</v>
      </c>
      <c r="F620" s="6">
        <v>118905</v>
      </c>
      <c r="G620" s="6">
        <v>5243</v>
      </c>
      <c r="H620" s="6">
        <v>57623</v>
      </c>
      <c r="I620" s="6">
        <v>261724</v>
      </c>
      <c r="J620" s="6">
        <v>1245118</v>
      </c>
      <c r="K620" s="6">
        <v>652</v>
      </c>
      <c r="L620" s="6"/>
      <c r="M620" s="6">
        <v>6232</v>
      </c>
      <c r="N620" s="6">
        <v>28185</v>
      </c>
      <c r="O620" s="6">
        <v>28185</v>
      </c>
      <c r="P620" s="6">
        <v>0</v>
      </c>
      <c r="Q620" s="6">
        <v>56370</v>
      </c>
    </row>
    <row r="621" spans="1:17" x14ac:dyDescent="0.35">
      <c r="A621" s="1">
        <v>41913</v>
      </c>
      <c r="B621" s="6">
        <v>4393880</v>
      </c>
      <c r="C621" s="6">
        <v>2828684</v>
      </c>
      <c r="D621" s="6">
        <v>0</v>
      </c>
      <c r="E621" s="6">
        <v>2685947</v>
      </c>
      <c r="F621" s="6">
        <v>126568</v>
      </c>
      <c r="G621" s="6">
        <v>5247</v>
      </c>
      <c r="H621" s="6">
        <v>10922</v>
      </c>
      <c r="I621" s="6">
        <v>311292</v>
      </c>
      <c r="J621" s="6">
        <v>1246841</v>
      </c>
      <c r="K621" s="6">
        <v>701</v>
      </c>
      <c r="L621" s="6"/>
      <c r="M621" s="6">
        <v>6363</v>
      </c>
      <c r="N621" s="6">
        <v>28190</v>
      </c>
      <c r="O621" s="6">
        <v>28190</v>
      </c>
      <c r="P621" s="6">
        <v>0</v>
      </c>
      <c r="Q621" s="6">
        <v>56380</v>
      </c>
    </row>
    <row r="622" spans="1:17" x14ac:dyDescent="0.35">
      <c r="A622" s="1">
        <v>41920</v>
      </c>
      <c r="B622" s="6">
        <v>4399005</v>
      </c>
      <c r="C622" s="6">
        <v>2863865</v>
      </c>
      <c r="D622" s="6">
        <v>0</v>
      </c>
      <c r="E622" s="6">
        <v>2765616</v>
      </c>
      <c r="F622" s="6">
        <v>85309</v>
      </c>
      <c r="G622" s="6">
        <v>5243</v>
      </c>
      <c r="H622" s="6">
        <v>7697</v>
      </c>
      <c r="I622" s="6">
        <v>277866</v>
      </c>
      <c r="J622" s="6">
        <v>1249645</v>
      </c>
      <c r="K622" s="6">
        <v>692</v>
      </c>
      <c r="L622" s="6"/>
      <c r="M622" s="6">
        <v>6938</v>
      </c>
      <c r="N622" s="6">
        <v>28199</v>
      </c>
      <c r="O622" s="6">
        <v>28199</v>
      </c>
      <c r="P622" s="6">
        <v>0</v>
      </c>
      <c r="Q622" s="6">
        <v>56398</v>
      </c>
    </row>
    <row r="623" spans="1:17" x14ac:dyDescent="0.35">
      <c r="A623" s="1">
        <v>41927</v>
      </c>
      <c r="B623" s="6">
        <v>4417934</v>
      </c>
      <c r="C623" s="6">
        <v>2935548</v>
      </c>
      <c r="D623" s="6">
        <v>0</v>
      </c>
      <c r="E623" s="6">
        <v>2820736</v>
      </c>
      <c r="F623" s="6">
        <v>101413</v>
      </c>
      <c r="G623" s="6">
        <v>5242</v>
      </c>
      <c r="H623" s="6">
        <v>8156</v>
      </c>
      <c r="I623" s="6">
        <v>221149</v>
      </c>
      <c r="J623" s="6">
        <v>1252216</v>
      </c>
      <c r="K623" s="6">
        <v>1057</v>
      </c>
      <c r="L623" s="6"/>
      <c r="M623" s="6">
        <v>7965</v>
      </c>
      <c r="N623" s="6">
        <v>28213</v>
      </c>
      <c r="O623" s="6">
        <v>28213</v>
      </c>
      <c r="P623" s="6">
        <v>0</v>
      </c>
      <c r="Q623" s="6">
        <v>56425</v>
      </c>
    </row>
    <row r="624" spans="1:17" x14ac:dyDescent="0.35">
      <c r="A624" s="1">
        <v>41934</v>
      </c>
      <c r="B624" s="6">
        <v>4425159</v>
      </c>
      <c r="C624" s="6">
        <v>2928938</v>
      </c>
      <c r="D624" s="6">
        <v>110029</v>
      </c>
      <c r="E624" s="6">
        <v>2679606</v>
      </c>
      <c r="F624" s="6">
        <v>124596</v>
      </c>
      <c r="G624" s="6">
        <v>5248</v>
      </c>
      <c r="H624" s="6">
        <v>9458</v>
      </c>
      <c r="I624" s="6">
        <v>235916</v>
      </c>
      <c r="J624" s="6">
        <v>1252921</v>
      </c>
      <c r="K624" s="6">
        <v>619</v>
      </c>
      <c r="L624" s="6"/>
      <c r="M624" s="6">
        <v>6766</v>
      </c>
      <c r="N624" s="6">
        <v>28228</v>
      </c>
      <c r="O624" s="6">
        <v>28228</v>
      </c>
      <c r="P624" s="6">
        <v>0</v>
      </c>
      <c r="Q624" s="6">
        <v>56457</v>
      </c>
    </row>
    <row r="625" spans="1:17" x14ac:dyDescent="0.35">
      <c r="A625" s="1">
        <v>41941</v>
      </c>
      <c r="B625" s="6">
        <v>4430297</v>
      </c>
      <c r="C625" s="6">
        <v>2931303</v>
      </c>
      <c r="D625" s="6">
        <v>171860</v>
      </c>
      <c r="E625" s="6">
        <v>2627273</v>
      </c>
      <c r="F625" s="6">
        <v>118660</v>
      </c>
      <c r="G625" s="6">
        <v>5253</v>
      </c>
      <c r="H625" s="6">
        <v>8257</v>
      </c>
      <c r="I625" s="6">
        <v>236689</v>
      </c>
      <c r="J625" s="6">
        <v>1255070</v>
      </c>
      <c r="K625" s="6">
        <v>618</v>
      </c>
      <c r="L625" s="6"/>
      <c r="M625" s="6">
        <v>6618</v>
      </c>
      <c r="N625" s="6">
        <v>28228</v>
      </c>
      <c r="O625" s="6">
        <v>28228</v>
      </c>
      <c r="P625" s="6">
        <v>0</v>
      </c>
      <c r="Q625" s="6">
        <v>56457</v>
      </c>
    </row>
    <row r="626" spans="1:17" x14ac:dyDescent="0.35">
      <c r="A626" s="1">
        <v>41948</v>
      </c>
      <c r="B626" s="6">
        <v>4430104</v>
      </c>
      <c r="C626" s="6">
        <v>2935861</v>
      </c>
      <c r="D626" s="6">
        <v>219144</v>
      </c>
      <c r="E626" s="6">
        <v>2600218</v>
      </c>
      <c r="F626" s="6">
        <v>104204</v>
      </c>
      <c r="G626" s="6">
        <v>5248</v>
      </c>
      <c r="H626" s="6">
        <v>7047</v>
      </c>
      <c r="I626" s="6">
        <v>224595</v>
      </c>
      <c r="J626" s="6">
        <v>1262986</v>
      </c>
      <c r="K626" s="6">
        <v>783</v>
      </c>
      <c r="L626" s="6"/>
      <c r="M626" s="6">
        <v>5880</v>
      </c>
      <c r="N626" s="6">
        <v>28240</v>
      </c>
      <c r="O626" s="6">
        <v>28240</v>
      </c>
      <c r="P626" s="6">
        <v>0</v>
      </c>
      <c r="Q626" s="6">
        <v>56481</v>
      </c>
    </row>
    <row r="627" spans="1:17" x14ac:dyDescent="0.35">
      <c r="A627" s="1">
        <v>41955</v>
      </c>
      <c r="B627" s="6">
        <v>4432396</v>
      </c>
      <c r="C627" s="6">
        <v>2943847</v>
      </c>
      <c r="D627" s="6">
        <v>262102</v>
      </c>
      <c r="E627" s="6">
        <v>2570696</v>
      </c>
      <c r="F627" s="6">
        <v>95008</v>
      </c>
      <c r="G627" s="6">
        <v>5249</v>
      </c>
      <c r="H627" s="6">
        <v>10792</v>
      </c>
      <c r="I627" s="6">
        <v>211570</v>
      </c>
      <c r="J627" s="6">
        <v>1268945</v>
      </c>
      <c r="K627" s="6">
        <v>1181</v>
      </c>
      <c r="L627" s="6"/>
      <c r="M627" s="6">
        <v>6854</v>
      </c>
      <c r="N627" s="6">
        <v>28250</v>
      </c>
      <c r="O627" s="6">
        <v>28250</v>
      </c>
      <c r="P627" s="6">
        <v>0</v>
      </c>
      <c r="Q627" s="6">
        <v>56499</v>
      </c>
    </row>
    <row r="628" spans="1:17" x14ac:dyDescent="0.35">
      <c r="A628" s="1">
        <v>41962</v>
      </c>
      <c r="B628" s="6">
        <v>4436193</v>
      </c>
      <c r="C628" s="6">
        <v>2894338</v>
      </c>
      <c r="D628" s="6">
        <v>307723</v>
      </c>
      <c r="E628" s="6">
        <v>2486314</v>
      </c>
      <c r="F628" s="6">
        <v>79634</v>
      </c>
      <c r="G628" s="6">
        <v>5304</v>
      </c>
      <c r="H628" s="6">
        <v>15363</v>
      </c>
      <c r="I628" s="6">
        <v>267000</v>
      </c>
      <c r="J628" s="6">
        <v>1267712</v>
      </c>
      <c r="K628" s="6">
        <v>678</v>
      </c>
      <c r="L628" s="6"/>
      <c r="M628" s="6">
        <v>6466</v>
      </c>
      <c r="N628" s="6">
        <v>28283</v>
      </c>
      <c r="O628" s="6">
        <v>28283</v>
      </c>
      <c r="P628" s="6">
        <v>0</v>
      </c>
      <c r="Q628" s="6">
        <v>56566</v>
      </c>
    </row>
    <row r="629" spans="1:17" x14ac:dyDescent="0.35">
      <c r="A629" s="1">
        <v>41969</v>
      </c>
      <c r="B629" s="6">
        <v>4429346</v>
      </c>
      <c r="C629" s="6">
        <v>2897384</v>
      </c>
      <c r="D629" s="6">
        <v>334714</v>
      </c>
      <c r="E629" s="6">
        <v>2479295</v>
      </c>
      <c r="F629" s="6">
        <v>71901</v>
      </c>
      <c r="G629" s="6">
        <v>5250</v>
      </c>
      <c r="H629" s="6">
        <v>6224</v>
      </c>
      <c r="I629" s="6">
        <v>251473</v>
      </c>
      <c r="J629" s="6">
        <v>1273194</v>
      </c>
      <c r="K629" s="6">
        <v>735</v>
      </c>
      <c r="L629" s="6"/>
      <c r="M629" s="6">
        <v>6561</v>
      </c>
      <c r="N629" s="6">
        <v>28292</v>
      </c>
      <c r="O629" s="6">
        <v>28292</v>
      </c>
      <c r="P629" s="6">
        <v>0</v>
      </c>
      <c r="Q629" s="6">
        <v>56585</v>
      </c>
    </row>
    <row r="630" spans="1:17" x14ac:dyDescent="0.35">
      <c r="A630" s="1">
        <v>41976</v>
      </c>
      <c r="B630" s="6">
        <v>4429604</v>
      </c>
      <c r="C630" s="6">
        <v>2886762</v>
      </c>
      <c r="D630" s="6">
        <v>334714</v>
      </c>
      <c r="E630" s="6">
        <v>2479454</v>
      </c>
      <c r="F630" s="6">
        <v>57606</v>
      </c>
      <c r="G630" s="6">
        <v>5249</v>
      </c>
      <c r="H630" s="6">
        <v>9739</v>
      </c>
      <c r="I630" s="6">
        <v>261881</v>
      </c>
      <c r="J630" s="6">
        <v>1274486</v>
      </c>
      <c r="K630" s="6">
        <v>733</v>
      </c>
      <c r="L630" s="6"/>
      <c r="M630" s="6">
        <v>5742</v>
      </c>
      <c r="N630" s="6">
        <v>28293</v>
      </c>
      <c r="O630" s="6">
        <v>28293</v>
      </c>
      <c r="P630" s="6">
        <v>0</v>
      </c>
      <c r="Q630" s="6">
        <v>56587</v>
      </c>
    </row>
    <row r="631" spans="1:17" x14ac:dyDescent="0.35">
      <c r="A631" s="1">
        <v>41983</v>
      </c>
      <c r="B631" s="6">
        <v>4431770</v>
      </c>
      <c r="C631" s="6">
        <v>2899469</v>
      </c>
      <c r="D631" s="6">
        <v>402153</v>
      </c>
      <c r="E631" s="6">
        <v>2428934</v>
      </c>
      <c r="F631" s="6">
        <v>48807</v>
      </c>
      <c r="G631" s="6">
        <v>5252</v>
      </c>
      <c r="H631" s="6">
        <v>14323</v>
      </c>
      <c r="I631" s="6">
        <v>247353</v>
      </c>
      <c r="J631" s="6">
        <v>1277416</v>
      </c>
      <c r="K631" s="6">
        <v>623</v>
      </c>
      <c r="L631" s="6"/>
      <c r="M631" s="6">
        <v>6909</v>
      </c>
      <c r="N631" s="6">
        <v>28548</v>
      </c>
      <c r="O631" s="6">
        <v>28548</v>
      </c>
      <c r="P631" s="6">
        <v>0</v>
      </c>
      <c r="Q631" s="6">
        <v>57095</v>
      </c>
    </row>
    <row r="632" spans="1:17" x14ac:dyDescent="0.35">
      <c r="A632" s="1">
        <v>41990</v>
      </c>
      <c r="B632" s="6">
        <v>4445131</v>
      </c>
      <c r="C632" s="6">
        <v>2925476</v>
      </c>
      <c r="D632" s="6">
        <v>0</v>
      </c>
      <c r="E632" s="6">
        <v>2739110</v>
      </c>
      <c r="F632" s="6">
        <v>171314</v>
      </c>
      <c r="G632" s="6">
        <v>5206</v>
      </c>
      <c r="H632" s="6">
        <v>9846</v>
      </c>
      <c r="I632" s="6">
        <v>230016</v>
      </c>
      <c r="J632" s="6">
        <v>1282562</v>
      </c>
      <c r="K632" s="6">
        <v>635</v>
      </c>
      <c r="L632" s="6"/>
      <c r="M632" s="6">
        <v>6443</v>
      </c>
      <c r="N632" s="6">
        <v>28558</v>
      </c>
      <c r="O632" s="6">
        <v>28558</v>
      </c>
      <c r="P632" s="6">
        <v>0</v>
      </c>
      <c r="Q632" s="6">
        <v>57116</v>
      </c>
    </row>
    <row r="633" spans="1:17" x14ac:dyDescent="0.35">
      <c r="A633" s="1">
        <v>41997</v>
      </c>
      <c r="B633" s="6">
        <v>4452327</v>
      </c>
      <c r="C633" s="6">
        <v>2852447</v>
      </c>
      <c r="D633" s="6">
        <v>0</v>
      </c>
      <c r="E633" s="6">
        <v>2609635</v>
      </c>
      <c r="F633" s="6">
        <v>177911</v>
      </c>
      <c r="G633" s="6">
        <v>5209</v>
      </c>
      <c r="H633" s="6">
        <v>59692</v>
      </c>
      <c r="I633" s="6">
        <v>298833</v>
      </c>
      <c r="J633" s="6">
        <v>1294247</v>
      </c>
      <c r="K633" s="6">
        <v>658</v>
      </c>
      <c r="L633" s="6"/>
      <c r="M633" s="6">
        <v>6142</v>
      </c>
      <c r="N633" s="6">
        <v>28568</v>
      </c>
      <c r="O633" s="6">
        <v>28568</v>
      </c>
      <c r="P633" s="6">
        <v>0</v>
      </c>
      <c r="Q633" s="6">
        <v>57135</v>
      </c>
    </row>
    <row r="634" spans="1:17" x14ac:dyDescent="0.35">
      <c r="A634" s="1">
        <v>42004</v>
      </c>
      <c r="B634" s="6">
        <v>4440516</v>
      </c>
      <c r="C634" s="6">
        <v>2627009</v>
      </c>
      <c r="D634" s="6">
        <v>0</v>
      </c>
      <c r="E634" s="6">
        <v>2377996</v>
      </c>
      <c r="F634" s="6">
        <v>223452</v>
      </c>
      <c r="G634" s="6">
        <v>5242</v>
      </c>
      <c r="H634" s="6">
        <v>20320</v>
      </c>
      <c r="I634" s="6">
        <v>509837</v>
      </c>
      <c r="J634" s="6">
        <v>1298725</v>
      </c>
      <c r="K634" s="6">
        <v>641</v>
      </c>
      <c r="L634" s="6"/>
      <c r="M634" s="6">
        <v>4304</v>
      </c>
      <c r="N634" s="6">
        <v>28572</v>
      </c>
      <c r="O634" s="6">
        <v>28572</v>
      </c>
      <c r="P634" s="6">
        <v>0</v>
      </c>
      <c r="Q634" s="6">
        <v>57144</v>
      </c>
    </row>
    <row r="635" spans="1:17" x14ac:dyDescent="0.35">
      <c r="A635" s="1">
        <v>42011</v>
      </c>
      <c r="B635" s="6">
        <v>4442376</v>
      </c>
      <c r="C635" s="6">
        <v>2901013</v>
      </c>
      <c r="D635" s="6">
        <v>0</v>
      </c>
      <c r="E635" s="6">
        <v>2710273</v>
      </c>
      <c r="F635" s="6">
        <v>176363</v>
      </c>
      <c r="G635" s="6">
        <v>5211</v>
      </c>
      <c r="H635" s="6">
        <v>9166</v>
      </c>
      <c r="I635" s="6">
        <v>241437</v>
      </c>
      <c r="J635" s="6">
        <v>1293701</v>
      </c>
      <c r="K635" s="6">
        <v>798</v>
      </c>
      <c r="L635" s="6"/>
      <c r="M635" s="6">
        <v>5426</v>
      </c>
      <c r="N635" s="6">
        <v>28574</v>
      </c>
      <c r="O635" s="6">
        <v>28574</v>
      </c>
      <c r="P635" s="6">
        <v>0</v>
      </c>
      <c r="Q635" s="6">
        <v>57148</v>
      </c>
    </row>
    <row r="636" spans="1:17" x14ac:dyDescent="0.35">
      <c r="A636" s="1">
        <v>42018</v>
      </c>
      <c r="B636" s="6">
        <v>4458929</v>
      </c>
      <c r="C636" s="6">
        <v>2959720</v>
      </c>
      <c r="D636" s="6">
        <v>0</v>
      </c>
      <c r="E636" s="6">
        <v>2760384</v>
      </c>
      <c r="F636" s="6">
        <v>159730</v>
      </c>
      <c r="G636" s="6">
        <v>5234</v>
      </c>
      <c r="H636" s="6">
        <v>34371</v>
      </c>
      <c r="I636" s="6">
        <v>203719</v>
      </c>
      <c r="J636" s="6">
        <v>1286580</v>
      </c>
      <c r="K636" s="6">
        <v>596</v>
      </c>
      <c r="L636" s="6"/>
      <c r="M636" s="6">
        <v>8314</v>
      </c>
      <c r="N636" s="6">
        <v>28574</v>
      </c>
      <c r="O636" s="6">
        <v>28574</v>
      </c>
      <c r="P636" s="6">
        <v>0</v>
      </c>
      <c r="Q636" s="6">
        <v>57148</v>
      </c>
    </row>
    <row r="637" spans="1:17" x14ac:dyDescent="0.35">
      <c r="A637" s="1">
        <v>42025</v>
      </c>
      <c r="B637" s="6">
        <v>4455789</v>
      </c>
      <c r="C637" s="6">
        <v>2882153</v>
      </c>
      <c r="D637" s="6">
        <v>0</v>
      </c>
      <c r="E637" s="6">
        <v>2671704</v>
      </c>
      <c r="F637" s="6">
        <v>196231</v>
      </c>
      <c r="G637" s="6">
        <v>5212</v>
      </c>
      <c r="H637" s="6">
        <v>9006</v>
      </c>
      <c r="I637" s="6">
        <v>280314</v>
      </c>
      <c r="J637" s="6">
        <v>1286572</v>
      </c>
      <c r="K637" s="6">
        <v>834</v>
      </c>
      <c r="L637" s="6"/>
      <c r="M637" s="6">
        <v>5917</v>
      </c>
      <c r="N637" s="6">
        <v>28574</v>
      </c>
      <c r="O637" s="6">
        <v>28574</v>
      </c>
      <c r="P637" s="6">
        <v>0</v>
      </c>
      <c r="Q637" s="6">
        <v>57147</v>
      </c>
    </row>
    <row r="638" spans="1:17" x14ac:dyDescent="0.35">
      <c r="A638" s="1">
        <v>42032</v>
      </c>
      <c r="B638" s="6">
        <v>4442917</v>
      </c>
      <c r="C638" s="6">
        <v>2870211</v>
      </c>
      <c r="D638" s="6">
        <v>0</v>
      </c>
      <c r="E638" s="6">
        <v>2662580</v>
      </c>
      <c r="F638" s="6">
        <v>194311</v>
      </c>
      <c r="G638" s="6">
        <v>5211</v>
      </c>
      <c r="H638" s="6">
        <v>8108</v>
      </c>
      <c r="I638" s="6">
        <v>281490</v>
      </c>
      <c r="J638" s="6">
        <v>1285817</v>
      </c>
      <c r="K638" s="6">
        <v>485</v>
      </c>
      <c r="L638" s="6"/>
      <c r="M638" s="6">
        <v>4915</v>
      </c>
      <c r="N638" s="6">
        <v>28573</v>
      </c>
      <c r="O638" s="6">
        <v>28573</v>
      </c>
      <c r="P638" s="6">
        <v>0</v>
      </c>
      <c r="Q638" s="6">
        <v>57147</v>
      </c>
    </row>
    <row r="639" spans="1:17" x14ac:dyDescent="0.35">
      <c r="A639" s="1">
        <v>42039</v>
      </c>
      <c r="B639" s="6">
        <v>4443136</v>
      </c>
      <c r="C639" s="6">
        <v>2880478</v>
      </c>
      <c r="D639" s="6">
        <v>0</v>
      </c>
      <c r="E639" s="6">
        <v>2708811</v>
      </c>
      <c r="F639" s="6">
        <v>157250</v>
      </c>
      <c r="G639" s="6">
        <v>5213</v>
      </c>
      <c r="H639" s="6">
        <v>9204</v>
      </c>
      <c r="I639" s="6">
        <v>265650</v>
      </c>
      <c r="J639" s="6">
        <v>1290772</v>
      </c>
      <c r="K639" s="6">
        <v>576</v>
      </c>
      <c r="L639" s="6"/>
      <c r="M639" s="6">
        <v>5660</v>
      </c>
      <c r="N639" s="6">
        <v>28606</v>
      </c>
      <c r="O639" s="6">
        <v>28606</v>
      </c>
      <c r="P639" s="6">
        <v>0</v>
      </c>
      <c r="Q639" s="6">
        <v>57212</v>
      </c>
    </row>
    <row r="640" spans="1:17" x14ac:dyDescent="0.35">
      <c r="A640" s="1">
        <v>42046</v>
      </c>
      <c r="B640" s="6">
        <v>4444457</v>
      </c>
      <c r="C640" s="6">
        <v>2890872</v>
      </c>
      <c r="D640" s="6">
        <v>188083</v>
      </c>
      <c r="E640" s="6">
        <v>2558213</v>
      </c>
      <c r="F640" s="6">
        <v>130765</v>
      </c>
      <c r="G640" s="6">
        <v>5213</v>
      </c>
      <c r="H640" s="6">
        <v>8598</v>
      </c>
      <c r="I640" s="6">
        <v>248575</v>
      </c>
      <c r="J640" s="6">
        <v>1298107</v>
      </c>
      <c r="K640" s="6">
        <v>583</v>
      </c>
      <c r="L640" s="6"/>
      <c r="M640" s="6">
        <v>6320</v>
      </c>
      <c r="N640" s="6">
        <v>28614</v>
      </c>
      <c r="O640" s="6">
        <v>28614</v>
      </c>
      <c r="P640" s="6">
        <v>0</v>
      </c>
      <c r="Q640" s="6">
        <v>57228</v>
      </c>
    </row>
    <row r="641" spans="1:17" x14ac:dyDescent="0.35">
      <c r="A641" s="1">
        <v>42053</v>
      </c>
      <c r="B641" s="6">
        <v>4439608</v>
      </c>
      <c r="C641" s="6">
        <v>2830834</v>
      </c>
      <c r="D641" s="6">
        <v>296921</v>
      </c>
      <c r="E641" s="6">
        <v>2445901</v>
      </c>
      <c r="F641" s="6">
        <v>73097</v>
      </c>
      <c r="G641" s="6">
        <v>5212</v>
      </c>
      <c r="H641" s="6">
        <v>9703</v>
      </c>
      <c r="I641" s="6">
        <v>297054</v>
      </c>
      <c r="J641" s="6">
        <v>1304186</v>
      </c>
      <c r="K641" s="6">
        <v>865</v>
      </c>
      <c r="L641" s="6"/>
      <c r="M641" s="6">
        <v>6669</v>
      </c>
      <c r="N641" s="6">
        <v>28622</v>
      </c>
      <c r="O641" s="6">
        <v>28622</v>
      </c>
      <c r="P641" s="6">
        <v>0</v>
      </c>
      <c r="Q641" s="6">
        <v>57243</v>
      </c>
    </row>
    <row r="642" spans="1:17" x14ac:dyDescent="0.35">
      <c r="A642" s="1">
        <v>42060</v>
      </c>
      <c r="B642" s="6">
        <v>4429168</v>
      </c>
      <c r="C642" s="6">
        <v>2809398</v>
      </c>
      <c r="D642" s="6">
        <v>404150</v>
      </c>
      <c r="E642" s="6">
        <v>2346998</v>
      </c>
      <c r="F642" s="6">
        <v>46714</v>
      </c>
      <c r="G642" s="6">
        <v>5213</v>
      </c>
      <c r="H642" s="6">
        <v>6323</v>
      </c>
      <c r="I642" s="6">
        <v>306171</v>
      </c>
      <c r="J642" s="6">
        <v>1306848</v>
      </c>
      <c r="K642" s="6">
        <v>767</v>
      </c>
      <c r="L642" s="6"/>
      <c r="M642" s="6">
        <v>5983</v>
      </c>
      <c r="N642" s="6">
        <v>28779</v>
      </c>
      <c r="O642" s="6">
        <v>28779</v>
      </c>
      <c r="P642" s="6">
        <v>0</v>
      </c>
      <c r="Q642" s="6">
        <v>57557</v>
      </c>
    </row>
    <row r="643" spans="1:17" x14ac:dyDescent="0.35">
      <c r="A643" s="1">
        <v>42067</v>
      </c>
      <c r="B643" s="6">
        <v>4430014</v>
      </c>
      <c r="C643" s="6">
        <v>2835091</v>
      </c>
      <c r="D643" s="6">
        <v>216067</v>
      </c>
      <c r="E643" s="6">
        <v>2554669</v>
      </c>
      <c r="F643" s="6">
        <v>52446</v>
      </c>
      <c r="G643" s="6">
        <v>5212</v>
      </c>
      <c r="H643" s="6">
        <v>6697</v>
      </c>
      <c r="I643" s="6">
        <v>277168</v>
      </c>
      <c r="J643" s="6">
        <v>1310423</v>
      </c>
      <c r="K643" s="6">
        <v>666</v>
      </c>
      <c r="L643" s="6"/>
      <c r="M643" s="6">
        <v>6667</v>
      </c>
      <c r="N643" s="6">
        <v>28785</v>
      </c>
      <c r="O643" s="6">
        <v>28785</v>
      </c>
      <c r="P643" s="6">
        <v>0</v>
      </c>
      <c r="Q643" s="6">
        <v>57569</v>
      </c>
    </row>
    <row r="644" spans="1:17" x14ac:dyDescent="0.35">
      <c r="A644" s="1">
        <v>42074</v>
      </c>
      <c r="B644" s="6">
        <v>4431702</v>
      </c>
      <c r="C644" s="6">
        <v>2847730</v>
      </c>
      <c r="D644" s="6">
        <v>107229</v>
      </c>
      <c r="E644" s="6">
        <v>2692693</v>
      </c>
      <c r="F644" s="6">
        <v>27237</v>
      </c>
      <c r="G644" s="6">
        <v>5236</v>
      </c>
      <c r="H644" s="6">
        <v>15334</v>
      </c>
      <c r="I644" s="6">
        <v>265299</v>
      </c>
      <c r="J644" s="6">
        <v>1311673</v>
      </c>
      <c r="K644" s="6">
        <v>796</v>
      </c>
      <c r="L644" s="6"/>
      <c r="M644" s="6">
        <v>6203</v>
      </c>
      <c r="N644" s="6">
        <v>28788</v>
      </c>
      <c r="O644" s="6">
        <v>28788</v>
      </c>
      <c r="P644" s="6">
        <v>0</v>
      </c>
      <c r="Q644" s="6">
        <v>57577</v>
      </c>
    </row>
    <row r="645" spans="1:17" x14ac:dyDescent="0.35">
      <c r="A645" s="1">
        <v>42081</v>
      </c>
      <c r="B645" s="6">
        <v>4438303</v>
      </c>
      <c r="C645" s="6">
        <v>2829078</v>
      </c>
      <c r="D645" s="6">
        <v>0</v>
      </c>
      <c r="E645" s="6">
        <v>2726319</v>
      </c>
      <c r="F645" s="6">
        <v>87560</v>
      </c>
      <c r="G645" s="6">
        <v>5222</v>
      </c>
      <c r="H645" s="6">
        <v>9978</v>
      </c>
      <c r="I645" s="6">
        <v>289615</v>
      </c>
      <c r="J645" s="6">
        <v>1311845</v>
      </c>
      <c r="K645" s="6">
        <v>688</v>
      </c>
      <c r="L645" s="6"/>
      <c r="M645" s="6">
        <v>7076</v>
      </c>
      <c r="N645" s="6">
        <v>28792</v>
      </c>
      <c r="O645" s="6">
        <v>28792</v>
      </c>
      <c r="P645" s="6">
        <v>0</v>
      </c>
      <c r="Q645" s="6">
        <v>57585</v>
      </c>
    </row>
    <row r="646" spans="1:17" x14ac:dyDescent="0.35">
      <c r="A646" s="1">
        <v>42088</v>
      </c>
      <c r="B646" s="6">
        <v>4422989</v>
      </c>
      <c r="C646" s="6">
        <v>2823836</v>
      </c>
      <c r="D646" s="6">
        <v>0</v>
      </c>
      <c r="E646" s="6">
        <v>2737802</v>
      </c>
      <c r="F646" s="6">
        <v>71325</v>
      </c>
      <c r="G646" s="6">
        <v>5225</v>
      </c>
      <c r="H646" s="6">
        <v>9484</v>
      </c>
      <c r="I646" s="6">
        <v>278847</v>
      </c>
      <c r="J646" s="6">
        <v>1312914</v>
      </c>
      <c r="K646" s="6">
        <v>745</v>
      </c>
      <c r="L646" s="6"/>
      <c r="M646" s="6">
        <v>6648</v>
      </c>
      <c r="N646" s="6">
        <v>28807</v>
      </c>
      <c r="O646" s="6">
        <v>28807</v>
      </c>
      <c r="P646" s="6">
        <v>0</v>
      </c>
      <c r="Q646" s="6">
        <v>57614</v>
      </c>
    </row>
    <row r="647" spans="1:17" x14ac:dyDescent="0.35">
      <c r="A647" s="1">
        <v>42095</v>
      </c>
      <c r="B647" s="6">
        <v>4424144</v>
      </c>
      <c r="C647" s="6">
        <v>2748042</v>
      </c>
      <c r="D647" s="6">
        <v>0</v>
      </c>
      <c r="E647" s="6">
        <v>2667663</v>
      </c>
      <c r="F647" s="6">
        <v>65529</v>
      </c>
      <c r="G647" s="6">
        <v>5241</v>
      </c>
      <c r="H647" s="6">
        <v>9609</v>
      </c>
      <c r="I647" s="6">
        <v>353693</v>
      </c>
      <c r="J647" s="6">
        <v>1315259</v>
      </c>
      <c r="K647" s="6">
        <v>598</v>
      </c>
      <c r="L647" s="6"/>
      <c r="M647" s="6">
        <v>6553</v>
      </c>
      <c r="N647" s="6">
        <v>28828</v>
      </c>
      <c r="O647" s="6">
        <v>28828</v>
      </c>
      <c r="P647" s="6">
        <v>0</v>
      </c>
      <c r="Q647" s="6">
        <v>57656</v>
      </c>
    </row>
    <row r="648" spans="1:17" x14ac:dyDescent="0.35">
      <c r="A648" s="1">
        <v>42102</v>
      </c>
      <c r="B648" s="6">
        <v>4425741</v>
      </c>
      <c r="C648" s="6">
        <v>2854488</v>
      </c>
      <c r="D648" s="6">
        <v>0</v>
      </c>
      <c r="E648" s="6">
        <v>2792912</v>
      </c>
      <c r="F648" s="6">
        <v>44254</v>
      </c>
      <c r="G648" s="6">
        <v>5230</v>
      </c>
      <c r="H648" s="6">
        <v>12093</v>
      </c>
      <c r="I648" s="6">
        <v>244492</v>
      </c>
      <c r="J648" s="6">
        <v>1318707</v>
      </c>
      <c r="K648" s="6">
        <v>583</v>
      </c>
      <c r="L648" s="6"/>
      <c r="M648" s="6">
        <v>7470</v>
      </c>
      <c r="N648" s="6">
        <v>28839</v>
      </c>
      <c r="O648" s="6">
        <v>28839</v>
      </c>
      <c r="P648" s="6">
        <v>0</v>
      </c>
      <c r="Q648" s="6">
        <v>57678</v>
      </c>
    </row>
    <row r="649" spans="1:17" x14ac:dyDescent="0.35">
      <c r="A649" s="1">
        <v>42109</v>
      </c>
      <c r="B649" s="6">
        <v>4427677</v>
      </c>
      <c r="C649" s="6">
        <v>2874393</v>
      </c>
      <c r="D649" s="6">
        <v>0</v>
      </c>
      <c r="E649" s="6">
        <v>2748955</v>
      </c>
      <c r="F649" s="6">
        <v>111551</v>
      </c>
      <c r="G649" s="6">
        <v>5231</v>
      </c>
      <c r="H649" s="6">
        <v>8656</v>
      </c>
      <c r="I649" s="6">
        <v>227651</v>
      </c>
      <c r="J649" s="6">
        <v>1317078</v>
      </c>
      <c r="K649" s="6">
        <v>588</v>
      </c>
      <c r="L649" s="6"/>
      <c r="M649" s="6">
        <v>7967</v>
      </c>
      <c r="N649" s="6">
        <v>28844</v>
      </c>
      <c r="O649" s="6">
        <v>28844</v>
      </c>
      <c r="P649" s="6">
        <v>0</v>
      </c>
      <c r="Q649" s="6">
        <v>57689</v>
      </c>
    </row>
    <row r="650" spans="1:17" x14ac:dyDescent="0.35">
      <c r="A650" s="1">
        <v>42116</v>
      </c>
      <c r="B650" s="6">
        <v>4431993</v>
      </c>
      <c r="C650" s="6">
        <v>2832339</v>
      </c>
      <c r="D650" s="6">
        <v>0</v>
      </c>
      <c r="E650" s="6">
        <v>2617380</v>
      </c>
      <c r="F650" s="6">
        <v>201073</v>
      </c>
      <c r="G650" s="6">
        <v>5231</v>
      </c>
      <c r="H650" s="6">
        <v>8656</v>
      </c>
      <c r="I650" s="6">
        <v>275390</v>
      </c>
      <c r="J650" s="6">
        <v>1315038</v>
      </c>
      <c r="K650" s="6">
        <v>554</v>
      </c>
      <c r="L650" s="6"/>
      <c r="M650" s="6">
        <v>8673</v>
      </c>
      <c r="N650" s="6">
        <v>28851</v>
      </c>
      <c r="O650" s="6">
        <v>28851</v>
      </c>
      <c r="P650" s="6">
        <v>0</v>
      </c>
      <c r="Q650" s="6">
        <v>57702</v>
      </c>
    </row>
    <row r="651" spans="1:17" x14ac:dyDescent="0.35">
      <c r="A651" s="1">
        <v>42123</v>
      </c>
      <c r="B651" s="6">
        <v>4413797</v>
      </c>
      <c r="C651" s="6">
        <v>2839718</v>
      </c>
      <c r="D651" s="6">
        <v>0</v>
      </c>
      <c r="E651" s="6">
        <v>2581067</v>
      </c>
      <c r="F651" s="6">
        <v>245426</v>
      </c>
      <c r="G651" s="6">
        <v>5233</v>
      </c>
      <c r="H651" s="6">
        <v>7992</v>
      </c>
      <c r="I651" s="6">
        <v>249887</v>
      </c>
      <c r="J651" s="6">
        <v>1315983</v>
      </c>
      <c r="K651" s="6">
        <v>549</v>
      </c>
      <c r="L651" s="6"/>
      <c r="M651" s="6">
        <v>7661</v>
      </c>
      <c r="N651" s="6">
        <v>28851</v>
      </c>
      <c r="O651" s="6">
        <v>28851</v>
      </c>
      <c r="P651" s="6">
        <v>0</v>
      </c>
      <c r="Q651" s="6">
        <v>57702</v>
      </c>
    </row>
    <row r="652" spans="1:17" x14ac:dyDescent="0.35">
      <c r="A652" s="1">
        <v>42130</v>
      </c>
      <c r="B652" s="6">
        <v>4414969</v>
      </c>
      <c r="C652" s="6">
        <v>2852378</v>
      </c>
      <c r="D652" s="6">
        <v>0</v>
      </c>
      <c r="E652" s="6">
        <v>2610056</v>
      </c>
      <c r="F652" s="6">
        <v>229131</v>
      </c>
      <c r="G652" s="6">
        <v>5230</v>
      </c>
      <c r="H652" s="6">
        <v>7961</v>
      </c>
      <c r="I652" s="6">
        <v>234933</v>
      </c>
      <c r="J652" s="6">
        <v>1319628</v>
      </c>
      <c r="K652" s="6">
        <v>631</v>
      </c>
      <c r="L652" s="6"/>
      <c r="M652" s="6">
        <v>7399</v>
      </c>
      <c r="N652" s="6">
        <v>28867</v>
      </c>
      <c r="O652" s="6">
        <v>28867</v>
      </c>
      <c r="P652" s="6">
        <v>0</v>
      </c>
      <c r="Q652" s="6">
        <v>57734</v>
      </c>
    </row>
    <row r="653" spans="1:17" x14ac:dyDescent="0.35">
      <c r="A653" s="1">
        <v>42137</v>
      </c>
      <c r="B653" s="6">
        <v>4443111</v>
      </c>
      <c r="C653" s="6">
        <v>2868393</v>
      </c>
      <c r="D653" s="6">
        <v>0</v>
      </c>
      <c r="E653" s="6">
        <v>2643845</v>
      </c>
      <c r="F653" s="6">
        <v>205392</v>
      </c>
      <c r="G653" s="6">
        <v>5231</v>
      </c>
      <c r="H653" s="6">
        <v>13925</v>
      </c>
      <c r="I653" s="6">
        <v>243769</v>
      </c>
      <c r="J653" s="6">
        <v>1320021</v>
      </c>
      <c r="K653" s="6">
        <v>600</v>
      </c>
      <c r="L653" s="6"/>
      <c r="M653" s="6">
        <v>10328</v>
      </c>
      <c r="N653" s="6">
        <v>29039</v>
      </c>
      <c r="O653" s="6">
        <v>29039</v>
      </c>
      <c r="P653" s="6">
        <v>0</v>
      </c>
      <c r="Q653" s="6">
        <v>58077</v>
      </c>
    </row>
    <row r="654" spans="1:17" x14ac:dyDescent="0.35">
      <c r="A654" s="1">
        <v>42144</v>
      </c>
      <c r="B654" s="6">
        <v>4422284</v>
      </c>
      <c r="C654" s="6">
        <v>2785107</v>
      </c>
      <c r="D654" s="6">
        <v>0</v>
      </c>
      <c r="E654" s="6">
        <v>2588146</v>
      </c>
      <c r="F654" s="6">
        <v>173749</v>
      </c>
      <c r="G654" s="6">
        <v>5231</v>
      </c>
      <c r="H654" s="6">
        <v>17982</v>
      </c>
      <c r="I654" s="6">
        <v>308260</v>
      </c>
      <c r="J654" s="6">
        <v>1321436</v>
      </c>
      <c r="K654" s="6">
        <v>497</v>
      </c>
      <c r="L654" s="6"/>
      <c r="M654" s="6">
        <v>6985</v>
      </c>
      <c r="N654" s="6">
        <v>29050</v>
      </c>
      <c r="O654" s="6">
        <v>29050</v>
      </c>
      <c r="P654" s="6">
        <v>0</v>
      </c>
      <c r="Q654" s="6">
        <v>58101</v>
      </c>
    </row>
    <row r="655" spans="1:17" x14ac:dyDescent="0.35">
      <c r="A655" s="1">
        <v>42151</v>
      </c>
      <c r="B655" s="6">
        <v>4405746</v>
      </c>
      <c r="C655" s="6">
        <v>2794524</v>
      </c>
      <c r="D655" s="6">
        <v>79919</v>
      </c>
      <c r="E655" s="6">
        <v>2536920</v>
      </c>
      <c r="F655" s="6">
        <v>163581</v>
      </c>
      <c r="G655" s="6">
        <v>5232</v>
      </c>
      <c r="H655" s="6">
        <v>8872</v>
      </c>
      <c r="I655" s="6">
        <v>278637</v>
      </c>
      <c r="J655" s="6">
        <v>1324879</v>
      </c>
      <c r="K655" s="6">
        <v>846</v>
      </c>
      <c r="L655" s="6"/>
      <c r="M655" s="6">
        <v>6859</v>
      </c>
      <c r="N655" s="6">
        <v>29118</v>
      </c>
      <c r="O655" s="6">
        <v>29118</v>
      </c>
      <c r="P655" s="6">
        <v>0</v>
      </c>
      <c r="Q655" s="6">
        <v>58236</v>
      </c>
    </row>
    <row r="656" spans="1:17" x14ac:dyDescent="0.35">
      <c r="A656" s="1">
        <v>42158</v>
      </c>
      <c r="B656" s="6">
        <v>4407110</v>
      </c>
      <c r="C656" s="6">
        <v>2832644</v>
      </c>
      <c r="D656" s="6">
        <v>145702</v>
      </c>
      <c r="E656" s="6">
        <v>2490044</v>
      </c>
      <c r="F656" s="6">
        <v>184099</v>
      </c>
      <c r="G656" s="6">
        <v>5231</v>
      </c>
      <c r="H656" s="6">
        <v>7569</v>
      </c>
      <c r="I656" s="6">
        <v>242586</v>
      </c>
      <c r="J656" s="6">
        <v>1323783</v>
      </c>
      <c r="K656" s="6">
        <v>371</v>
      </c>
      <c r="L656" s="6"/>
      <c r="M656" s="6">
        <v>7726</v>
      </c>
      <c r="N656" s="6">
        <v>29125</v>
      </c>
      <c r="O656" s="6">
        <v>29125</v>
      </c>
      <c r="P656" s="6">
        <v>0</v>
      </c>
      <c r="Q656" s="6">
        <v>58250</v>
      </c>
    </row>
    <row r="657" spans="1:17" x14ac:dyDescent="0.35">
      <c r="A657" s="1">
        <v>42165</v>
      </c>
      <c r="B657" s="6">
        <v>4409754</v>
      </c>
      <c r="C657" s="6">
        <v>2853531</v>
      </c>
      <c r="D657" s="6">
        <v>0</v>
      </c>
      <c r="E657" s="6">
        <v>2661661</v>
      </c>
      <c r="F657" s="6">
        <v>172918</v>
      </c>
      <c r="G657" s="6">
        <v>5241</v>
      </c>
      <c r="H657" s="6">
        <v>13711</v>
      </c>
      <c r="I657" s="6">
        <v>226199</v>
      </c>
      <c r="J657" s="6">
        <v>1322053</v>
      </c>
      <c r="K657" s="6">
        <v>544</v>
      </c>
      <c r="L657" s="6"/>
      <c r="M657" s="6">
        <v>7427</v>
      </c>
      <c r="N657" s="6">
        <v>29125</v>
      </c>
      <c r="O657" s="6">
        <v>29125</v>
      </c>
      <c r="P657" s="6">
        <v>0</v>
      </c>
      <c r="Q657" s="6">
        <v>58251</v>
      </c>
    </row>
    <row r="658" spans="1:17" x14ac:dyDescent="0.35">
      <c r="A658" s="1">
        <v>42172</v>
      </c>
      <c r="B658" s="6">
        <v>4429545</v>
      </c>
      <c r="C658" s="6">
        <v>2840256</v>
      </c>
      <c r="D658" s="6">
        <v>0</v>
      </c>
      <c r="E658" s="6">
        <v>2575506</v>
      </c>
      <c r="F658" s="6">
        <v>251369</v>
      </c>
      <c r="G658" s="6">
        <v>5242</v>
      </c>
      <c r="H658" s="6">
        <v>8138</v>
      </c>
      <c r="I658" s="6">
        <v>261449</v>
      </c>
      <c r="J658" s="6">
        <v>1320363</v>
      </c>
      <c r="K658" s="6">
        <v>366</v>
      </c>
      <c r="L658" s="6"/>
      <c r="M658" s="6">
        <v>7111</v>
      </c>
      <c r="N658" s="6">
        <v>29136</v>
      </c>
      <c r="O658" s="6">
        <v>29136</v>
      </c>
      <c r="P658" s="6">
        <v>0</v>
      </c>
      <c r="Q658" s="6">
        <v>58272</v>
      </c>
    </row>
    <row r="659" spans="1:17" x14ac:dyDescent="0.35">
      <c r="A659" s="1">
        <v>42179</v>
      </c>
      <c r="B659" s="6">
        <v>4436791</v>
      </c>
      <c r="C659" s="6">
        <v>2819366</v>
      </c>
      <c r="D659" s="6">
        <v>0</v>
      </c>
      <c r="E659" s="6">
        <v>2493529</v>
      </c>
      <c r="F659" s="6">
        <v>240762</v>
      </c>
      <c r="G659" s="6">
        <v>5243</v>
      </c>
      <c r="H659" s="6">
        <v>79833</v>
      </c>
      <c r="I659" s="6">
        <v>289416</v>
      </c>
      <c r="J659" s="6">
        <v>1320475</v>
      </c>
      <c r="K659" s="6">
        <v>425</v>
      </c>
      <c r="L659" s="6"/>
      <c r="M659" s="6">
        <v>7108</v>
      </c>
      <c r="N659" s="6">
        <v>29132</v>
      </c>
      <c r="O659" s="6">
        <v>29132</v>
      </c>
      <c r="P659" s="6">
        <v>0</v>
      </c>
      <c r="Q659" s="6">
        <v>58264</v>
      </c>
    </row>
    <row r="660" spans="1:17" x14ac:dyDescent="0.35">
      <c r="A660" s="1">
        <v>42186</v>
      </c>
      <c r="B660" s="6">
        <v>4420866</v>
      </c>
      <c r="C660" s="6">
        <v>2739227</v>
      </c>
      <c r="D660" s="6">
        <v>0</v>
      </c>
      <c r="E660" s="6">
        <v>2504532</v>
      </c>
      <c r="F660" s="6">
        <v>212135</v>
      </c>
      <c r="G660" s="6">
        <v>5243</v>
      </c>
      <c r="H660" s="6">
        <v>17317</v>
      </c>
      <c r="I660" s="6">
        <v>349857</v>
      </c>
      <c r="J660" s="6">
        <v>1325147</v>
      </c>
      <c r="K660" s="6">
        <v>442</v>
      </c>
      <c r="L660" s="6"/>
      <c r="M660" s="6">
        <v>6192</v>
      </c>
      <c r="N660" s="6">
        <v>29132</v>
      </c>
      <c r="O660" s="6">
        <v>29132</v>
      </c>
      <c r="P660" s="6">
        <v>0</v>
      </c>
      <c r="Q660" s="6">
        <v>58264</v>
      </c>
    </row>
    <row r="661" spans="1:17" x14ac:dyDescent="0.35">
      <c r="A661" s="1">
        <v>42193</v>
      </c>
      <c r="B661" s="6">
        <v>4422996</v>
      </c>
      <c r="C661" s="6">
        <v>2786753</v>
      </c>
      <c r="D661" s="6">
        <v>0</v>
      </c>
      <c r="E661" s="6">
        <v>2585343</v>
      </c>
      <c r="F661" s="6">
        <v>173642</v>
      </c>
      <c r="G661" s="6">
        <v>5244</v>
      </c>
      <c r="H661" s="6">
        <v>22524</v>
      </c>
      <c r="I661" s="6">
        <v>301855</v>
      </c>
      <c r="J661" s="6">
        <v>1326791</v>
      </c>
      <c r="K661" s="6">
        <v>363</v>
      </c>
      <c r="L661" s="6"/>
      <c r="M661" s="6">
        <v>7235</v>
      </c>
      <c r="N661" s="6">
        <v>29146</v>
      </c>
      <c r="O661" s="6">
        <v>29146</v>
      </c>
      <c r="P661" s="6">
        <v>0</v>
      </c>
      <c r="Q661" s="6">
        <v>58293</v>
      </c>
    </row>
    <row r="662" spans="1:17" x14ac:dyDescent="0.35">
      <c r="A662" s="1">
        <v>42200</v>
      </c>
      <c r="B662" s="6">
        <v>4435307</v>
      </c>
      <c r="C662" s="6">
        <v>2846064</v>
      </c>
      <c r="D662" s="6">
        <v>0</v>
      </c>
      <c r="E662" s="6">
        <v>2655145</v>
      </c>
      <c r="F662" s="6">
        <v>175706</v>
      </c>
      <c r="G662" s="6">
        <v>5244</v>
      </c>
      <c r="H662" s="6">
        <v>9968</v>
      </c>
      <c r="I662" s="6">
        <v>256024</v>
      </c>
      <c r="J662" s="6">
        <v>1325699</v>
      </c>
      <c r="K662" s="6">
        <v>337</v>
      </c>
      <c r="L662" s="6"/>
      <c r="M662" s="6">
        <v>7183</v>
      </c>
      <c r="N662" s="6">
        <v>29149</v>
      </c>
      <c r="O662" s="6">
        <v>29149</v>
      </c>
      <c r="P662" s="6">
        <v>0</v>
      </c>
      <c r="Q662" s="6">
        <v>58298</v>
      </c>
    </row>
    <row r="663" spans="1:17" x14ac:dyDescent="0.35">
      <c r="A663" s="1">
        <v>42207</v>
      </c>
      <c r="B663" s="6">
        <v>4442207</v>
      </c>
      <c r="C663" s="6">
        <v>2843533</v>
      </c>
      <c r="D663" s="6">
        <v>0</v>
      </c>
      <c r="E663" s="6">
        <v>2645457</v>
      </c>
      <c r="F663" s="6">
        <v>183203</v>
      </c>
      <c r="G663" s="6">
        <v>5243</v>
      </c>
      <c r="H663" s="6">
        <v>9630</v>
      </c>
      <c r="I663" s="6">
        <v>266195</v>
      </c>
      <c r="J663" s="6">
        <v>1325714</v>
      </c>
      <c r="K663" s="6">
        <v>431</v>
      </c>
      <c r="L663" s="6"/>
      <c r="M663" s="6">
        <v>6334</v>
      </c>
      <c r="N663" s="6">
        <v>29148</v>
      </c>
      <c r="O663" s="6">
        <v>29148</v>
      </c>
      <c r="P663" s="6">
        <v>0</v>
      </c>
      <c r="Q663" s="6">
        <v>58296</v>
      </c>
    </row>
    <row r="664" spans="1:17" x14ac:dyDescent="0.35">
      <c r="A664" s="1">
        <v>42214</v>
      </c>
      <c r="B664" s="6">
        <v>4427179</v>
      </c>
      <c r="C664" s="6">
        <v>2849928</v>
      </c>
      <c r="D664" s="6">
        <v>0</v>
      </c>
      <c r="E664" s="6">
        <v>2632830</v>
      </c>
      <c r="F664" s="6">
        <v>203378</v>
      </c>
      <c r="G664" s="6">
        <v>5243</v>
      </c>
      <c r="H664" s="6">
        <v>8476</v>
      </c>
      <c r="I664" s="6">
        <v>242511</v>
      </c>
      <c r="J664" s="6">
        <v>1327709</v>
      </c>
      <c r="K664" s="6">
        <v>280</v>
      </c>
      <c r="L664" s="6"/>
      <c r="M664" s="6">
        <v>6751</v>
      </c>
      <c r="N664" s="6">
        <v>29150</v>
      </c>
      <c r="O664" s="6">
        <v>29150</v>
      </c>
      <c r="P664" s="6">
        <v>0</v>
      </c>
      <c r="Q664" s="6">
        <v>58300</v>
      </c>
    </row>
    <row r="665" spans="1:17" x14ac:dyDescent="0.35">
      <c r="A665" s="1">
        <v>42221</v>
      </c>
      <c r="B665" s="6">
        <v>4428163</v>
      </c>
      <c r="C665" s="6">
        <v>2841901</v>
      </c>
      <c r="D665" s="6">
        <v>0</v>
      </c>
      <c r="E665" s="6">
        <v>2624012</v>
      </c>
      <c r="F665" s="6">
        <v>198755</v>
      </c>
      <c r="G665" s="6">
        <v>5244</v>
      </c>
      <c r="H665" s="6">
        <v>13890</v>
      </c>
      <c r="I665" s="6">
        <v>249050</v>
      </c>
      <c r="J665" s="6">
        <v>1330071</v>
      </c>
      <c r="K665" s="6">
        <v>320</v>
      </c>
      <c r="L665" s="6"/>
      <c r="M665" s="6">
        <v>6821</v>
      </c>
      <c r="N665" s="6">
        <v>29083</v>
      </c>
      <c r="O665" s="6">
        <v>29083</v>
      </c>
      <c r="P665" s="6">
        <v>0</v>
      </c>
      <c r="Q665" s="6">
        <v>58165</v>
      </c>
    </row>
    <row r="666" spans="1:17" x14ac:dyDescent="0.35">
      <c r="A666" s="1">
        <v>42228</v>
      </c>
      <c r="B666" s="6">
        <v>4431064</v>
      </c>
      <c r="C666" s="6">
        <v>2862818</v>
      </c>
      <c r="D666" s="6">
        <v>66066</v>
      </c>
      <c r="E666" s="6">
        <v>2555790</v>
      </c>
      <c r="F666" s="6">
        <v>207989</v>
      </c>
      <c r="G666" s="6">
        <v>5244</v>
      </c>
      <c r="H666" s="6">
        <v>27730</v>
      </c>
      <c r="I666" s="6">
        <v>228196</v>
      </c>
      <c r="J666" s="6">
        <v>1331786</v>
      </c>
      <c r="K666" s="6">
        <v>458</v>
      </c>
      <c r="L666" s="6"/>
      <c r="M666" s="6">
        <v>7806</v>
      </c>
      <c r="N666" s="6">
        <v>29093</v>
      </c>
      <c r="O666" s="6">
        <v>29093</v>
      </c>
      <c r="P666" s="6">
        <v>0</v>
      </c>
      <c r="Q666" s="6">
        <v>58186</v>
      </c>
    </row>
    <row r="667" spans="1:17" x14ac:dyDescent="0.35">
      <c r="A667" s="1">
        <v>42235</v>
      </c>
      <c r="B667" s="6">
        <v>4428998</v>
      </c>
      <c r="C667" s="6">
        <v>2842656</v>
      </c>
      <c r="D667" s="6">
        <v>123262</v>
      </c>
      <c r="E667" s="6">
        <v>2553587</v>
      </c>
      <c r="F667" s="6">
        <v>142076</v>
      </c>
      <c r="G667" s="6">
        <v>5245</v>
      </c>
      <c r="H667" s="6">
        <v>18486</v>
      </c>
      <c r="I667" s="6">
        <v>247894</v>
      </c>
      <c r="J667" s="6">
        <v>1331402</v>
      </c>
      <c r="K667" s="6">
        <v>284</v>
      </c>
      <c r="L667" s="6"/>
      <c r="M667" s="6">
        <v>6761</v>
      </c>
      <c r="N667" s="6">
        <v>29105</v>
      </c>
      <c r="O667" s="6">
        <v>29105</v>
      </c>
      <c r="P667" s="6">
        <v>0</v>
      </c>
      <c r="Q667" s="6">
        <v>58210</v>
      </c>
    </row>
    <row r="668" spans="1:17" x14ac:dyDescent="0.35">
      <c r="A668" s="1">
        <v>42242</v>
      </c>
      <c r="B668" s="6">
        <v>4416811</v>
      </c>
      <c r="C668" s="6">
        <v>2844405</v>
      </c>
      <c r="D668" s="6">
        <v>0</v>
      </c>
      <c r="E668" s="6">
        <v>2705163</v>
      </c>
      <c r="F668" s="6">
        <v>119147</v>
      </c>
      <c r="G668" s="6">
        <v>5244</v>
      </c>
      <c r="H668" s="6">
        <v>14852</v>
      </c>
      <c r="I668" s="6">
        <v>231876</v>
      </c>
      <c r="J668" s="6">
        <v>1333207</v>
      </c>
      <c r="K668" s="6">
        <v>397</v>
      </c>
      <c r="L668" s="6"/>
      <c r="M668" s="6">
        <v>6925</v>
      </c>
      <c r="N668" s="6">
        <v>29147</v>
      </c>
      <c r="O668" s="6">
        <v>29147</v>
      </c>
      <c r="P668" s="6">
        <v>0</v>
      </c>
      <c r="Q668" s="6">
        <v>58294</v>
      </c>
    </row>
    <row r="669" spans="1:17" x14ac:dyDescent="0.35">
      <c r="A669" s="1">
        <v>42249</v>
      </c>
      <c r="B669" s="6">
        <v>4417595</v>
      </c>
      <c r="C669" s="6">
        <v>2841330</v>
      </c>
      <c r="D669" s="6">
        <v>0</v>
      </c>
      <c r="E669" s="6">
        <v>2694817</v>
      </c>
      <c r="F669" s="6">
        <v>122263</v>
      </c>
      <c r="G669" s="6">
        <v>5244</v>
      </c>
      <c r="H669" s="6">
        <v>19007</v>
      </c>
      <c r="I669" s="6">
        <v>231901</v>
      </c>
      <c r="J669" s="6">
        <v>1337302</v>
      </c>
      <c r="K669" s="6">
        <v>322</v>
      </c>
      <c r="L669" s="6"/>
      <c r="M669" s="6">
        <v>6739</v>
      </c>
      <c r="N669" s="6">
        <v>29145</v>
      </c>
      <c r="O669" s="6">
        <v>29145</v>
      </c>
      <c r="P669" s="6">
        <v>0</v>
      </c>
      <c r="Q669" s="6">
        <v>58291</v>
      </c>
    </row>
    <row r="670" spans="1:17" x14ac:dyDescent="0.35">
      <c r="A670" s="1">
        <v>42256</v>
      </c>
      <c r="B670" s="6">
        <v>4419924</v>
      </c>
      <c r="C670" s="6">
        <v>2842310</v>
      </c>
      <c r="D670" s="6">
        <v>0</v>
      </c>
      <c r="E670" s="6">
        <v>2734650</v>
      </c>
      <c r="F670" s="6">
        <v>76256</v>
      </c>
      <c r="G670" s="6">
        <v>5255</v>
      </c>
      <c r="H670" s="6">
        <v>26149</v>
      </c>
      <c r="I670" s="6">
        <v>228052</v>
      </c>
      <c r="J670" s="6">
        <v>1342139</v>
      </c>
      <c r="K670" s="6">
        <v>462</v>
      </c>
      <c r="L670" s="6"/>
      <c r="M670" s="6">
        <v>6962</v>
      </c>
      <c r="N670" s="6">
        <v>29144</v>
      </c>
      <c r="O670" s="6">
        <v>29144</v>
      </c>
      <c r="P670" s="6">
        <v>0</v>
      </c>
      <c r="Q670" s="6">
        <v>58288</v>
      </c>
    </row>
    <row r="671" spans="1:17" x14ac:dyDescent="0.35">
      <c r="A671" s="1">
        <v>42263</v>
      </c>
      <c r="B671" s="6">
        <v>4429521</v>
      </c>
      <c r="C671" s="6">
        <v>2846354</v>
      </c>
      <c r="D671" s="6">
        <v>0</v>
      </c>
      <c r="E671" s="6">
        <v>2643764</v>
      </c>
      <c r="F671" s="6">
        <v>179990</v>
      </c>
      <c r="G671" s="6">
        <v>5270</v>
      </c>
      <c r="H671" s="6">
        <v>17329</v>
      </c>
      <c r="I671" s="6">
        <v>236017</v>
      </c>
      <c r="J671" s="6">
        <v>1339721</v>
      </c>
      <c r="K671" s="6">
        <v>356</v>
      </c>
      <c r="L671" s="6"/>
      <c r="M671" s="6">
        <v>7073</v>
      </c>
      <c r="N671" s="6">
        <v>29144</v>
      </c>
      <c r="O671" s="6">
        <v>29144</v>
      </c>
      <c r="P671" s="6">
        <v>0</v>
      </c>
      <c r="Q671" s="6">
        <v>58288</v>
      </c>
    </row>
    <row r="672" spans="1:17" x14ac:dyDescent="0.35">
      <c r="A672" s="1">
        <v>42270</v>
      </c>
      <c r="B672" s="6">
        <v>4438933</v>
      </c>
      <c r="C672" s="6">
        <v>2788583</v>
      </c>
      <c r="D672" s="6">
        <v>0</v>
      </c>
      <c r="E672" s="6">
        <v>2602196</v>
      </c>
      <c r="F672" s="6">
        <v>164941</v>
      </c>
      <c r="G672" s="6">
        <v>5256</v>
      </c>
      <c r="H672" s="6">
        <v>16190</v>
      </c>
      <c r="I672" s="6">
        <v>303797</v>
      </c>
      <c r="J672" s="6">
        <v>1339843</v>
      </c>
      <c r="K672" s="6">
        <v>238</v>
      </c>
      <c r="L672" s="6"/>
      <c r="M672" s="6">
        <v>6471</v>
      </c>
      <c r="N672" s="6">
        <v>29276</v>
      </c>
      <c r="O672" s="6">
        <v>29276</v>
      </c>
      <c r="P672" s="6">
        <v>0</v>
      </c>
      <c r="Q672" s="6">
        <v>58552</v>
      </c>
    </row>
    <row r="673" spans="1:17" x14ac:dyDescent="0.35">
      <c r="A673" s="1">
        <v>42277</v>
      </c>
      <c r="B673" s="6">
        <v>4425550</v>
      </c>
      <c r="C673" s="6">
        <v>2434871</v>
      </c>
      <c r="D673" s="6">
        <v>0</v>
      </c>
      <c r="E673" s="6">
        <v>2197657</v>
      </c>
      <c r="F673" s="6">
        <v>198716</v>
      </c>
      <c r="G673" s="6">
        <v>6231</v>
      </c>
      <c r="H673" s="6">
        <v>32267</v>
      </c>
      <c r="I673" s="6">
        <v>641081</v>
      </c>
      <c r="J673" s="6">
        <v>1342390</v>
      </c>
      <c r="K673" s="6">
        <v>483</v>
      </c>
      <c r="L673" s="6"/>
      <c r="M673" s="6">
        <v>6724</v>
      </c>
      <c r="N673" s="6">
        <v>29281</v>
      </c>
      <c r="O673" s="6">
        <v>29281</v>
      </c>
      <c r="P673" s="6">
        <v>0</v>
      </c>
      <c r="Q673" s="6">
        <v>58561</v>
      </c>
    </row>
    <row r="674" spans="1:17" x14ac:dyDescent="0.35">
      <c r="A674" s="1">
        <v>42284</v>
      </c>
      <c r="B674" s="6">
        <v>4427617</v>
      </c>
      <c r="C674" s="6">
        <v>2791638</v>
      </c>
      <c r="D674" s="6">
        <v>0</v>
      </c>
      <c r="E674" s="6">
        <v>2678794</v>
      </c>
      <c r="F674" s="6">
        <v>87139</v>
      </c>
      <c r="G674" s="6">
        <v>5256</v>
      </c>
      <c r="H674" s="6">
        <v>20449</v>
      </c>
      <c r="I674" s="6">
        <v>282684</v>
      </c>
      <c r="J674" s="6">
        <v>1345839</v>
      </c>
      <c r="K674" s="6">
        <v>388</v>
      </c>
      <c r="L674" s="6"/>
      <c r="M674" s="6">
        <v>7067</v>
      </c>
      <c r="N674" s="6">
        <v>29284</v>
      </c>
      <c r="O674" s="6">
        <v>29284</v>
      </c>
      <c r="P674" s="6">
        <v>0</v>
      </c>
      <c r="Q674" s="6">
        <v>58568</v>
      </c>
    </row>
    <row r="675" spans="1:17" x14ac:dyDescent="0.35">
      <c r="A675" s="1">
        <v>42291</v>
      </c>
      <c r="B675" s="6">
        <v>4446121</v>
      </c>
      <c r="C675" s="6">
        <v>2826235</v>
      </c>
      <c r="D675" s="6">
        <v>0</v>
      </c>
      <c r="E675" s="6">
        <v>2719981</v>
      </c>
      <c r="F675" s="6">
        <v>57540</v>
      </c>
      <c r="G675" s="6">
        <v>5298</v>
      </c>
      <c r="H675" s="6">
        <v>43416</v>
      </c>
      <c r="I675" s="6">
        <v>262446</v>
      </c>
      <c r="J675" s="6">
        <v>1347750</v>
      </c>
      <c r="K675" s="6">
        <v>524</v>
      </c>
      <c r="L675" s="6"/>
      <c r="M675" s="6">
        <v>9166</v>
      </c>
      <c r="N675" s="6">
        <v>29291</v>
      </c>
      <c r="O675" s="6">
        <v>29291</v>
      </c>
      <c r="P675" s="6">
        <v>0</v>
      </c>
      <c r="Q675" s="6">
        <v>58583</v>
      </c>
    </row>
    <row r="676" spans="1:17" x14ac:dyDescent="0.35">
      <c r="A676" s="1">
        <v>42298</v>
      </c>
      <c r="B676" s="6">
        <v>4442774</v>
      </c>
      <c r="C676" s="6">
        <v>2756719</v>
      </c>
      <c r="D676" s="6">
        <v>0</v>
      </c>
      <c r="E676" s="6">
        <v>2675588</v>
      </c>
      <c r="F676" s="6">
        <v>57086</v>
      </c>
      <c r="G676" s="6">
        <v>5258</v>
      </c>
      <c r="H676" s="6">
        <v>18786</v>
      </c>
      <c r="I676" s="6">
        <v>331299</v>
      </c>
      <c r="J676" s="6">
        <v>1347010</v>
      </c>
      <c r="K676" s="6">
        <v>366</v>
      </c>
      <c r="L676" s="6"/>
      <c r="M676" s="6">
        <v>7380</v>
      </c>
      <c r="N676" s="6">
        <v>29299</v>
      </c>
      <c r="O676" s="6">
        <v>29299</v>
      </c>
      <c r="P676" s="6">
        <v>0</v>
      </c>
      <c r="Q676" s="6">
        <v>58598</v>
      </c>
    </row>
    <row r="677" spans="1:17" x14ac:dyDescent="0.35">
      <c r="A677" s="1">
        <v>42305</v>
      </c>
      <c r="B677" s="6">
        <v>4430742</v>
      </c>
      <c r="C677" s="6">
        <v>2729149</v>
      </c>
      <c r="D677" s="6">
        <v>0</v>
      </c>
      <c r="E677" s="6">
        <v>2668187</v>
      </c>
      <c r="F677" s="6">
        <v>35586</v>
      </c>
      <c r="G677" s="6">
        <v>5273</v>
      </c>
      <c r="H677" s="6">
        <v>20102</v>
      </c>
      <c r="I677" s="6">
        <v>344810</v>
      </c>
      <c r="J677" s="6">
        <v>1349738</v>
      </c>
      <c r="K677" s="6">
        <v>571</v>
      </c>
      <c r="L677" s="6"/>
      <c r="M677" s="6">
        <v>6474</v>
      </c>
      <c r="N677" s="6">
        <v>29298</v>
      </c>
      <c r="O677" s="6">
        <v>29298</v>
      </c>
      <c r="P677" s="6">
        <v>0</v>
      </c>
      <c r="Q677" s="6">
        <v>58597</v>
      </c>
    </row>
    <row r="678" spans="1:17" x14ac:dyDescent="0.35">
      <c r="A678" s="1">
        <v>42312</v>
      </c>
      <c r="B678" s="6">
        <v>4431075</v>
      </c>
      <c r="C678" s="6">
        <v>2760143</v>
      </c>
      <c r="D678" s="6">
        <v>0</v>
      </c>
      <c r="E678" s="6">
        <v>2689851</v>
      </c>
      <c r="F678" s="6">
        <v>44215</v>
      </c>
      <c r="G678" s="6">
        <v>5281</v>
      </c>
      <c r="H678" s="6">
        <v>20796</v>
      </c>
      <c r="I678" s="6">
        <v>308284</v>
      </c>
      <c r="J678" s="6">
        <v>1355849</v>
      </c>
      <c r="K678" s="6">
        <v>375</v>
      </c>
      <c r="L678" s="6"/>
      <c r="M678" s="6">
        <v>6423</v>
      </c>
      <c r="N678" s="6">
        <v>29314</v>
      </c>
      <c r="O678" s="6">
        <v>29314</v>
      </c>
      <c r="P678" s="6">
        <v>0</v>
      </c>
      <c r="Q678" s="6">
        <v>58627</v>
      </c>
    </row>
    <row r="679" spans="1:17" x14ac:dyDescent="0.35">
      <c r="A679" s="1">
        <v>42319</v>
      </c>
      <c r="B679" s="6">
        <v>4433360</v>
      </c>
      <c r="C679" s="6">
        <v>2787005</v>
      </c>
      <c r="D679" s="6">
        <v>0</v>
      </c>
      <c r="E679" s="6">
        <v>2659338</v>
      </c>
      <c r="F679" s="6">
        <v>96449</v>
      </c>
      <c r="G679" s="6">
        <v>5358</v>
      </c>
      <c r="H679" s="6">
        <v>25859</v>
      </c>
      <c r="I679" s="6">
        <v>276999</v>
      </c>
      <c r="J679" s="6">
        <v>1360331</v>
      </c>
      <c r="K679" s="6">
        <v>727</v>
      </c>
      <c r="L679" s="6"/>
      <c r="M679" s="6">
        <v>8297</v>
      </c>
      <c r="N679" s="6">
        <v>29326</v>
      </c>
      <c r="O679" s="6">
        <v>29326</v>
      </c>
      <c r="P679" s="6">
        <v>0</v>
      </c>
      <c r="Q679" s="6">
        <v>58653</v>
      </c>
    </row>
    <row r="680" spans="1:17" x14ac:dyDescent="0.35">
      <c r="A680" s="1">
        <v>42326</v>
      </c>
      <c r="B680" s="6">
        <v>4428063</v>
      </c>
      <c r="C680" s="6">
        <v>2747364</v>
      </c>
      <c r="D680" s="6">
        <v>0</v>
      </c>
      <c r="E680" s="6">
        <v>2611966</v>
      </c>
      <c r="F680" s="6">
        <v>112494</v>
      </c>
      <c r="G680" s="6">
        <v>4705</v>
      </c>
      <c r="H680" s="6">
        <v>18199</v>
      </c>
      <c r="I680" s="6">
        <v>313730</v>
      </c>
      <c r="J680" s="6">
        <v>1359948</v>
      </c>
      <c r="K680" s="6">
        <v>421</v>
      </c>
      <c r="L680" s="6"/>
      <c r="M680" s="6">
        <v>6600</v>
      </c>
      <c r="N680" s="6">
        <v>29329</v>
      </c>
      <c r="O680" s="6">
        <v>29329</v>
      </c>
      <c r="P680" s="6">
        <v>0</v>
      </c>
      <c r="Q680" s="6">
        <v>58658</v>
      </c>
    </row>
    <row r="681" spans="1:17" x14ac:dyDescent="0.35">
      <c r="A681" s="1">
        <v>42333</v>
      </c>
      <c r="B681" s="6">
        <v>4418404</v>
      </c>
      <c r="C681" s="6">
        <v>2753887</v>
      </c>
      <c r="D681" s="6">
        <v>0</v>
      </c>
      <c r="E681" s="6">
        <v>2574961</v>
      </c>
      <c r="F681" s="6">
        <v>154215</v>
      </c>
      <c r="G681" s="6">
        <v>5220</v>
      </c>
      <c r="H681" s="6">
        <v>19491</v>
      </c>
      <c r="I681" s="6">
        <v>291792</v>
      </c>
      <c r="J681" s="6">
        <v>1365308</v>
      </c>
      <c r="K681" s="6">
        <v>433</v>
      </c>
      <c r="L681" s="6"/>
      <c r="M681" s="6">
        <v>6984</v>
      </c>
      <c r="N681" s="6">
        <v>29342</v>
      </c>
      <c r="O681" s="6">
        <v>29342</v>
      </c>
      <c r="P681" s="6">
        <v>0</v>
      </c>
      <c r="Q681" s="6">
        <v>58684</v>
      </c>
    </row>
    <row r="682" spans="1:17" x14ac:dyDescent="0.35">
      <c r="A682" s="1">
        <v>42340</v>
      </c>
      <c r="B682" s="6">
        <v>4419384</v>
      </c>
      <c r="C682" s="6">
        <v>2775390</v>
      </c>
      <c r="D682" s="6">
        <v>0</v>
      </c>
      <c r="E682" s="6">
        <v>2532190</v>
      </c>
      <c r="F682" s="6">
        <v>217267</v>
      </c>
      <c r="G682" s="6">
        <v>5221</v>
      </c>
      <c r="H682" s="6">
        <v>20712</v>
      </c>
      <c r="I682" s="6">
        <v>270349</v>
      </c>
      <c r="J682" s="6">
        <v>1366602</v>
      </c>
      <c r="K682" s="6">
        <v>299</v>
      </c>
      <c r="L682" s="6"/>
      <c r="M682" s="6">
        <v>6745</v>
      </c>
      <c r="N682" s="6">
        <v>29343</v>
      </c>
      <c r="O682" s="6">
        <v>29343</v>
      </c>
      <c r="P682" s="6">
        <v>0</v>
      </c>
      <c r="Q682" s="6">
        <v>58685</v>
      </c>
    </row>
    <row r="683" spans="1:17" x14ac:dyDescent="0.35">
      <c r="A683" s="1">
        <v>42347</v>
      </c>
      <c r="B683" s="6">
        <v>4421737</v>
      </c>
      <c r="C683" s="6">
        <v>2762230</v>
      </c>
      <c r="D683" s="6">
        <v>43832</v>
      </c>
      <c r="E683" s="6">
        <v>2510015</v>
      </c>
      <c r="F683" s="6">
        <v>175746</v>
      </c>
      <c r="G683" s="6">
        <v>5429</v>
      </c>
      <c r="H683" s="6">
        <v>27208</v>
      </c>
      <c r="I683" s="6">
        <v>283830</v>
      </c>
      <c r="J683" s="6">
        <v>1367342</v>
      </c>
      <c r="K683" s="6">
        <v>323</v>
      </c>
      <c r="L683" s="6"/>
      <c r="M683" s="6">
        <v>8012</v>
      </c>
      <c r="N683" s="6">
        <v>29350</v>
      </c>
      <c r="O683" s="6">
        <v>29350</v>
      </c>
      <c r="P683" s="6">
        <v>0</v>
      </c>
      <c r="Q683" s="6">
        <v>58700</v>
      </c>
    </row>
    <row r="684" spans="1:17" x14ac:dyDescent="0.35">
      <c r="A684" s="1">
        <v>42354</v>
      </c>
      <c r="B684" s="6">
        <v>4430874</v>
      </c>
      <c r="C684" s="6">
        <v>2747491</v>
      </c>
      <c r="D684" s="6">
        <v>0</v>
      </c>
      <c r="E684" s="6">
        <v>2460053</v>
      </c>
      <c r="F684" s="6">
        <v>266187</v>
      </c>
      <c r="G684" s="6">
        <v>5231</v>
      </c>
      <c r="H684" s="6">
        <v>16020</v>
      </c>
      <c r="I684" s="6">
        <v>306718</v>
      </c>
      <c r="J684" s="6">
        <v>1368985</v>
      </c>
      <c r="K684" s="6">
        <v>333</v>
      </c>
      <c r="L684" s="6"/>
      <c r="M684" s="6">
        <v>7346</v>
      </c>
      <c r="N684" s="6">
        <v>29359</v>
      </c>
      <c r="O684" s="6">
        <v>29359</v>
      </c>
      <c r="P684" s="6">
        <v>0</v>
      </c>
      <c r="Q684" s="6">
        <v>58719</v>
      </c>
    </row>
    <row r="685" spans="1:17" x14ac:dyDescent="0.35">
      <c r="A685" s="1">
        <v>42361</v>
      </c>
      <c r="B685" s="6">
        <v>4437804</v>
      </c>
      <c r="C685" s="6">
        <v>2664314</v>
      </c>
      <c r="D685" s="6">
        <v>0</v>
      </c>
      <c r="E685" s="6">
        <v>2371079</v>
      </c>
      <c r="F685" s="6">
        <v>266131</v>
      </c>
      <c r="G685" s="6">
        <v>5230</v>
      </c>
      <c r="H685" s="6">
        <v>21874</v>
      </c>
      <c r="I685" s="6">
        <v>389586</v>
      </c>
      <c r="J685" s="6">
        <v>1376353</v>
      </c>
      <c r="K685" s="6">
        <v>482</v>
      </c>
      <c r="L685" s="6"/>
      <c r="M685" s="6">
        <v>7069</v>
      </c>
      <c r="N685" s="6">
        <v>29360</v>
      </c>
      <c r="O685" s="6">
        <v>29360</v>
      </c>
      <c r="P685" s="6">
        <v>0</v>
      </c>
      <c r="Q685" s="6">
        <v>58720</v>
      </c>
    </row>
    <row r="686" spans="1:17" x14ac:dyDescent="0.35">
      <c r="A686" s="1">
        <v>42368</v>
      </c>
      <c r="B686" s="6">
        <v>4447136</v>
      </c>
      <c r="C686" s="6">
        <v>2560670</v>
      </c>
      <c r="D686" s="6">
        <v>0</v>
      </c>
      <c r="E686" s="6">
        <v>2208683</v>
      </c>
      <c r="F686" s="6">
        <v>324846</v>
      </c>
      <c r="G686" s="6">
        <v>5231</v>
      </c>
      <c r="H686" s="6">
        <v>21910</v>
      </c>
      <c r="I686" s="6">
        <v>498519</v>
      </c>
      <c r="J686" s="6">
        <v>1380759</v>
      </c>
      <c r="K686" s="6">
        <v>284</v>
      </c>
      <c r="L686" s="6"/>
      <c r="M686" s="6">
        <v>6903</v>
      </c>
      <c r="N686" s="6">
        <v>29451</v>
      </c>
      <c r="O686" s="6">
        <v>10000</v>
      </c>
      <c r="P686" s="6">
        <v>0</v>
      </c>
      <c r="Q686" s="6">
        <v>39451</v>
      </c>
    </row>
    <row r="687" spans="1:17" x14ac:dyDescent="0.35">
      <c r="A687" s="1">
        <v>42375</v>
      </c>
      <c r="B687" s="6">
        <v>4447101</v>
      </c>
      <c r="C687" s="6">
        <v>2719144</v>
      </c>
      <c r="D687" s="6">
        <v>0</v>
      </c>
      <c r="E687" s="6">
        <v>2353501</v>
      </c>
      <c r="F687" s="6">
        <v>337737</v>
      </c>
      <c r="G687" s="6">
        <v>5241</v>
      </c>
      <c r="H687" s="6">
        <v>22665</v>
      </c>
      <c r="I687" s="6">
        <v>344965</v>
      </c>
      <c r="J687" s="6">
        <v>1376501</v>
      </c>
      <c r="K687" s="6">
        <v>344</v>
      </c>
      <c r="L687" s="6"/>
      <c r="M687" s="6">
        <v>6147</v>
      </c>
      <c r="N687" s="6">
        <v>29505</v>
      </c>
      <c r="O687" s="6">
        <v>10000</v>
      </c>
      <c r="P687" s="6">
        <v>0</v>
      </c>
      <c r="Q687" s="6">
        <v>39505</v>
      </c>
    </row>
    <row r="688" spans="1:17" x14ac:dyDescent="0.35">
      <c r="A688" s="1">
        <v>42382</v>
      </c>
      <c r="B688" s="6">
        <v>4462191</v>
      </c>
      <c r="C688" s="6">
        <v>2782563</v>
      </c>
      <c r="D688" s="6">
        <v>0</v>
      </c>
      <c r="E688" s="6">
        <v>2450827</v>
      </c>
      <c r="F688" s="6">
        <v>302240</v>
      </c>
      <c r="G688" s="6">
        <v>5231</v>
      </c>
      <c r="H688" s="6">
        <v>24266</v>
      </c>
      <c r="I688" s="6">
        <v>301103</v>
      </c>
      <c r="J688" s="6">
        <v>1370224</v>
      </c>
      <c r="K688" s="6">
        <v>432</v>
      </c>
      <c r="L688" s="6"/>
      <c r="M688" s="6">
        <v>7869</v>
      </c>
      <c r="N688" s="6">
        <v>29504</v>
      </c>
      <c r="O688" s="6">
        <v>10000</v>
      </c>
      <c r="P688" s="6">
        <v>0</v>
      </c>
      <c r="Q688" s="6">
        <v>39504</v>
      </c>
    </row>
    <row r="689" spans="1:17" x14ac:dyDescent="0.35">
      <c r="A689" s="1">
        <v>42389</v>
      </c>
      <c r="B689" s="6">
        <v>4449336</v>
      </c>
      <c r="C689" s="6">
        <v>2750451</v>
      </c>
      <c r="D689" s="6">
        <v>0</v>
      </c>
      <c r="E689" s="6">
        <v>2412078</v>
      </c>
      <c r="F689" s="6">
        <v>318749</v>
      </c>
      <c r="G689" s="6">
        <v>5231</v>
      </c>
      <c r="H689" s="6">
        <v>14393</v>
      </c>
      <c r="I689" s="6">
        <v>322974</v>
      </c>
      <c r="J689" s="6">
        <v>1369051</v>
      </c>
      <c r="K689" s="6">
        <v>423</v>
      </c>
      <c r="L689" s="6"/>
      <c r="M689" s="6">
        <v>6438</v>
      </c>
      <c r="N689" s="6">
        <v>29504</v>
      </c>
      <c r="O689" s="6">
        <v>10000</v>
      </c>
      <c r="P689" s="6">
        <v>0</v>
      </c>
      <c r="Q689" s="6">
        <v>39504</v>
      </c>
    </row>
    <row r="690" spans="1:17" x14ac:dyDescent="0.35">
      <c r="A690" s="1">
        <v>42396</v>
      </c>
      <c r="B690" s="6">
        <v>4442845</v>
      </c>
      <c r="C690" s="6">
        <v>2759258</v>
      </c>
      <c r="D690" s="6">
        <v>0</v>
      </c>
      <c r="E690" s="6">
        <v>2399267</v>
      </c>
      <c r="F690" s="6">
        <v>337973</v>
      </c>
      <c r="G690" s="6">
        <v>5233</v>
      </c>
      <c r="H690" s="6">
        <v>16786</v>
      </c>
      <c r="I690" s="6">
        <v>309105</v>
      </c>
      <c r="J690" s="6">
        <v>1368187</v>
      </c>
      <c r="K690" s="6">
        <v>466</v>
      </c>
      <c r="L690" s="6"/>
      <c r="M690" s="6">
        <v>5829</v>
      </c>
      <c r="N690" s="6">
        <v>29504</v>
      </c>
      <c r="O690" s="6">
        <v>10000</v>
      </c>
      <c r="P690" s="6">
        <v>0</v>
      </c>
      <c r="Q690" s="6">
        <v>39504</v>
      </c>
    </row>
    <row r="691" spans="1:17" x14ac:dyDescent="0.35">
      <c r="A691" s="1">
        <v>42403</v>
      </c>
      <c r="B691" s="6">
        <v>4443989</v>
      </c>
      <c r="C691" s="6">
        <v>2774384</v>
      </c>
      <c r="D691" s="6">
        <v>0</v>
      </c>
      <c r="E691" s="6">
        <v>2441276</v>
      </c>
      <c r="F691" s="6">
        <v>312633</v>
      </c>
      <c r="G691" s="6">
        <v>5539</v>
      </c>
      <c r="H691" s="6">
        <v>14936</v>
      </c>
      <c r="I691" s="6">
        <v>292271</v>
      </c>
      <c r="J691" s="6">
        <v>1370254</v>
      </c>
      <c r="K691" s="6">
        <v>198</v>
      </c>
      <c r="L691" s="6"/>
      <c r="M691" s="6">
        <v>6881</v>
      </c>
      <c r="N691" s="6">
        <v>29506</v>
      </c>
      <c r="O691" s="6">
        <v>10000</v>
      </c>
      <c r="P691" s="6">
        <v>0</v>
      </c>
      <c r="Q691" s="6">
        <v>39506</v>
      </c>
    </row>
    <row r="692" spans="1:17" x14ac:dyDescent="0.35">
      <c r="A692" s="1">
        <v>42410</v>
      </c>
      <c r="B692" s="6">
        <v>4446766</v>
      </c>
      <c r="C692" s="6">
        <v>2783045</v>
      </c>
      <c r="D692" s="6">
        <v>0</v>
      </c>
      <c r="E692" s="6">
        <v>2483140</v>
      </c>
      <c r="F692" s="6">
        <v>276161</v>
      </c>
      <c r="G692" s="6">
        <v>5237</v>
      </c>
      <c r="H692" s="6">
        <v>18507</v>
      </c>
      <c r="I692" s="6">
        <v>282372</v>
      </c>
      <c r="J692" s="6">
        <v>1373926</v>
      </c>
      <c r="K692" s="6">
        <v>458</v>
      </c>
      <c r="L692" s="6"/>
      <c r="M692" s="6">
        <v>6965</v>
      </c>
      <c r="N692" s="6">
        <v>29512</v>
      </c>
      <c r="O692" s="6">
        <v>10000</v>
      </c>
      <c r="P692" s="6">
        <v>0</v>
      </c>
      <c r="Q692" s="6">
        <v>39512</v>
      </c>
    </row>
    <row r="693" spans="1:17" x14ac:dyDescent="0.35">
      <c r="A693" s="1">
        <v>42417</v>
      </c>
      <c r="B693" s="6">
        <v>4444110</v>
      </c>
      <c r="C693" s="6">
        <v>2755816</v>
      </c>
      <c r="D693" s="6">
        <v>0</v>
      </c>
      <c r="E693" s="6">
        <v>2490021</v>
      </c>
      <c r="F693" s="6">
        <v>242350</v>
      </c>
      <c r="G693" s="6">
        <v>5238</v>
      </c>
      <c r="H693" s="6">
        <v>18207</v>
      </c>
      <c r="I693" s="6">
        <v>298746</v>
      </c>
      <c r="J693" s="6">
        <v>1382645</v>
      </c>
      <c r="K693" s="6">
        <v>314</v>
      </c>
      <c r="L693" s="6"/>
      <c r="M693" s="6">
        <v>6590</v>
      </c>
      <c r="N693" s="6">
        <v>29519</v>
      </c>
      <c r="O693" s="6">
        <v>10000</v>
      </c>
      <c r="P693" s="6">
        <v>0</v>
      </c>
      <c r="Q693" s="6">
        <v>39519</v>
      </c>
    </row>
    <row r="694" spans="1:17" x14ac:dyDescent="0.35">
      <c r="A694" s="1">
        <v>42424</v>
      </c>
      <c r="B694" s="6">
        <v>4450263</v>
      </c>
      <c r="C694" s="6">
        <v>2771511</v>
      </c>
      <c r="D694" s="6">
        <v>63907</v>
      </c>
      <c r="E694" s="6">
        <v>2426047</v>
      </c>
      <c r="F694" s="6">
        <v>216862</v>
      </c>
      <c r="G694" s="6">
        <v>5238</v>
      </c>
      <c r="H694" s="6">
        <v>59457</v>
      </c>
      <c r="I694" s="6">
        <v>286676</v>
      </c>
      <c r="J694" s="6">
        <v>1385083</v>
      </c>
      <c r="K694" s="6">
        <v>672</v>
      </c>
      <c r="L694" s="6"/>
      <c r="M694" s="6">
        <v>6321</v>
      </c>
      <c r="N694" s="6">
        <v>29532</v>
      </c>
      <c r="O694" s="6">
        <v>10000</v>
      </c>
      <c r="P694" s="6">
        <v>0</v>
      </c>
      <c r="Q694" s="6">
        <v>39532</v>
      </c>
    </row>
    <row r="695" spans="1:17" x14ac:dyDescent="0.35">
      <c r="A695" s="1">
        <v>42431</v>
      </c>
      <c r="B695" s="6">
        <v>4438960</v>
      </c>
      <c r="C695" s="6">
        <v>2753010</v>
      </c>
      <c r="D695" s="6">
        <v>0</v>
      </c>
      <c r="E695" s="6">
        <v>2496582</v>
      </c>
      <c r="F695" s="6">
        <v>229388</v>
      </c>
      <c r="G695" s="6">
        <v>5240</v>
      </c>
      <c r="H695" s="6">
        <v>21800</v>
      </c>
      <c r="I695" s="6">
        <v>291425</v>
      </c>
      <c r="J695" s="6">
        <v>1387972</v>
      </c>
      <c r="K695" s="6">
        <v>443</v>
      </c>
      <c r="L695" s="6"/>
      <c r="M695" s="6">
        <v>6110</v>
      </c>
      <c r="N695" s="6">
        <v>29526</v>
      </c>
      <c r="O695" s="6">
        <v>10000</v>
      </c>
      <c r="P695" s="6">
        <v>0</v>
      </c>
      <c r="Q695" s="6">
        <v>39526</v>
      </c>
    </row>
    <row r="696" spans="1:17" x14ac:dyDescent="0.35">
      <c r="A696" s="1">
        <v>42438</v>
      </c>
      <c r="B696" s="6">
        <v>4441548</v>
      </c>
      <c r="C696" s="6">
        <v>2759021</v>
      </c>
      <c r="D696" s="6">
        <v>0</v>
      </c>
      <c r="E696" s="6">
        <v>2533225</v>
      </c>
      <c r="F696" s="6">
        <v>196297</v>
      </c>
      <c r="G696" s="6">
        <v>5171</v>
      </c>
      <c r="H696" s="6">
        <v>24327</v>
      </c>
      <c r="I696" s="6">
        <v>283433</v>
      </c>
      <c r="J696" s="6">
        <v>1391874</v>
      </c>
      <c r="K696" s="6">
        <v>388</v>
      </c>
      <c r="L696" s="6"/>
      <c r="M696" s="6">
        <v>6833</v>
      </c>
      <c r="N696" s="6">
        <v>29535</v>
      </c>
      <c r="O696" s="6">
        <v>10000</v>
      </c>
      <c r="P696" s="6">
        <v>0</v>
      </c>
      <c r="Q696" s="6">
        <v>39535</v>
      </c>
    </row>
    <row r="697" spans="1:17" x14ac:dyDescent="0.35">
      <c r="A697" s="1">
        <v>42445</v>
      </c>
      <c r="B697" s="6">
        <v>4446787</v>
      </c>
      <c r="C697" s="6">
        <v>2755993</v>
      </c>
      <c r="D697" s="6">
        <v>0</v>
      </c>
      <c r="E697" s="6">
        <v>2455522</v>
      </c>
      <c r="F697" s="6">
        <v>279081</v>
      </c>
      <c r="G697" s="6">
        <v>5175</v>
      </c>
      <c r="H697" s="6">
        <v>16215</v>
      </c>
      <c r="I697" s="6">
        <v>289888</v>
      </c>
      <c r="J697" s="6">
        <v>1393955</v>
      </c>
      <c r="K697" s="6">
        <v>345</v>
      </c>
      <c r="L697" s="6"/>
      <c r="M697" s="6">
        <v>6606</v>
      </c>
      <c r="N697" s="6">
        <v>29546</v>
      </c>
      <c r="O697" s="6">
        <v>10000</v>
      </c>
      <c r="P697" s="6">
        <v>0</v>
      </c>
      <c r="Q697" s="6">
        <v>39546</v>
      </c>
    </row>
    <row r="698" spans="1:17" x14ac:dyDescent="0.35">
      <c r="A698" s="1">
        <v>42452</v>
      </c>
      <c r="B698" s="6">
        <v>4452869</v>
      </c>
      <c r="C698" s="6">
        <v>2742498</v>
      </c>
      <c r="D698" s="6">
        <v>0</v>
      </c>
      <c r="E698" s="6">
        <v>2431826</v>
      </c>
      <c r="F698" s="6">
        <v>277707</v>
      </c>
      <c r="G698" s="6">
        <v>5173</v>
      </c>
      <c r="H698" s="6">
        <v>27793</v>
      </c>
      <c r="I698" s="6">
        <v>307555</v>
      </c>
      <c r="J698" s="6">
        <v>1395796</v>
      </c>
      <c r="K698" s="6">
        <v>397</v>
      </c>
      <c r="L698" s="6"/>
      <c r="M698" s="6">
        <v>6623</v>
      </c>
      <c r="N698" s="6">
        <v>29988</v>
      </c>
      <c r="O698" s="6">
        <v>10000</v>
      </c>
      <c r="P698" s="6">
        <v>0</v>
      </c>
      <c r="Q698" s="6">
        <v>39988</v>
      </c>
    </row>
    <row r="699" spans="1:17" x14ac:dyDescent="0.35">
      <c r="A699" s="1">
        <v>42459</v>
      </c>
      <c r="B699" s="6">
        <v>4442763</v>
      </c>
      <c r="C699" s="6">
        <v>2667221</v>
      </c>
      <c r="D699" s="6">
        <v>0</v>
      </c>
      <c r="E699" s="6">
        <v>2336086</v>
      </c>
      <c r="F699" s="6">
        <v>291912</v>
      </c>
      <c r="G699" s="6">
        <v>5172</v>
      </c>
      <c r="H699" s="6">
        <v>34050</v>
      </c>
      <c r="I699" s="6">
        <v>369688</v>
      </c>
      <c r="J699" s="6">
        <v>1397642</v>
      </c>
      <c r="K699" s="6">
        <v>1390</v>
      </c>
      <c r="L699" s="6"/>
      <c r="M699" s="6">
        <v>6823</v>
      </c>
      <c r="N699" s="6">
        <v>30077</v>
      </c>
      <c r="O699" s="6">
        <v>10000</v>
      </c>
      <c r="P699" s="6">
        <v>0</v>
      </c>
      <c r="Q699" s="6">
        <v>40077</v>
      </c>
    </row>
    <row r="700" spans="1:17" x14ac:dyDescent="0.35">
      <c r="A700" s="1">
        <v>42466</v>
      </c>
      <c r="B700" s="6">
        <v>4444010</v>
      </c>
      <c r="C700" s="6">
        <v>2768102</v>
      </c>
      <c r="D700" s="6">
        <v>0</v>
      </c>
      <c r="E700" s="6">
        <v>2467091</v>
      </c>
      <c r="F700" s="6">
        <v>263537</v>
      </c>
      <c r="G700" s="6">
        <v>5173</v>
      </c>
      <c r="H700" s="6">
        <v>32301</v>
      </c>
      <c r="I700" s="6">
        <v>268507</v>
      </c>
      <c r="J700" s="6">
        <v>1400041</v>
      </c>
      <c r="K700" s="6">
        <v>547</v>
      </c>
      <c r="L700" s="6"/>
      <c r="M700" s="6">
        <v>6813</v>
      </c>
      <c r="N700" s="6">
        <v>30059</v>
      </c>
      <c r="O700" s="6">
        <v>10000</v>
      </c>
      <c r="P700" s="6">
        <v>0</v>
      </c>
      <c r="Q700" s="6">
        <v>40059</v>
      </c>
    </row>
    <row r="701" spans="1:17" x14ac:dyDescent="0.35">
      <c r="A701" s="1">
        <v>42473</v>
      </c>
      <c r="B701" s="6">
        <v>4459672</v>
      </c>
      <c r="C701" s="6">
        <v>2792564</v>
      </c>
      <c r="D701" s="6">
        <v>0</v>
      </c>
      <c r="E701" s="6">
        <v>2509845</v>
      </c>
      <c r="F701" s="6">
        <v>237928</v>
      </c>
      <c r="G701" s="6">
        <v>5197</v>
      </c>
      <c r="H701" s="6">
        <v>39594</v>
      </c>
      <c r="I701" s="6">
        <v>258536</v>
      </c>
      <c r="J701" s="6">
        <v>1399277</v>
      </c>
      <c r="K701" s="6">
        <v>405</v>
      </c>
      <c r="L701" s="6"/>
      <c r="M701" s="6">
        <v>8890</v>
      </c>
      <c r="N701" s="6">
        <v>30057</v>
      </c>
      <c r="O701" s="6">
        <v>10000</v>
      </c>
      <c r="P701" s="6">
        <v>0</v>
      </c>
      <c r="Q701" s="6">
        <v>40057</v>
      </c>
    </row>
    <row r="702" spans="1:17" x14ac:dyDescent="0.35">
      <c r="A702" s="1">
        <v>42480</v>
      </c>
      <c r="B702" s="6">
        <v>4450097</v>
      </c>
      <c r="C702" s="6">
        <v>2774960</v>
      </c>
      <c r="D702" s="6">
        <v>0</v>
      </c>
      <c r="E702" s="6">
        <v>2404665</v>
      </c>
      <c r="F702" s="6">
        <v>337540</v>
      </c>
      <c r="G702" s="6">
        <v>5173</v>
      </c>
      <c r="H702" s="6">
        <v>27582</v>
      </c>
      <c r="I702" s="6">
        <v>268513</v>
      </c>
      <c r="J702" s="6">
        <v>1399868</v>
      </c>
      <c r="K702" s="6">
        <v>397</v>
      </c>
      <c r="L702" s="6"/>
      <c r="M702" s="6">
        <v>6359</v>
      </c>
      <c r="N702" s="6">
        <v>30034</v>
      </c>
      <c r="O702" s="6">
        <v>10000</v>
      </c>
      <c r="P702" s="6">
        <v>0</v>
      </c>
      <c r="Q702" s="6">
        <v>40034</v>
      </c>
    </row>
    <row r="703" spans="1:17" x14ac:dyDescent="0.35">
      <c r="A703" s="1">
        <v>42487</v>
      </c>
      <c r="B703" s="6">
        <v>4434628</v>
      </c>
      <c r="C703" s="6">
        <v>2757987</v>
      </c>
      <c r="D703" s="6">
        <v>0</v>
      </c>
      <c r="E703" s="6">
        <v>2353257</v>
      </c>
      <c r="F703" s="6">
        <v>372499</v>
      </c>
      <c r="G703" s="6">
        <v>5174</v>
      </c>
      <c r="H703" s="6">
        <v>27056</v>
      </c>
      <c r="I703" s="6">
        <v>267113</v>
      </c>
      <c r="J703" s="6">
        <v>1402602</v>
      </c>
      <c r="K703" s="6">
        <v>842</v>
      </c>
      <c r="L703" s="6"/>
      <c r="M703" s="6">
        <v>6084</v>
      </c>
      <c r="N703" s="6">
        <v>30038</v>
      </c>
      <c r="O703" s="6">
        <v>10000</v>
      </c>
      <c r="P703" s="6">
        <v>0</v>
      </c>
      <c r="Q703" s="6">
        <v>40038</v>
      </c>
    </row>
    <row r="704" spans="1:17" x14ac:dyDescent="0.35">
      <c r="A704" s="1">
        <v>42494</v>
      </c>
      <c r="B704" s="6">
        <v>4437231</v>
      </c>
      <c r="C704" s="6">
        <v>2747295</v>
      </c>
      <c r="D704" s="6">
        <v>0</v>
      </c>
      <c r="E704" s="6">
        <v>2383369</v>
      </c>
      <c r="F704" s="6">
        <v>323794</v>
      </c>
      <c r="G704" s="6">
        <v>5174</v>
      </c>
      <c r="H704" s="6">
        <v>34959</v>
      </c>
      <c r="I704" s="6">
        <v>276795</v>
      </c>
      <c r="J704" s="6">
        <v>1405515</v>
      </c>
      <c r="K704" s="6">
        <v>381</v>
      </c>
      <c r="L704" s="6"/>
      <c r="M704" s="6">
        <v>7245</v>
      </c>
      <c r="N704" s="6">
        <v>30038</v>
      </c>
      <c r="O704" s="6">
        <v>10000</v>
      </c>
      <c r="P704" s="6">
        <v>0</v>
      </c>
      <c r="Q704" s="6">
        <v>40038</v>
      </c>
    </row>
    <row r="705" spans="1:17" x14ac:dyDescent="0.35">
      <c r="A705" s="1">
        <v>42501</v>
      </c>
      <c r="B705" s="6">
        <v>4438369</v>
      </c>
      <c r="C705" s="6">
        <v>2754541</v>
      </c>
      <c r="D705" s="6">
        <v>0</v>
      </c>
      <c r="E705" s="6">
        <v>2409768</v>
      </c>
      <c r="F705" s="6">
        <v>305842</v>
      </c>
      <c r="G705" s="6">
        <v>5174</v>
      </c>
      <c r="H705" s="6">
        <v>33757</v>
      </c>
      <c r="I705" s="6">
        <v>269589</v>
      </c>
      <c r="J705" s="6">
        <v>1406817</v>
      </c>
      <c r="K705" s="6">
        <v>324</v>
      </c>
      <c r="L705" s="6"/>
      <c r="M705" s="6">
        <v>7098</v>
      </c>
      <c r="N705" s="6">
        <v>30042</v>
      </c>
      <c r="O705" s="6">
        <v>10000</v>
      </c>
      <c r="P705" s="6">
        <v>0</v>
      </c>
      <c r="Q705" s="6">
        <v>40042</v>
      </c>
    </row>
    <row r="706" spans="1:17" x14ac:dyDescent="0.35">
      <c r="A706" s="1">
        <v>42508</v>
      </c>
      <c r="B706" s="6">
        <v>4433673</v>
      </c>
      <c r="C706" s="6">
        <v>2707228</v>
      </c>
      <c r="D706" s="6">
        <v>0</v>
      </c>
      <c r="E706" s="6">
        <v>2399629</v>
      </c>
      <c r="F706" s="6">
        <v>277289</v>
      </c>
      <c r="G706" s="6">
        <v>5203</v>
      </c>
      <c r="H706" s="6">
        <v>25107</v>
      </c>
      <c r="I706" s="6">
        <v>312871</v>
      </c>
      <c r="J706" s="6">
        <v>1406583</v>
      </c>
      <c r="K706" s="6">
        <v>391</v>
      </c>
      <c r="L706" s="6"/>
      <c r="M706" s="6">
        <v>6601</v>
      </c>
      <c r="N706" s="6">
        <v>30068</v>
      </c>
      <c r="O706" s="6">
        <v>10000</v>
      </c>
      <c r="P706" s="6">
        <v>0</v>
      </c>
      <c r="Q706" s="6">
        <v>40068</v>
      </c>
    </row>
    <row r="707" spans="1:17" x14ac:dyDescent="0.35">
      <c r="A707" s="1">
        <v>42515</v>
      </c>
      <c r="B707" s="6">
        <v>4421018</v>
      </c>
      <c r="C707" s="6">
        <v>2694437</v>
      </c>
      <c r="D707" s="6">
        <v>66820</v>
      </c>
      <c r="E707" s="6">
        <v>2339987</v>
      </c>
      <c r="F707" s="6">
        <v>257092</v>
      </c>
      <c r="G707" s="6">
        <v>5179</v>
      </c>
      <c r="H707" s="6">
        <v>25359</v>
      </c>
      <c r="I707" s="6">
        <v>311723</v>
      </c>
      <c r="J707" s="6">
        <v>1408488</v>
      </c>
      <c r="K707" s="6">
        <v>275</v>
      </c>
      <c r="L707" s="6"/>
      <c r="M707" s="6">
        <v>6095</v>
      </c>
      <c r="N707" s="6">
        <v>30094</v>
      </c>
      <c r="O707" s="6">
        <v>10000</v>
      </c>
      <c r="P707" s="6">
        <v>0</v>
      </c>
      <c r="Q707" s="6">
        <v>40094</v>
      </c>
    </row>
    <row r="708" spans="1:17" x14ac:dyDescent="0.35">
      <c r="A708" s="1">
        <v>42522</v>
      </c>
      <c r="B708" s="6">
        <v>4421303</v>
      </c>
      <c r="C708" s="6">
        <v>2697830</v>
      </c>
      <c r="D708" s="6">
        <v>0</v>
      </c>
      <c r="E708" s="6">
        <v>2400969</v>
      </c>
      <c r="F708" s="6">
        <v>259693</v>
      </c>
      <c r="G708" s="6">
        <v>5179</v>
      </c>
      <c r="H708" s="6">
        <v>31989</v>
      </c>
      <c r="I708" s="6">
        <v>302674</v>
      </c>
      <c r="J708" s="6">
        <v>1413557</v>
      </c>
      <c r="K708" s="6">
        <v>568</v>
      </c>
      <c r="L708" s="6"/>
      <c r="M708" s="6">
        <v>6673</v>
      </c>
      <c r="N708" s="6">
        <v>30090</v>
      </c>
      <c r="O708" s="6">
        <v>10000</v>
      </c>
      <c r="P708" s="6">
        <v>0</v>
      </c>
      <c r="Q708" s="6">
        <v>40090</v>
      </c>
    </row>
    <row r="709" spans="1:17" x14ac:dyDescent="0.35">
      <c r="A709" s="1">
        <v>42529</v>
      </c>
      <c r="B709" s="6">
        <v>4423447</v>
      </c>
      <c r="C709" s="6">
        <v>2717957</v>
      </c>
      <c r="D709" s="6">
        <v>0</v>
      </c>
      <c r="E709" s="6">
        <v>2448818</v>
      </c>
      <c r="F709" s="6">
        <v>225116</v>
      </c>
      <c r="G709" s="6">
        <v>5195</v>
      </c>
      <c r="H709" s="6">
        <v>38828</v>
      </c>
      <c r="I709" s="6">
        <v>285035</v>
      </c>
      <c r="J709" s="6">
        <v>1412459</v>
      </c>
      <c r="K709" s="6">
        <v>292</v>
      </c>
      <c r="L709" s="6"/>
      <c r="M709" s="6">
        <v>7704</v>
      </c>
      <c r="N709" s="6">
        <v>30095</v>
      </c>
      <c r="O709" s="6">
        <v>10000</v>
      </c>
      <c r="P709" s="6">
        <v>0</v>
      </c>
      <c r="Q709" s="6">
        <v>40095</v>
      </c>
    </row>
    <row r="710" spans="1:17" x14ac:dyDescent="0.35">
      <c r="A710" s="1">
        <v>42536</v>
      </c>
      <c r="B710" s="6">
        <v>4432706</v>
      </c>
      <c r="C710" s="6">
        <v>2743055</v>
      </c>
      <c r="D710" s="6">
        <v>0</v>
      </c>
      <c r="E710" s="6">
        <v>2404901</v>
      </c>
      <c r="F710" s="6">
        <v>305523</v>
      </c>
      <c r="G710" s="6">
        <v>5197</v>
      </c>
      <c r="H710" s="6">
        <v>27434</v>
      </c>
      <c r="I710" s="6">
        <v>271369</v>
      </c>
      <c r="J710" s="6">
        <v>1411284</v>
      </c>
      <c r="K710" s="6">
        <v>402</v>
      </c>
      <c r="L710" s="6"/>
      <c r="M710" s="6">
        <v>6597</v>
      </c>
      <c r="N710" s="6">
        <v>30111</v>
      </c>
      <c r="O710" s="6">
        <v>10000</v>
      </c>
      <c r="P710" s="6">
        <v>0</v>
      </c>
      <c r="Q710" s="6">
        <v>40111</v>
      </c>
    </row>
    <row r="711" spans="1:17" x14ac:dyDescent="0.35">
      <c r="A711" s="1">
        <v>42543</v>
      </c>
      <c r="B711" s="6">
        <v>4441895</v>
      </c>
      <c r="C711" s="6">
        <v>2688193</v>
      </c>
      <c r="D711" s="6">
        <v>0</v>
      </c>
      <c r="E711" s="6">
        <v>2318595</v>
      </c>
      <c r="F711" s="6">
        <v>331412</v>
      </c>
      <c r="G711" s="6">
        <v>5196</v>
      </c>
      <c r="H711" s="6">
        <v>32991</v>
      </c>
      <c r="I711" s="6">
        <v>335070</v>
      </c>
      <c r="J711" s="6">
        <v>1411173</v>
      </c>
      <c r="K711" s="6">
        <v>293</v>
      </c>
      <c r="L711" s="6"/>
      <c r="M711" s="6">
        <v>7166</v>
      </c>
      <c r="N711" s="6">
        <v>30114</v>
      </c>
      <c r="O711" s="6">
        <v>10000</v>
      </c>
      <c r="P711" s="6">
        <v>0</v>
      </c>
      <c r="Q711" s="6">
        <v>40114</v>
      </c>
    </row>
    <row r="712" spans="1:17" x14ac:dyDescent="0.35">
      <c r="A712" s="1">
        <v>42550</v>
      </c>
      <c r="B712" s="6">
        <v>4426369</v>
      </c>
      <c r="C712" s="6">
        <v>2597913</v>
      </c>
      <c r="D712" s="6">
        <v>0</v>
      </c>
      <c r="E712" s="6">
        <v>2199119</v>
      </c>
      <c r="F712" s="6">
        <v>346632</v>
      </c>
      <c r="G712" s="6">
        <v>5194</v>
      </c>
      <c r="H712" s="6">
        <v>46968</v>
      </c>
      <c r="I712" s="6">
        <v>403727</v>
      </c>
      <c r="J712" s="6">
        <v>1416748</v>
      </c>
      <c r="K712" s="6">
        <v>1406</v>
      </c>
      <c r="L712" s="6"/>
      <c r="M712" s="6">
        <v>6575</v>
      </c>
      <c r="N712" s="6">
        <v>30113</v>
      </c>
      <c r="O712" s="6">
        <v>10000</v>
      </c>
      <c r="P712" s="6">
        <v>0</v>
      </c>
      <c r="Q712" s="6">
        <v>40113</v>
      </c>
    </row>
    <row r="713" spans="1:17" x14ac:dyDescent="0.35">
      <c r="A713" s="1">
        <v>42557</v>
      </c>
      <c r="B713" s="6">
        <v>4430497</v>
      </c>
      <c r="C713" s="6">
        <v>2663282</v>
      </c>
      <c r="D713" s="6">
        <v>0</v>
      </c>
      <c r="E713" s="6">
        <v>2308282</v>
      </c>
      <c r="F713" s="6">
        <v>298044</v>
      </c>
      <c r="G713" s="6">
        <v>5196</v>
      </c>
      <c r="H713" s="6">
        <v>51760</v>
      </c>
      <c r="I713" s="6">
        <v>338376</v>
      </c>
      <c r="J713" s="6">
        <v>1420861</v>
      </c>
      <c r="K713" s="6">
        <v>684</v>
      </c>
      <c r="L713" s="6"/>
      <c r="M713" s="6">
        <v>7294</v>
      </c>
      <c r="N713" s="6">
        <v>30108</v>
      </c>
      <c r="O713" s="6">
        <v>10000</v>
      </c>
      <c r="P713" s="6">
        <v>0</v>
      </c>
      <c r="Q713" s="6">
        <v>40108</v>
      </c>
    </row>
    <row r="714" spans="1:17" x14ac:dyDescent="0.35">
      <c r="A714" s="1">
        <v>42564</v>
      </c>
      <c r="B714" s="6">
        <v>4432095</v>
      </c>
      <c r="C714" s="6">
        <v>2706654</v>
      </c>
      <c r="D714" s="6">
        <v>0</v>
      </c>
      <c r="E714" s="6">
        <v>2327301</v>
      </c>
      <c r="F714" s="6">
        <v>307707</v>
      </c>
      <c r="G714" s="6">
        <v>5196</v>
      </c>
      <c r="H714" s="6">
        <v>66450</v>
      </c>
      <c r="I714" s="6">
        <v>299476</v>
      </c>
      <c r="J714" s="6">
        <v>1418595</v>
      </c>
      <c r="K714" s="6">
        <v>640</v>
      </c>
      <c r="L714" s="6"/>
      <c r="M714" s="6">
        <v>6731</v>
      </c>
      <c r="N714" s="6">
        <v>30107</v>
      </c>
      <c r="O714" s="6">
        <v>10000</v>
      </c>
      <c r="P714" s="6">
        <v>0</v>
      </c>
      <c r="Q714" s="6">
        <v>40107</v>
      </c>
    </row>
    <row r="715" spans="1:17" x14ac:dyDescent="0.35">
      <c r="A715" s="1">
        <v>42571</v>
      </c>
      <c r="B715" s="6">
        <v>4440881</v>
      </c>
      <c r="C715" s="6">
        <v>2688247</v>
      </c>
      <c r="D715" s="6">
        <v>0</v>
      </c>
      <c r="E715" s="6">
        <v>2318251</v>
      </c>
      <c r="F715" s="6">
        <v>327138</v>
      </c>
      <c r="G715" s="6">
        <v>5219</v>
      </c>
      <c r="H715" s="6">
        <v>37639</v>
      </c>
      <c r="I715" s="6">
        <v>328316</v>
      </c>
      <c r="J715" s="6">
        <v>1416605</v>
      </c>
      <c r="K715" s="6">
        <v>382</v>
      </c>
      <c r="L715" s="6"/>
      <c r="M715" s="6">
        <v>7332</v>
      </c>
      <c r="N715" s="6">
        <v>30092</v>
      </c>
      <c r="O715" s="6">
        <v>10000</v>
      </c>
      <c r="P715" s="6">
        <v>0</v>
      </c>
      <c r="Q715" s="6">
        <v>40092</v>
      </c>
    </row>
    <row r="716" spans="1:17" x14ac:dyDescent="0.35">
      <c r="A716" s="1">
        <v>42578</v>
      </c>
      <c r="B716" s="6">
        <v>4424406</v>
      </c>
      <c r="C716" s="6">
        <v>2691974</v>
      </c>
      <c r="D716" s="6">
        <v>0</v>
      </c>
      <c r="E716" s="6">
        <v>2332237</v>
      </c>
      <c r="F716" s="6">
        <v>316238</v>
      </c>
      <c r="G716" s="6">
        <v>5269</v>
      </c>
      <c r="H716" s="6">
        <v>38230</v>
      </c>
      <c r="I716" s="6">
        <v>309026</v>
      </c>
      <c r="J716" s="6">
        <v>1416578</v>
      </c>
      <c r="K716" s="6">
        <v>760</v>
      </c>
      <c r="L716" s="6"/>
      <c r="M716" s="6">
        <v>6068</v>
      </c>
      <c r="N716" s="6">
        <v>30092</v>
      </c>
      <c r="O716" s="6">
        <v>10000</v>
      </c>
      <c r="P716" s="6">
        <v>0</v>
      </c>
      <c r="Q716" s="6">
        <v>40092</v>
      </c>
    </row>
    <row r="717" spans="1:17" x14ac:dyDescent="0.35">
      <c r="A717" s="1">
        <v>42585</v>
      </c>
      <c r="B717" s="6">
        <v>4426685</v>
      </c>
      <c r="C717" s="6">
        <v>2688729</v>
      </c>
      <c r="D717" s="6">
        <v>0</v>
      </c>
      <c r="E717" s="6">
        <v>2403064</v>
      </c>
      <c r="F717" s="6">
        <v>245682</v>
      </c>
      <c r="G717" s="6">
        <v>5197</v>
      </c>
      <c r="H717" s="6">
        <v>34787</v>
      </c>
      <c r="I717" s="6">
        <v>311254</v>
      </c>
      <c r="J717" s="6">
        <v>1418934</v>
      </c>
      <c r="K717" s="6">
        <v>460</v>
      </c>
      <c r="L717" s="6"/>
      <c r="M717" s="6">
        <v>7307</v>
      </c>
      <c r="N717" s="6">
        <v>30108</v>
      </c>
      <c r="O717" s="6">
        <v>10000</v>
      </c>
      <c r="P717" s="6">
        <v>0</v>
      </c>
      <c r="Q717" s="6">
        <v>40108</v>
      </c>
    </row>
    <row r="718" spans="1:17" x14ac:dyDescent="0.35">
      <c r="A718" s="1">
        <v>42592</v>
      </c>
      <c r="B718" s="6">
        <v>4428809</v>
      </c>
      <c r="C718" s="6">
        <v>2680851</v>
      </c>
      <c r="D718" s="6">
        <v>0</v>
      </c>
      <c r="E718" s="6">
        <v>2382780</v>
      </c>
      <c r="F718" s="6">
        <v>252095</v>
      </c>
      <c r="G718" s="6">
        <v>5196</v>
      </c>
      <c r="H718" s="6">
        <v>40780</v>
      </c>
      <c r="I718" s="6">
        <v>321071</v>
      </c>
      <c r="J718" s="6">
        <v>1419376</v>
      </c>
      <c r="K718" s="6">
        <v>529</v>
      </c>
      <c r="L718" s="6"/>
      <c r="M718" s="6">
        <v>6982</v>
      </c>
      <c r="N718" s="6">
        <v>30120</v>
      </c>
      <c r="O718" s="6">
        <v>10000</v>
      </c>
      <c r="P718" s="6">
        <v>0</v>
      </c>
      <c r="Q718" s="6">
        <v>40120</v>
      </c>
    </row>
    <row r="719" spans="1:17" x14ac:dyDescent="0.35">
      <c r="A719" s="1">
        <v>42599</v>
      </c>
      <c r="B719" s="6">
        <v>4426337</v>
      </c>
      <c r="C719" s="6">
        <v>2676641</v>
      </c>
      <c r="D719" s="6">
        <v>58594</v>
      </c>
      <c r="E719" s="6">
        <v>2335873</v>
      </c>
      <c r="F719" s="6">
        <v>241426</v>
      </c>
      <c r="G719" s="6">
        <v>5265</v>
      </c>
      <c r="H719" s="6">
        <v>35483</v>
      </c>
      <c r="I719" s="6">
        <v>323693</v>
      </c>
      <c r="J719" s="6">
        <v>1418599</v>
      </c>
      <c r="K719" s="6">
        <v>522</v>
      </c>
      <c r="L719" s="6"/>
      <c r="M719" s="6">
        <v>6882</v>
      </c>
      <c r="N719" s="6">
        <v>30139</v>
      </c>
      <c r="O719" s="6">
        <v>10000</v>
      </c>
      <c r="P719" s="6">
        <v>0</v>
      </c>
      <c r="Q719" s="6">
        <v>40139</v>
      </c>
    </row>
    <row r="720" spans="1:17" x14ac:dyDescent="0.35">
      <c r="A720" s="1">
        <v>42606</v>
      </c>
      <c r="B720" s="6">
        <v>4433696</v>
      </c>
      <c r="C720" s="6">
        <v>2671957</v>
      </c>
      <c r="D720" s="6">
        <v>0</v>
      </c>
      <c r="E720" s="6">
        <v>2341222</v>
      </c>
      <c r="F720" s="6">
        <v>244881</v>
      </c>
      <c r="G720" s="6">
        <v>5164</v>
      </c>
      <c r="H720" s="6">
        <v>80691</v>
      </c>
      <c r="I720" s="6">
        <v>335860</v>
      </c>
      <c r="J720" s="6">
        <v>1419069</v>
      </c>
      <c r="K720" s="6">
        <v>606</v>
      </c>
      <c r="L720" s="6"/>
      <c r="M720" s="6">
        <v>6203</v>
      </c>
      <c r="N720" s="6">
        <v>30144</v>
      </c>
      <c r="O720" s="6">
        <v>10000</v>
      </c>
      <c r="P720" s="6">
        <v>0</v>
      </c>
      <c r="Q720" s="6">
        <v>40144</v>
      </c>
    </row>
    <row r="721" spans="1:17" x14ac:dyDescent="0.35">
      <c r="A721" s="1">
        <v>42613</v>
      </c>
      <c r="B721" s="6">
        <v>4417762</v>
      </c>
      <c r="C721" s="6">
        <v>2565460</v>
      </c>
      <c r="D721" s="6">
        <v>0</v>
      </c>
      <c r="E721" s="6">
        <v>2230607</v>
      </c>
      <c r="F721" s="6">
        <v>288946</v>
      </c>
      <c r="G721" s="6">
        <v>5167</v>
      </c>
      <c r="H721" s="6">
        <v>40740</v>
      </c>
      <c r="I721" s="6">
        <v>422530</v>
      </c>
      <c r="J721" s="6">
        <v>1422618</v>
      </c>
      <c r="K721" s="6">
        <v>1366</v>
      </c>
      <c r="L721" s="6"/>
      <c r="M721" s="6">
        <v>5787</v>
      </c>
      <c r="N721" s="6">
        <v>30145</v>
      </c>
      <c r="O721" s="6">
        <v>10000</v>
      </c>
      <c r="P721" s="6">
        <v>0</v>
      </c>
      <c r="Q721" s="6">
        <v>40145</v>
      </c>
    </row>
    <row r="722" spans="1:17" x14ac:dyDescent="0.35">
      <c r="A722" s="1">
        <v>42620</v>
      </c>
      <c r="B722" s="6">
        <v>4419249</v>
      </c>
      <c r="C722" s="6">
        <v>2664553</v>
      </c>
      <c r="D722" s="6">
        <v>0</v>
      </c>
      <c r="E722" s="6">
        <v>2382028</v>
      </c>
      <c r="F722" s="6">
        <v>238152</v>
      </c>
      <c r="G722" s="6">
        <v>5167</v>
      </c>
      <c r="H722" s="6">
        <v>39205</v>
      </c>
      <c r="I722" s="6">
        <v>319779</v>
      </c>
      <c r="J722" s="6">
        <v>1427438</v>
      </c>
      <c r="K722" s="6">
        <v>650</v>
      </c>
      <c r="L722" s="6"/>
      <c r="M722" s="6">
        <v>6830</v>
      </c>
      <c r="N722" s="6">
        <v>30145</v>
      </c>
      <c r="O722" s="6">
        <v>10000</v>
      </c>
      <c r="P722" s="6">
        <v>0</v>
      </c>
      <c r="Q722" s="6">
        <v>40145</v>
      </c>
    </row>
    <row r="723" spans="1:17" x14ac:dyDescent="0.35">
      <c r="A723" s="1">
        <v>42627</v>
      </c>
      <c r="B723" s="6">
        <v>4441488</v>
      </c>
      <c r="C723" s="6">
        <v>2691034</v>
      </c>
      <c r="D723" s="6">
        <v>0</v>
      </c>
      <c r="E723" s="6">
        <v>2349288</v>
      </c>
      <c r="F723" s="6">
        <v>252691</v>
      </c>
      <c r="G723" s="6">
        <v>5166</v>
      </c>
      <c r="H723" s="6">
        <v>83889</v>
      </c>
      <c r="I723" s="6">
        <v>316600</v>
      </c>
      <c r="J723" s="6">
        <v>1424422</v>
      </c>
      <c r="K723" s="6">
        <v>761</v>
      </c>
      <c r="L723" s="6"/>
      <c r="M723" s="6">
        <v>8671</v>
      </c>
      <c r="N723" s="6">
        <v>30147</v>
      </c>
      <c r="O723" s="6">
        <v>10000</v>
      </c>
      <c r="P723" s="6">
        <v>0</v>
      </c>
      <c r="Q723" s="6">
        <v>40147</v>
      </c>
    </row>
    <row r="724" spans="1:17" x14ac:dyDescent="0.35">
      <c r="A724" s="1">
        <v>42634</v>
      </c>
      <c r="B724" s="6">
        <v>4432869</v>
      </c>
      <c r="C724" s="6">
        <v>2573677</v>
      </c>
      <c r="D724" s="6">
        <v>0</v>
      </c>
      <c r="E724" s="6">
        <v>2170319</v>
      </c>
      <c r="F724" s="6">
        <v>358603</v>
      </c>
      <c r="G724" s="6">
        <v>5168</v>
      </c>
      <c r="H724" s="6">
        <v>39588</v>
      </c>
      <c r="I724" s="6">
        <v>429394</v>
      </c>
      <c r="J724" s="6">
        <v>1422486</v>
      </c>
      <c r="K724" s="6">
        <v>365</v>
      </c>
      <c r="L724" s="6"/>
      <c r="M724" s="6">
        <v>6947</v>
      </c>
      <c r="N724" s="6">
        <v>30164</v>
      </c>
      <c r="O724" s="6">
        <v>10000</v>
      </c>
      <c r="P724" s="6">
        <v>0</v>
      </c>
      <c r="Q724" s="6">
        <v>40164</v>
      </c>
    </row>
    <row r="725" spans="1:17" x14ac:dyDescent="0.35">
      <c r="A725" s="1">
        <v>42641</v>
      </c>
      <c r="B725" s="6">
        <v>4411830</v>
      </c>
      <c r="C725" s="6">
        <v>2466121</v>
      </c>
      <c r="D725" s="6">
        <v>0</v>
      </c>
      <c r="E725" s="6">
        <v>2085237</v>
      </c>
      <c r="F725" s="6">
        <v>339619</v>
      </c>
      <c r="G725" s="6">
        <v>5165</v>
      </c>
      <c r="H725" s="6">
        <v>36100</v>
      </c>
      <c r="I725" s="6">
        <v>514810</v>
      </c>
      <c r="J725" s="6">
        <v>1423924</v>
      </c>
      <c r="K725" s="6">
        <v>756</v>
      </c>
      <c r="L725" s="6"/>
      <c r="M725" s="6">
        <v>6219</v>
      </c>
      <c r="N725" s="6">
        <v>30172</v>
      </c>
      <c r="O725" s="6">
        <v>10000</v>
      </c>
      <c r="P725" s="6">
        <v>0</v>
      </c>
      <c r="Q725" s="6">
        <v>40172</v>
      </c>
    </row>
    <row r="726" spans="1:17" x14ac:dyDescent="0.35">
      <c r="A726" s="1">
        <v>42648</v>
      </c>
      <c r="B726" s="6">
        <v>4419231</v>
      </c>
      <c r="C726" s="6">
        <v>2446757</v>
      </c>
      <c r="D726" s="6">
        <v>0</v>
      </c>
      <c r="E726" s="6">
        <v>2063383</v>
      </c>
      <c r="F726" s="6">
        <v>342208</v>
      </c>
      <c r="G726" s="6">
        <v>5165</v>
      </c>
      <c r="H726" s="6">
        <v>36001</v>
      </c>
      <c r="I726" s="6">
        <v>536588</v>
      </c>
      <c r="J726" s="6">
        <v>1429016</v>
      </c>
      <c r="K726" s="6">
        <v>561</v>
      </c>
      <c r="L726" s="6"/>
      <c r="M726" s="6">
        <v>6310</v>
      </c>
      <c r="N726" s="6">
        <v>30176</v>
      </c>
      <c r="O726" s="6">
        <v>10000</v>
      </c>
      <c r="P726" s="6">
        <v>0</v>
      </c>
      <c r="Q726" s="6">
        <v>40176</v>
      </c>
    </row>
    <row r="727" spans="1:17" x14ac:dyDescent="0.35">
      <c r="A727" s="1">
        <v>42655</v>
      </c>
      <c r="B727" s="6">
        <v>4417522</v>
      </c>
      <c r="C727" s="6">
        <v>2554476</v>
      </c>
      <c r="D727" s="6">
        <v>0</v>
      </c>
      <c r="E727" s="6">
        <v>2162086</v>
      </c>
      <c r="F727" s="6">
        <v>342875</v>
      </c>
      <c r="G727" s="6">
        <v>5165</v>
      </c>
      <c r="H727" s="6">
        <v>44350</v>
      </c>
      <c r="I727" s="6">
        <v>423100</v>
      </c>
      <c r="J727" s="6">
        <v>1432666</v>
      </c>
      <c r="K727" s="6">
        <v>583</v>
      </c>
      <c r="L727" s="6"/>
      <c r="M727" s="6">
        <v>6698</v>
      </c>
      <c r="N727" s="6">
        <v>30176</v>
      </c>
      <c r="O727" s="6">
        <v>10000</v>
      </c>
      <c r="P727" s="6">
        <v>0</v>
      </c>
      <c r="Q727" s="6">
        <v>40176</v>
      </c>
    </row>
    <row r="728" spans="1:17" x14ac:dyDescent="0.35">
      <c r="A728" s="1">
        <v>42662</v>
      </c>
      <c r="B728" s="6">
        <v>4427203</v>
      </c>
      <c r="C728" s="6">
        <v>2558407</v>
      </c>
      <c r="D728" s="6">
        <v>0</v>
      </c>
      <c r="E728" s="6">
        <v>2105811</v>
      </c>
      <c r="F728" s="6">
        <v>409693</v>
      </c>
      <c r="G728" s="6">
        <v>5165</v>
      </c>
      <c r="H728" s="6">
        <v>37737</v>
      </c>
      <c r="I728" s="6">
        <v>431168</v>
      </c>
      <c r="J728" s="6">
        <v>1430689</v>
      </c>
      <c r="K728" s="6">
        <v>503</v>
      </c>
      <c r="L728" s="6"/>
      <c r="M728" s="6">
        <v>6436</v>
      </c>
      <c r="N728" s="6">
        <v>30179</v>
      </c>
      <c r="O728" s="6">
        <v>10000</v>
      </c>
      <c r="P728" s="6">
        <v>0</v>
      </c>
      <c r="Q728" s="6">
        <v>40179</v>
      </c>
    </row>
    <row r="729" spans="1:17" x14ac:dyDescent="0.35">
      <c r="A729" s="1">
        <v>42669</v>
      </c>
      <c r="B729" s="6">
        <v>4414143</v>
      </c>
      <c r="C729" s="6">
        <v>2591870</v>
      </c>
      <c r="D729" s="6">
        <v>48601</v>
      </c>
      <c r="E729" s="6">
        <v>2065020</v>
      </c>
      <c r="F729" s="6">
        <v>420256</v>
      </c>
      <c r="G729" s="6">
        <v>5166</v>
      </c>
      <c r="H729" s="6">
        <v>52826</v>
      </c>
      <c r="I729" s="6">
        <v>384809</v>
      </c>
      <c r="J729" s="6">
        <v>1431381</v>
      </c>
      <c r="K729" s="6">
        <v>527</v>
      </c>
      <c r="L729" s="6"/>
      <c r="M729" s="6">
        <v>5556</v>
      </c>
      <c r="N729" s="6">
        <v>30182</v>
      </c>
      <c r="O729" s="6">
        <v>10000</v>
      </c>
      <c r="P729" s="6">
        <v>0</v>
      </c>
      <c r="Q729" s="6">
        <v>40182</v>
      </c>
    </row>
    <row r="730" spans="1:17" x14ac:dyDescent="0.35">
      <c r="A730" s="1">
        <v>42676</v>
      </c>
      <c r="B730" s="6">
        <v>4412898</v>
      </c>
      <c r="C730" s="6">
        <v>2552182</v>
      </c>
      <c r="D730" s="6">
        <v>0</v>
      </c>
      <c r="E730" s="6">
        <v>2137209</v>
      </c>
      <c r="F730" s="6">
        <v>371894</v>
      </c>
      <c r="G730" s="6">
        <v>5172</v>
      </c>
      <c r="H730" s="6">
        <v>37907</v>
      </c>
      <c r="I730" s="6">
        <v>414938</v>
      </c>
      <c r="J730" s="6">
        <v>1438335</v>
      </c>
      <c r="K730" s="6">
        <v>504</v>
      </c>
      <c r="L730" s="6"/>
      <c r="M730" s="6">
        <v>6939</v>
      </c>
      <c r="N730" s="6">
        <v>30188</v>
      </c>
      <c r="O730" s="6">
        <v>10000</v>
      </c>
      <c r="P730" s="6">
        <v>0</v>
      </c>
      <c r="Q730" s="6">
        <v>40188</v>
      </c>
    </row>
    <row r="731" spans="1:17" x14ac:dyDescent="0.35">
      <c r="A731" s="1">
        <v>42683</v>
      </c>
      <c r="B731" s="6">
        <v>4414841</v>
      </c>
      <c r="C731" s="6">
        <v>2600719</v>
      </c>
      <c r="D731" s="6">
        <v>0</v>
      </c>
      <c r="E731" s="6">
        <v>2190082</v>
      </c>
      <c r="F731" s="6">
        <v>365454</v>
      </c>
      <c r="G731" s="6">
        <v>5517</v>
      </c>
      <c r="H731" s="6">
        <v>39666</v>
      </c>
      <c r="I731" s="6">
        <v>363349</v>
      </c>
      <c r="J731" s="6">
        <v>1443384</v>
      </c>
      <c r="K731" s="6">
        <v>643</v>
      </c>
      <c r="L731" s="6"/>
      <c r="M731" s="6">
        <v>6746</v>
      </c>
      <c r="N731" s="6">
        <v>30246</v>
      </c>
      <c r="O731" s="6">
        <v>10000</v>
      </c>
      <c r="P731" s="6">
        <v>0</v>
      </c>
      <c r="Q731" s="6">
        <v>40246</v>
      </c>
    </row>
    <row r="732" spans="1:17" x14ac:dyDescent="0.35">
      <c r="A732" s="1">
        <v>42690</v>
      </c>
      <c r="B732" s="6">
        <v>4413364</v>
      </c>
      <c r="C732" s="6">
        <v>2607655</v>
      </c>
      <c r="D732" s="6">
        <v>0</v>
      </c>
      <c r="E732" s="6">
        <v>2177585</v>
      </c>
      <c r="F732" s="6">
        <v>375908</v>
      </c>
      <c r="G732" s="6">
        <v>5167</v>
      </c>
      <c r="H732" s="6">
        <v>48996</v>
      </c>
      <c r="I732" s="6">
        <v>355349</v>
      </c>
      <c r="J732" s="6">
        <v>1444552</v>
      </c>
      <c r="K732" s="6">
        <v>523</v>
      </c>
      <c r="L732" s="6"/>
      <c r="M732" s="6">
        <v>5285</v>
      </c>
      <c r="N732" s="6">
        <v>30268</v>
      </c>
      <c r="O732" s="6">
        <v>10000</v>
      </c>
      <c r="P732" s="6">
        <v>0</v>
      </c>
      <c r="Q732" s="6">
        <v>40268</v>
      </c>
    </row>
    <row r="733" spans="1:17" x14ac:dyDescent="0.35">
      <c r="A733" s="1">
        <v>42697</v>
      </c>
      <c r="B733" s="6">
        <v>4425413</v>
      </c>
      <c r="C733" s="6">
        <v>2596252</v>
      </c>
      <c r="D733" s="6">
        <v>0</v>
      </c>
      <c r="E733" s="6">
        <v>2103184</v>
      </c>
      <c r="F733" s="6">
        <v>386683</v>
      </c>
      <c r="G733" s="6">
        <v>5166</v>
      </c>
      <c r="H733" s="6">
        <v>101219</v>
      </c>
      <c r="I733" s="6">
        <v>374359</v>
      </c>
      <c r="J733" s="6">
        <v>1448356</v>
      </c>
      <c r="K733" s="6">
        <v>522</v>
      </c>
      <c r="L733" s="6"/>
      <c r="M733" s="6">
        <v>5924</v>
      </c>
      <c r="N733" s="6">
        <v>30370</v>
      </c>
      <c r="O733" s="6">
        <v>10000</v>
      </c>
      <c r="P733" s="6">
        <v>0</v>
      </c>
      <c r="Q733" s="6">
        <v>40370</v>
      </c>
    </row>
    <row r="734" spans="1:17" x14ac:dyDescent="0.35">
      <c r="A734" s="1">
        <v>42704</v>
      </c>
      <c r="B734" s="6">
        <v>4405928</v>
      </c>
      <c r="C734" s="6">
        <v>2487970</v>
      </c>
      <c r="D734" s="6">
        <v>0</v>
      </c>
      <c r="E734" s="6">
        <v>2015313</v>
      </c>
      <c r="F734" s="6">
        <v>422034</v>
      </c>
      <c r="G734" s="6">
        <v>5169</v>
      </c>
      <c r="H734" s="6">
        <v>45454</v>
      </c>
      <c r="I734" s="6">
        <v>462691</v>
      </c>
      <c r="J734" s="6">
        <v>1448631</v>
      </c>
      <c r="K734" s="6">
        <v>1437</v>
      </c>
      <c r="L734" s="6"/>
      <c r="M734" s="6">
        <v>5200</v>
      </c>
      <c r="N734" s="6">
        <v>30379</v>
      </c>
      <c r="O734" s="6">
        <v>10000</v>
      </c>
      <c r="P734" s="6">
        <v>0</v>
      </c>
      <c r="Q734" s="6">
        <v>40379</v>
      </c>
    </row>
    <row r="735" spans="1:17" x14ac:dyDescent="0.35">
      <c r="A735" s="1">
        <v>42711</v>
      </c>
      <c r="B735" s="6">
        <v>4408219</v>
      </c>
      <c r="C735" s="6">
        <v>2526559</v>
      </c>
      <c r="D735" s="6">
        <v>0</v>
      </c>
      <c r="E735" s="6">
        <v>2133602</v>
      </c>
      <c r="F735" s="6">
        <v>344032</v>
      </c>
      <c r="G735" s="6">
        <v>5167</v>
      </c>
      <c r="H735" s="6">
        <v>43758</v>
      </c>
      <c r="I735" s="6">
        <v>423548</v>
      </c>
      <c r="J735" s="6">
        <v>1450907</v>
      </c>
      <c r="K735" s="6">
        <v>464</v>
      </c>
      <c r="L735" s="6"/>
      <c r="M735" s="6">
        <v>6741</v>
      </c>
      <c r="N735" s="6">
        <v>30399</v>
      </c>
      <c r="O735" s="6">
        <v>10000</v>
      </c>
      <c r="P735" s="6">
        <v>0</v>
      </c>
      <c r="Q735" s="6">
        <v>40399</v>
      </c>
    </row>
    <row r="736" spans="1:17" x14ac:dyDescent="0.35">
      <c r="A736" s="1">
        <v>42718</v>
      </c>
      <c r="B736" s="6">
        <v>4430555</v>
      </c>
      <c r="C736" s="6">
        <v>2542605</v>
      </c>
      <c r="D736" s="6">
        <v>0</v>
      </c>
      <c r="E736" s="6">
        <v>2123555</v>
      </c>
      <c r="F736" s="6">
        <v>325271</v>
      </c>
      <c r="G736" s="6">
        <v>5179</v>
      </c>
      <c r="H736" s="6">
        <v>88599</v>
      </c>
      <c r="I736" s="6">
        <v>428881</v>
      </c>
      <c r="J736" s="6">
        <v>1452100</v>
      </c>
      <c r="K736" s="6">
        <v>626</v>
      </c>
      <c r="L736" s="6"/>
      <c r="M736" s="6">
        <v>6343</v>
      </c>
      <c r="N736" s="6">
        <v>30418</v>
      </c>
      <c r="O736" s="6">
        <v>10000</v>
      </c>
      <c r="P736" s="6">
        <v>0</v>
      </c>
      <c r="Q736" s="6">
        <v>40418</v>
      </c>
    </row>
    <row r="737" spans="1:17" x14ac:dyDescent="0.35">
      <c r="A737" s="1">
        <v>42725</v>
      </c>
      <c r="B737" s="6">
        <v>4428647</v>
      </c>
      <c r="C737" s="6">
        <v>2405606</v>
      </c>
      <c r="D737" s="6">
        <v>0</v>
      </c>
      <c r="E737" s="6">
        <v>1962767</v>
      </c>
      <c r="F737" s="6">
        <v>387014</v>
      </c>
      <c r="G737" s="6">
        <v>5181</v>
      </c>
      <c r="H737" s="6">
        <v>50643</v>
      </c>
      <c r="I737" s="6">
        <v>560172</v>
      </c>
      <c r="J737" s="6">
        <v>1456501</v>
      </c>
      <c r="K737" s="6">
        <v>475</v>
      </c>
      <c r="L737" s="6"/>
      <c r="M737" s="6">
        <v>5893</v>
      </c>
      <c r="N737" s="6">
        <v>30442</v>
      </c>
      <c r="O737" s="6">
        <v>10000</v>
      </c>
      <c r="P737" s="6">
        <v>0</v>
      </c>
      <c r="Q737" s="6">
        <v>40442</v>
      </c>
    </row>
    <row r="738" spans="1:17" x14ac:dyDescent="0.35">
      <c r="A738" s="1">
        <v>42732</v>
      </c>
      <c r="B738" s="6">
        <v>4411008</v>
      </c>
      <c r="C738" s="6">
        <v>2367939</v>
      </c>
      <c r="D738" s="6">
        <v>0</v>
      </c>
      <c r="E738" s="6">
        <v>1942983</v>
      </c>
      <c r="F738" s="6">
        <v>372825</v>
      </c>
      <c r="G738" s="6">
        <v>5165</v>
      </c>
      <c r="H738" s="6">
        <v>46966</v>
      </c>
      <c r="I738" s="6">
        <v>573757</v>
      </c>
      <c r="J738" s="6">
        <v>1462574</v>
      </c>
      <c r="K738" s="6">
        <v>785</v>
      </c>
      <c r="L738" s="6"/>
      <c r="M738" s="6">
        <v>5953</v>
      </c>
      <c r="N738" s="6">
        <v>30443</v>
      </c>
      <c r="O738" s="6">
        <v>10000</v>
      </c>
      <c r="P738" s="6">
        <v>0</v>
      </c>
      <c r="Q738" s="6">
        <v>40443</v>
      </c>
    </row>
    <row r="739" spans="1:17" x14ac:dyDescent="0.35">
      <c r="A739" s="1">
        <v>42739</v>
      </c>
      <c r="B739" s="6">
        <v>4412659</v>
      </c>
      <c r="C739" s="6">
        <v>2420324</v>
      </c>
      <c r="D739" s="6">
        <v>0</v>
      </c>
      <c r="E739" s="6">
        <v>1998166</v>
      </c>
      <c r="F739" s="6">
        <v>371833</v>
      </c>
      <c r="G739" s="6">
        <v>5164</v>
      </c>
      <c r="H739" s="6">
        <v>45161</v>
      </c>
      <c r="I739" s="6">
        <v>523213</v>
      </c>
      <c r="J739" s="6">
        <v>1462563</v>
      </c>
      <c r="K739" s="6">
        <v>966</v>
      </c>
      <c r="L739" s="6"/>
      <c r="M739" s="6">
        <v>5594</v>
      </c>
      <c r="N739" s="6">
        <v>30442</v>
      </c>
      <c r="O739" s="6">
        <v>10000</v>
      </c>
      <c r="P739" s="6">
        <v>0</v>
      </c>
      <c r="Q739" s="6">
        <v>40442</v>
      </c>
    </row>
    <row r="740" spans="1:17" x14ac:dyDescent="0.35">
      <c r="A740" s="1">
        <v>42746</v>
      </c>
      <c r="B740" s="6">
        <v>4412063</v>
      </c>
      <c r="C740" s="6">
        <v>2532071</v>
      </c>
      <c r="D740" s="6">
        <v>0</v>
      </c>
      <c r="E740" s="6">
        <v>2110927</v>
      </c>
      <c r="F740" s="6">
        <v>369010</v>
      </c>
      <c r="G740" s="6">
        <v>5166</v>
      </c>
      <c r="H740" s="6">
        <v>46968</v>
      </c>
      <c r="I740" s="6">
        <v>414925</v>
      </c>
      <c r="J740" s="6">
        <v>1457601</v>
      </c>
      <c r="K740" s="6">
        <v>686</v>
      </c>
      <c r="L740" s="6"/>
      <c r="M740" s="6">
        <v>6780</v>
      </c>
      <c r="N740" s="6">
        <v>30447</v>
      </c>
      <c r="O740" s="6">
        <v>10000</v>
      </c>
      <c r="P740" s="6">
        <v>0</v>
      </c>
      <c r="Q740" s="6">
        <v>40447</v>
      </c>
    </row>
    <row r="741" spans="1:17" x14ac:dyDescent="0.35">
      <c r="A741" s="1">
        <v>42753</v>
      </c>
      <c r="B741" s="6">
        <v>4420312</v>
      </c>
      <c r="C741" s="6">
        <v>2571628</v>
      </c>
      <c r="D741" s="6">
        <v>0</v>
      </c>
      <c r="E741" s="6">
        <v>2118818</v>
      </c>
      <c r="F741" s="6">
        <v>396916</v>
      </c>
      <c r="G741" s="6">
        <v>5165</v>
      </c>
      <c r="H741" s="6">
        <v>50728</v>
      </c>
      <c r="I741" s="6">
        <v>382877</v>
      </c>
      <c r="J741" s="6">
        <v>1456778</v>
      </c>
      <c r="K741" s="6">
        <v>769</v>
      </c>
      <c r="L741" s="6"/>
      <c r="M741" s="6">
        <v>8260</v>
      </c>
      <c r="N741" s="6">
        <v>30446</v>
      </c>
      <c r="O741" s="6">
        <v>10000</v>
      </c>
      <c r="P741" s="6">
        <v>0</v>
      </c>
      <c r="Q741" s="6">
        <v>40446</v>
      </c>
    </row>
    <row r="742" spans="1:17" x14ac:dyDescent="0.35">
      <c r="A742" s="1">
        <v>42760</v>
      </c>
      <c r="B742" s="6">
        <v>4412387</v>
      </c>
      <c r="C742" s="6">
        <v>2591736</v>
      </c>
      <c r="D742" s="6">
        <v>0</v>
      </c>
      <c r="E742" s="6">
        <v>2137012</v>
      </c>
      <c r="F742" s="6">
        <v>401735</v>
      </c>
      <c r="G742" s="6">
        <v>5165</v>
      </c>
      <c r="H742" s="6">
        <v>47824</v>
      </c>
      <c r="I742" s="6">
        <v>361564</v>
      </c>
      <c r="J742" s="6">
        <v>1452880</v>
      </c>
      <c r="K742" s="6">
        <v>596</v>
      </c>
      <c r="L742" s="6"/>
      <c r="M742" s="6">
        <v>5611</v>
      </c>
      <c r="N742" s="6">
        <v>30450</v>
      </c>
      <c r="O742" s="6">
        <v>10000</v>
      </c>
      <c r="P742" s="6">
        <v>0</v>
      </c>
      <c r="Q742" s="6">
        <v>40450</v>
      </c>
    </row>
    <row r="743" spans="1:17" x14ac:dyDescent="0.35">
      <c r="A743" s="1">
        <v>42767</v>
      </c>
      <c r="B743" s="6">
        <v>4413426</v>
      </c>
      <c r="C743" s="6">
        <v>2561305</v>
      </c>
      <c r="D743" s="6">
        <v>0</v>
      </c>
      <c r="E743" s="6">
        <v>2172093</v>
      </c>
      <c r="F743" s="6">
        <v>339229</v>
      </c>
      <c r="G743" s="6">
        <v>5335</v>
      </c>
      <c r="H743" s="6">
        <v>44648</v>
      </c>
      <c r="I743" s="6">
        <v>391779</v>
      </c>
      <c r="J743" s="6">
        <v>1453722</v>
      </c>
      <c r="K743" s="6">
        <v>393</v>
      </c>
      <c r="L743" s="6"/>
      <c r="M743" s="6">
        <v>6226</v>
      </c>
      <c r="N743" s="6">
        <v>30455</v>
      </c>
      <c r="O743" s="6">
        <v>10000</v>
      </c>
      <c r="P743" s="6">
        <v>0</v>
      </c>
      <c r="Q743" s="6">
        <v>40455</v>
      </c>
    </row>
    <row r="744" spans="1:17" x14ac:dyDescent="0.35">
      <c r="A744" s="1">
        <v>42774</v>
      </c>
      <c r="B744" s="6">
        <v>4415734</v>
      </c>
      <c r="C744" s="6">
        <v>2575085</v>
      </c>
      <c r="D744" s="6">
        <v>0</v>
      </c>
      <c r="E744" s="6">
        <v>2237460</v>
      </c>
      <c r="F744" s="6">
        <v>287035</v>
      </c>
      <c r="G744" s="6">
        <v>5165</v>
      </c>
      <c r="H744" s="6">
        <v>45424</v>
      </c>
      <c r="I744" s="6">
        <v>374350</v>
      </c>
      <c r="J744" s="6">
        <v>1458900</v>
      </c>
      <c r="K744" s="6">
        <v>384</v>
      </c>
      <c r="L744" s="6"/>
      <c r="M744" s="6">
        <v>7016</v>
      </c>
      <c r="N744" s="6">
        <v>30503</v>
      </c>
      <c r="O744" s="6">
        <v>10000</v>
      </c>
      <c r="P744" s="6">
        <v>0</v>
      </c>
      <c r="Q744" s="6">
        <v>40503</v>
      </c>
    </row>
    <row r="745" spans="1:17" x14ac:dyDescent="0.35">
      <c r="A745" s="1">
        <v>42781</v>
      </c>
      <c r="B745" s="6">
        <v>4414171</v>
      </c>
      <c r="C745" s="6">
        <v>2581021</v>
      </c>
      <c r="D745" s="6">
        <v>0</v>
      </c>
      <c r="E745" s="6">
        <v>2254271</v>
      </c>
      <c r="F745" s="6">
        <v>274178</v>
      </c>
      <c r="G745" s="6">
        <v>5182</v>
      </c>
      <c r="H745" s="6">
        <v>47391</v>
      </c>
      <c r="I745" s="6">
        <v>363909</v>
      </c>
      <c r="J745" s="6">
        <v>1462429</v>
      </c>
      <c r="K745" s="6">
        <v>447</v>
      </c>
      <c r="L745" s="6"/>
      <c r="M745" s="6">
        <v>6365</v>
      </c>
      <c r="N745" s="6">
        <v>30505</v>
      </c>
      <c r="O745" s="6">
        <v>10000</v>
      </c>
      <c r="P745" s="6">
        <v>0</v>
      </c>
      <c r="Q745" s="6">
        <v>40505</v>
      </c>
    </row>
    <row r="746" spans="1:17" x14ac:dyDescent="0.35">
      <c r="A746" s="1">
        <v>42788</v>
      </c>
      <c r="B746" s="6">
        <v>4428171</v>
      </c>
      <c r="C746" s="6">
        <v>2529121</v>
      </c>
      <c r="D746" s="6">
        <v>0</v>
      </c>
      <c r="E746" s="6">
        <v>2243156</v>
      </c>
      <c r="F746" s="6">
        <v>228171</v>
      </c>
      <c r="G746" s="6">
        <v>5165</v>
      </c>
      <c r="H746" s="6">
        <v>52628</v>
      </c>
      <c r="I746" s="6">
        <v>425529</v>
      </c>
      <c r="J746" s="6">
        <v>1466089</v>
      </c>
      <c r="K746" s="6">
        <v>749</v>
      </c>
      <c r="L746" s="6"/>
      <c r="M746" s="6">
        <v>6684</v>
      </c>
      <c r="N746" s="6">
        <v>30531</v>
      </c>
      <c r="O746" s="6">
        <v>10000</v>
      </c>
      <c r="P746" s="6">
        <v>0</v>
      </c>
      <c r="Q746" s="6">
        <v>40531</v>
      </c>
    </row>
    <row r="747" spans="1:17" x14ac:dyDescent="0.35">
      <c r="A747" s="1">
        <v>42795</v>
      </c>
      <c r="B747" s="6">
        <v>4417484</v>
      </c>
      <c r="C747" s="6">
        <v>2530281</v>
      </c>
      <c r="D747" s="6">
        <v>16625</v>
      </c>
      <c r="E747" s="6">
        <v>2307954</v>
      </c>
      <c r="F747" s="6">
        <v>148385</v>
      </c>
      <c r="G747" s="6">
        <v>5164</v>
      </c>
      <c r="H747" s="6">
        <v>52154</v>
      </c>
      <c r="I747" s="6">
        <v>404888</v>
      </c>
      <c r="J747" s="6">
        <v>1475112</v>
      </c>
      <c r="K747" s="6">
        <v>453</v>
      </c>
      <c r="L747" s="6"/>
      <c r="M747" s="6">
        <v>6750</v>
      </c>
      <c r="N747" s="6">
        <v>30534</v>
      </c>
      <c r="O747" s="6">
        <v>10000</v>
      </c>
      <c r="P747" s="6">
        <v>0</v>
      </c>
      <c r="Q747" s="6">
        <v>40534</v>
      </c>
    </row>
    <row r="748" spans="1:17" x14ac:dyDescent="0.35">
      <c r="A748" s="1">
        <v>42802</v>
      </c>
      <c r="B748" s="6">
        <v>4419296</v>
      </c>
      <c r="C748" s="6">
        <v>2476457</v>
      </c>
      <c r="D748" s="6">
        <v>0</v>
      </c>
      <c r="E748" s="6">
        <v>2351131</v>
      </c>
      <c r="F748" s="6">
        <v>66163</v>
      </c>
      <c r="G748" s="6">
        <v>5165</v>
      </c>
      <c r="H748" s="6">
        <v>53998</v>
      </c>
      <c r="I748" s="6">
        <v>453251</v>
      </c>
      <c r="J748" s="6">
        <v>1482492</v>
      </c>
      <c r="K748" s="6">
        <v>631</v>
      </c>
      <c r="L748" s="6"/>
      <c r="M748" s="6">
        <v>6464</v>
      </c>
      <c r="N748" s="6">
        <v>30544</v>
      </c>
      <c r="O748" s="6">
        <v>10000</v>
      </c>
      <c r="P748" s="6">
        <v>0</v>
      </c>
      <c r="Q748" s="6">
        <v>40544</v>
      </c>
    </row>
    <row r="749" spans="1:17" x14ac:dyDescent="0.35">
      <c r="A749" s="1">
        <v>42809</v>
      </c>
      <c r="B749" s="6">
        <v>4429030</v>
      </c>
      <c r="C749" s="6">
        <v>2460347</v>
      </c>
      <c r="D749" s="6">
        <v>0</v>
      </c>
      <c r="E749" s="6">
        <v>2368120</v>
      </c>
      <c r="F749" s="6">
        <v>23416</v>
      </c>
      <c r="G749" s="6">
        <v>5169</v>
      </c>
      <c r="H749" s="6">
        <v>63642</v>
      </c>
      <c r="I749" s="6">
        <v>477012</v>
      </c>
      <c r="J749" s="6">
        <v>1484495</v>
      </c>
      <c r="K749" s="6">
        <v>438</v>
      </c>
      <c r="L749" s="6"/>
      <c r="M749" s="6">
        <v>6739</v>
      </c>
      <c r="N749" s="6">
        <v>30548</v>
      </c>
      <c r="O749" s="6">
        <v>10000</v>
      </c>
      <c r="P749" s="6">
        <v>0</v>
      </c>
      <c r="Q749" s="6">
        <v>40548</v>
      </c>
    </row>
    <row r="750" spans="1:17" x14ac:dyDescent="0.35">
      <c r="A750" s="1">
        <v>42816</v>
      </c>
      <c r="B750" s="6">
        <v>4437670</v>
      </c>
      <c r="C750" s="6">
        <v>2446950</v>
      </c>
      <c r="D750" s="6">
        <v>0</v>
      </c>
      <c r="E750" s="6">
        <v>2313962</v>
      </c>
      <c r="F750" s="6">
        <v>54245</v>
      </c>
      <c r="G750" s="6">
        <v>5171</v>
      </c>
      <c r="H750" s="6">
        <v>73572</v>
      </c>
      <c r="I750" s="6">
        <v>495718</v>
      </c>
      <c r="J750" s="6">
        <v>1487305</v>
      </c>
      <c r="K750" s="6">
        <v>486</v>
      </c>
      <c r="L750" s="6"/>
      <c r="M750" s="6">
        <v>7211</v>
      </c>
      <c r="N750" s="6">
        <v>30565</v>
      </c>
      <c r="O750" s="6">
        <v>10000</v>
      </c>
      <c r="P750" s="6">
        <v>0</v>
      </c>
      <c r="Q750" s="6">
        <v>40565</v>
      </c>
    </row>
    <row r="751" spans="1:17" x14ac:dyDescent="0.35">
      <c r="A751" s="1">
        <v>42823</v>
      </c>
      <c r="B751" s="6">
        <v>4429023</v>
      </c>
      <c r="C751" s="6">
        <v>2420709</v>
      </c>
      <c r="D751" s="6">
        <v>0</v>
      </c>
      <c r="E751" s="6">
        <v>2269985</v>
      </c>
      <c r="F751" s="6">
        <v>63101</v>
      </c>
      <c r="G751" s="6">
        <v>5164</v>
      </c>
      <c r="H751" s="6">
        <v>82460</v>
      </c>
      <c r="I751" s="6">
        <v>510897</v>
      </c>
      <c r="J751" s="6">
        <v>1489783</v>
      </c>
      <c r="K751" s="6">
        <v>783</v>
      </c>
      <c r="L751" s="6"/>
      <c r="M751" s="6">
        <v>6850</v>
      </c>
      <c r="N751" s="6">
        <v>30595</v>
      </c>
      <c r="O751" s="6">
        <v>10000</v>
      </c>
      <c r="P751" s="6">
        <v>0</v>
      </c>
      <c r="Q751" s="6">
        <v>40595</v>
      </c>
    </row>
    <row r="752" spans="1:17" x14ac:dyDescent="0.35">
      <c r="A752" s="1">
        <v>42830</v>
      </c>
      <c r="B752" s="6">
        <v>4434045</v>
      </c>
      <c r="C752" s="6">
        <v>2508349</v>
      </c>
      <c r="D752" s="6">
        <v>0</v>
      </c>
      <c r="E752" s="6">
        <v>2337776</v>
      </c>
      <c r="F752" s="6">
        <v>82953</v>
      </c>
      <c r="G752" s="6">
        <v>5177</v>
      </c>
      <c r="H752" s="6">
        <v>82443</v>
      </c>
      <c r="I752" s="6">
        <v>425190</v>
      </c>
      <c r="J752" s="6">
        <v>1493478</v>
      </c>
      <c r="K752" s="6">
        <v>676</v>
      </c>
      <c r="L752" s="6"/>
      <c r="M752" s="6">
        <v>6352</v>
      </c>
      <c r="N752" s="6">
        <v>30589</v>
      </c>
      <c r="O752" s="6">
        <v>10000</v>
      </c>
      <c r="P752" s="6">
        <v>0</v>
      </c>
      <c r="Q752" s="6">
        <v>40589</v>
      </c>
    </row>
    <row r="753" spans="1:17" x14ac:dyDescent="0.35">
      <c r="A753" s="1">
        <v>42837</v>
      </c>
      <c r="B753" s="6">
        <v>4443900</v>
      </c>
      <c r="C753" s="6">
        <v>2582696</v>
      </c>
      <c r="D753" s="6">
        <v>0</v>
      </c>
      <c r="E753" s="6">
        <v>2367767</v>
      </c>
      <c r="F753" s="6">
        <v>119157</v>
      </c>
      <c r="G753" s="6">
        <v>5174</v>
      </c>
      <c r="H753" s="6">
        <v>90598</v>
      </c>
      <c r="I753" s="6">
        <v>357433</v>
      </c>
      <c r="J753" s="6">
        <v>1494338</v>
      </c>
      <c r="K753" s="6">
        <v>651</v>
      </c>
      <c r="L753" s="6"/>
      <c r="M753" s="6">
        <v>8783</v>
      </c>
      <c r="N753" s="6">
        <v>30592</v>
      </c>
      <c r="O753" s="6">
        <v>10000</v>
      </c>
      <c r="P753" s="6">
        <v>0</v>
      </c>
      <c r="Q753" s="6">
        <v>40592</v>
      </c>
    </row>
    <row r="754" spans="1:17" x14ac:dyDescent="0.35">
      <c r="A754" s="1">
        <v>42844</v>
      </c>
      <c r="B754" s="6">
        <v>4438678</v>
      </c>
      <c r="C754" s="6">
        <v>2574600</v>
      </c>
      <c r="D754" s="6">
        <v>0</v>
      </c>
      <c r="E754" s="6">
        <v>2256670</v>
      </c>
      <c r="F754" s="6">
        <v>229485</v>
      </c>
      <c r="G754" s="6">
        <v>5455</v>
      </c>
      <c r="H754" s="6">
        <v>82991</v>
      </c>
      <c r="I754" s="6">
        <v>362153</v>
      </c>
      <c r="J754" s="6">
        <v>1494691</v>
      </c>
      <c r="K754" s="6">
        <v>553</v>
      </c>
      <c r="L754" s="6"/>
      <c r="M754" s="6">
        <v>6680</v>
      </c>
      <c r="N754" s="6">
        <v>30592</v>
      </c>
      <c r="O754" s="6">
        <v>10000</v>
      </c>
      <c r="P754" s="6">
        <v>0</v>
      </c>
      <c r="Q754" s="6">
        <v>40592</v>
      </c>
    </row>
    <row r="755" spans="1:17" x14ac:dyDescent="0.35">
      <c r="A755" s="1">
        <v>42851</v>
      </c>
      <c r="B755" s="6">
        <v>4429517</v>
      </c>
      <c r="C755" s="6">
        <v>2563460</v>
      </c>
      <c r="D755" s="6">
        <v>0</v>
      </c>
      <c r="E755" s="6">
        <v>2200671</v>
      </c>
      <c r="F755" s="6">
        <v>270845</v>
      </c>
      <c r="G755" s="6">
        <v>5164</v>
      </c>
      <c r="H755" s="6">
        <v>86780</v>
      </c>
      <c r="I755" s="6">
        <v>363073</v>
      </c>
      <c r="J755" s="6">
        <v>1496078</v>
      </c>
      <c r="K755" s="6">
        <v>504</v>
      </c>
      <c r="L755" s="6"/>
      <c r="M755" s="6">
        <v>6401</v>
      </c>
      <c r="N755" s="6">
        <v>30625</v>
      </c>
      <c r="O755" s="6">
        <v>10000</v>
      </c>
      <c r="P755" s="6">
        <v>0</v>
      </c>
      <c r="Q755" s="6">
        <v>40625</v>
      </c>
    </row>
    <row r="756" spans="1:17" x14ac:dyDescent="0.35">
      <c r="A756" s="1">
        <v>42858</v>
      </c>
      <c r="B756" s="6">
        <v>4430553</v>
      </c>
      <c r="C756" s="6">
        <v>2491234</v>
      </c>
      <c r="D756" s="6">
        <v>0</v>
      </c>
      <c r="E756" s="6">
        <v>2200821</v>
      </c>
      <c r="F756" s="6">
        <v>203408</v>
      </c>
      <c r="G756" s="6">
        <v>5200</v>
      </c>
      <c r="H756" s="6">
        <v>81805</v>
      </c>
      <c r="I756" s="6">
        <v>432620</v>
      </c>
      <c r="J756" s="6">
        <v>1499533</v>
      </c>
      <c r="K756" s="6">
        <v>603</v>
      </c>
      <c r="L756" s="6"/>
      <c r="M756" s="6">
        <v>6564</v>
      </c>
      <c r="N756" s="6">
        <v>30693</v>
      </c>
      <c r="O756" s="6">
        <v>10000</v>
      </c>
      <c r="P756" s="6">
        <v>0</v>
      </c>
      <c r="Q756" s="6">
        <v>40693</v>
      </c>
    </row>
    <row r="757" spans="1:17" x14ac:dyDescent="0.35">
      <c r="A757" s="1">
        <v>42865</v>
      </c>
      <c r="B757" s="6">
        <v>4432744</v>
      </c>
      <c r="C757" s="6">
        <v>2498707</v>
      </c>
      <c r="D757" s="6">
        <v>0</v>
      </c>
      <c r="E757" s="6">
        <v>2219918</v>
      </c>
      <c r="F757" s="6">
        <v>188256</v>
      </c>
      <c r="G757" s="6">
        <v>5165</v>
      </c>
      <c r="H757" s="6">
        <v>85367</v>
      </c>
      <c r="I757" s="6">
        <v>425093</v>
      </c>
      <c r="J757" s="6">
        <v>1501672</v>
      </c>
      <c r="K757" s="6">
        <v>413</v>
      </c>
      <c r="L757" s="6"/>
      <c r="M757" s="6">
        <v>6860</v>
      </c>
      <c r="N757" s="6">
        <v>30716</v>
      </c>
      <c r="O757" s="6">
        <v>10000</v>
      </c>
      <c r="P757" s="6">
        <v>0</v>
      </c>
      <c r="Q757" s="6">
        <v>40716</v>
      </c>
    </row>
    <row r="758" spans="1:17" x14ac:dyDescent="0.35">
      <c r="A758" s="1">
        <v>42872</v>
      </c>
      <c r="B758" s="6">
        <v>4426330</v>
      </c>
      <c r="C758" s="6">
        <v>2509667</v>
      </c>
      <c r="D758" s="6">
        <v>0</v>
      </c>
      <c r="E758" s="6">
        <v>2247674</v>
      </c>
      <c r="F758" s="6">
        <v>172891</v>
      </c>
      <c r="G758" s="6">
        <v>5164</v>
      </c>
      <c r="H758" s="6">
        <v>83937</v>
      </c>
      <c r="I758" s="6">
        <v>407581</v>
      </c>
      <c r="J758" s="6">
        <v>1501692</v>
      </c>
      <c r="K758" s="6">
        <v>477</v>
      </c>
      <c r="L758" s="6"/>
      <c r="M758" s="6">
        <v>6913</v>
      </c>
      <c r="N758" s="6">
        <v>30778</v>
      </c>
      <c r="O758" s="6">
        <v>10000</v>
      </c>
      <c r="P758" s="6">
        <v>0</v>
      </c>
      <c r="Q758" s="6">
        <v>40778</v>
      </c>
    </row>
    <row r="759" spans="1:17" x14ac:dyDescent="0.35">
      <c r="A759" s="1">
        <v>42879</v>
      </c>
      <c r="B759" s="6">
        <v>4430048</v>
      </c>
      <c r="C759" s="6">
        <v>2490799</v>
      </c>
      <c r="D759" s="6">
        <v>16347</v>
      </c>
      <c r="E759" s="6">
        <v>2206163</v>
      </c>
      <c r="F759" s="6">
        <v>163058</v>
      </c>
      <c r="G759" s="6">
        <v>5164</v>
      </c>
      <c r="H759" s="6">
        <v>100067</v>
      </c>
      <c r="I759" s="6">
        <v>427317</v>
      </c>
      <c r="J759" s="6">
        <v>1504774</v>
      </c>
      <c r="K759" s="6">
        <v>411</v>
      </c>
      <c r="L759" s="6"/>
      <c r="M759" s="6">
        <v>6746</v>
      </c>
      <c r="N759" s="6">
        <v>30804</v>
      </c>
      <c r="O759" s="6">
        <v>10000</v>
      </c>
      <c r="P759" s="6">
        <v>0</v>
      </c>
      <c r="Q759" s="6">
        <v>40804</v>
      </c>
    </row>
    <row r="760" spans="1:17" x14ac:dyDescent="0.35">
      <c r="A760" s="1">
        <v>42886</v>
      </c>
      <c r="B760" s="6">
        <v>4419108</v>
      </c>
      <c r="C760" s="6">
        <v>2399933</v>
      </c>
      <c r="D760" s="6">
        <v>0</v>
      </c>
      <c r="E760" s="6">
        <v>2129606</v>
      </c>
      <c r="F760" s="6">
        <v>189831</v>
      </c>
      <c r="G760" s="6">
        <v>5178</v>
      </c>
      <c r="H760" s="6">
        <v>75317</v>
      </c>
      <c r="I760" s="6">
        <v>502159</v>
      </c>
      <c r="J760" s="6">
        <v>1509625</v>
      </c>
      <c r="K760" s="6">
        <v>1140</v>
      </c>
      <c r="L760" s="6"/>
      <c r="M760" s="6">
        <v>6251</v>
      </c>
      <c r="N760" s="6">
        <v>30806</v>
      </c>
      <c r="O760" s="6">
        <v>10000</v>
      </c>
      <c r="P760" s="6">
        <v>0</v>
      </c>
      <c r="Q760" s="6">
        <v>40806</v>
      </c>
    </row>
    <row r="761" spans="1:17" x14ac:dyDescent="0.35">
      <c r="A761" s="1">
        <v>42893</v>
      </c>
      <c r="B761" s="6">
        <v>4421635</v>
      </c>
      <c r="C761" s="6">
        <v>2504469</v>
      </c>
      <c r="D761" s="6">
        <v>0</v>
      </c>
      <c r="E761" s="6">
        <v>2270846</v>
      </c>
      <c r="F761" s="6">
        <v>154760</v>
      </c>
      <c r="G761" s="6">
        <v>5361</v>
      </c>
      <c r="H761" s="6">
        <v>73503</v>
      </c>
      <c r="I761" s="6">
        <v>399729</v>
      </c>
      <c r="J761" s="6">
        <v>1509455</v>
      </c>
      <c r="K761" s="6">
        <v>597</v>
      </c>
      <c r="L761" s="6"/>
      <c r="M761" s="6">
        <v>7385</v>
      </c>
      <c r="N761" s="6">
        <v>30808</v>
      </c>
      <c r="O761" s="6">
        <v>10000</v>
      </c>
      <c r="P761" s="6">
        <v>0</v>
      </c>
      <c r="Q761" s="6">
        <v>40808</v>
      </c>
    </row>
    <row r="762" spans="1:17" x14ac:dyDescent="0.35">
      <c r="A762" s="1">
        <v>42900</v>
      </c>
      <c r="B762" s="6">
        <v>4435430</v>
      </c>
      <c r="C762" s="6">
        <v>2512445</v>
      </c>
      <c r="D762" s="6">
        <v>0</v>
      </c>
      <c r="E762" s="6">
        <v>2231204</v>
      </c>
      <c r="F762" s="6">
        <v>163941</v>
      </c>
      <c r="G762" s="6">
        <v>5252</v>
      </c>
      <c r="H762" s="6">
        <v>112047</v>
      </c>
      <c r="I762" s="6">
        <v>406070</v>
      </c>
      <c r="J762" s="6">
        <v>1508561</v>
      </c>
      <c r="K762" s="6">
        <v>744</v>
      </c>
      <c r="L762" s="6"/>
      <c r="M762" s="6">
        <v>7609</v>
      </c>
      <c r="N762" s="6">
        <v>30840</v>
      </c>
      <c r="O762" s="6">
        <v>10000</v>
      </c>
      <c r="P762" s="6">
        <v>0</v>
      </c>
      <c r="Q762" s="6">
        <v>40840</v>
      </c>
    </row>
    <row r="763" spans="1:17" x14ac:dyDescent="0.35">
      <c r="A763" s="1">
        <v>42907</v>
      </c>
      <c r="B763" s="6">
        <v>4433401</v>
      </c>
      <c r="C763" s="6">
        <v>2470467</v>
      </c>
      <c r="D763" s="6">
        <v>0</v>
      </c>
      <c r="E763" s="6">
        <v>2164616</v>
      </c>
      <c r="F763" s="6">
        <v>225126</v>
      </c>
      <c r="G763" s="6">
        <v>5165</v>
      </c>
      <c r="H763" s="6">
        <v>75560</v>
      </c>
      <c r="I763" s="6">
        <v>446236</v>
      </c>
      <c r="J763" s="6">
        <v>1508773</v>
      </c>
      <c r="K763" s="6">
        <v>433</v>
      </c>
      <c r="L763" s="6"/>
      <c r="M763" s="6">
        <v>7493</v>
      </c>
      <c r="N763" s="6">
        <v>30856</v>
      </c>
      <c r="O763" s="6">
        <v>10000</v>
      </c>
      <c r="P763" s="6">
        <v>0</v>
      </c>
      <c r="Q763" s="6">
        <v>40856</v>
      </c>
    </row>
    <row r="764" spans="1:17" x14ac:dyDescent="0.35">
      <c r="A764" s="1">
        <v>42914</v>
      </c>
      <c r="B764" s="6">
        <v>4422504</v>
      </c>
      <c r="C764" s="6">
        <v>2398136</v>
      </c>
      <c r="D764" s="6">
        <v>0</v>
      </c>
      <c r="E764" s="6">
        <v>2118108</v>
      </c>
      <c r="F764" s="6">
        <v>197597</v>
      </c>
      <c r="G764" s="6">
        <v>5165</v>
      </c>
      <c r="H764" s="6">
        <v>77266</v>
      </c>
      <c r="I764" s="6">
        <v>504865</v>
      </c>
      <c r="J764" s="6">
        <v>1512186</v>
      </c>
      <c r="K764" s="6">
        <v>836</v>
      </c>
      <c r="L764" s="6"/>
      <c r="M764" s="6">
        <v>6481</v>
      </c>
      <c r="N764" s="6">
        <v>30843</v>
      </c>
      <c r="O764" s="6">
        <v>10000</v>
      </c>
      <c r="P764" s="6">
        <v>0</v>
      </c>
      <c r="Q764" s="6">
        <v>40843</v>
      </c>
    </row>
    <row r="765" spans="1:17" x14ac:dyDescent="0.35">
      <c r="A765" s="1">
        <v>42921</v>
      </c>
      <c r="B765" s="6">
        <v>4426426</v>
      </c>
      <c r="C765" s="6">
        <v>2413566</v>
      </c>
      <c r="D765" s="6">
        <v>0</v>
      </c>
      <c r="E765" s="6">
        <v>2169650</v>
      </c>
      <c r="F765" s="6">
        <v>165044</v>
      </c>
      <c r="G765" s="6">
        <v>5164</v>
      </c>
      <c r="H765" s="6">
        <v>73708</v>
      </c>
      <c r="I765" s="6">
        <v>486738</v>
      </c>
      <c r="J765" s="6">
        <v>1518965</v>
      </c>
      <c r="K765" s="6">
        <v>653</v>
      </c>
      <c r="L765" s="6"/>
      <c r="M765" s="6">
        <v>6503</v>
      </c>
      <c r="N765" s="6">
        <v>30846</v>
      </c>
      <c r="O765" s="6">
        <v>10000</v>
      </c>
      <c r="P765" s="6">
        <v>0</v>
      </c>
      <c r="Q765" s="6">
        <v>40846</v>
      </c>
    </row>
    <row r="766" spans="1:17" x14ac:dyDescent="0.35">
      <c r="A766" s="1">
        <v>42928</v>
      </c>
      <c r="B766" s="6">
        <v>4425855</v>
      </c>
      <c r="C766" s="6">
        <v>2481313</v>
      </c>
      <c r="D766" s="6">
        <v>0</v>
      </c>
      <c r="E766" s="6">
        <v>2238951</v>
      </c>
      <c r="F766" s="6">
        <v>162156</v>
      </c>
      <c r="G766" s="6">
        <v>5165</v>
      </c>
      <c r="H766" s="6">
        <v>75040</v>
      </c>
      <c r="I766" s="6">
        <v>419896</v>
      </c>
      <c r="J766" s="6">
        <v>1517809</v>
      </c>
      <c r="K766" s="6">
        <v>513</v>
      </c>
      <c r="L766" s="6"/>
      <c r="M766" s="6">
        <v>6325</v>
      </c>
      <c r="N766" s="6">
        <v>30847</v>
      </c>
      <c r="O766" s="6">
        <v>10000</v>
      </c>
      <c r="P766" s="6">
        <v>0</v>
      </c>
      <c r="Q766" s="6">
        <v>40847</v>
      </c>
    </row>
    <row r="767" spans="1:17" x14ac:dyDescent="0.35">
      <c r="A767" s="1">
        <v>42935</v>
      </c>
      <c r="B767" s="6">
        <v>4436056</v>
      </c>
      <c r="C767" s="6">
        <v>2521226</v>
      </c>
      <c r="D767" s="6">
        <v>0</v>
      </c>
      <c r="E767" s="6">
        <v>2250646</v>
      </c>
      <c r="F767" s="6">
        <v>189282</v>
      </c>
      <c r="G767" s="6">
        <v>5164</v>
      </c>
      <c r="H767" s="6">
        <v>76133</v>
      </c>
      <c r="I767" s="6">
        <v>392660</v>
      </c>
      <c r="J767" s="6">
        <v>1514860</v>
      </c>
      <c r="K767" s="6">
        <v>451</v>
      </c>
      <c r="L767" s="6"/>
      <c r="M767" s="6">
        <v>6857</v>
      </c>
      <c r="N767" s="6">
        <v>30847</v>
      </c>
      <c r="O767" s="6">
        <v>10000</v>
      </c>
      <c r="P767" s="6">
        <v>0</v>
      </c>
      <c r="Q767" s="6">
        <v>40847</v>
      </c>
    </row>
    <row r="768" spans="1:17" x14ac:dyDescent="0.35">
      <c r="A768" s="1">
        <v>42942</v>
      </c>
      <c r="B768" s="6">
        <v>4424436</v>
      </c>
      <c r="C768" s="6">
        <v>2559568</v>
      </c>
      <c r="D768" s="6">
        <v>0</v>
      </c>
      <c r="E768" s="6">
        <v>2293616</v>
      </c>
      <c r="F768" s="6">
        <v>183534</v>
      </c>
      <c r="G768" s="6">
        <v>5190</v>
      </c>
      <c r="H768" s="6">
        <v>77229</v>
      </c>
      <c r="I768" s="6">
        <v>343796</v>
      </c>
      <c r="J768" s="6">
        <v>1514951</v>
      </c>
      <c r="K768" s="6">
        <v>452</v>
      </c>
      <c r="L768" s="6"/>
      <c r="M768" s="6">
        <v>5669</v>
      </c>
      <c r="N768" s="6">
        <v>30848</v>
      </c>
      <c r="O768" s="6">
        <v>10000</v>
      </c>
      <c r="P768" s="6">
        <v>0</v>
      </c>
      <c r="Q768" s="6">
        <v>40848</v>
      </c>
    </row>
    <row r="769" spans="1:17" x14ac:dyDescent="0.35">
      <c r="A769" s="1">
        <v>42949</v>
      </c>
      <c r="B769" s="6">
        <v>4425977</v>
      </c>
      <c r="C769" s="6">
        <v>2538367</v>
      </c>
      <c r="D769" s="6">
        <v>0</v>
      </c>
      <c r="E769" s="6">
        <v>2291577</v>
      </c>
      <c r="F769" s="6">
        <v>165407</v>
      </c>
      <c r="G769" s="6">
        <v>5166</v>
      </c>
      <c r="H769" s="6">
        <v>76218</v>
      </c>
      <c r="I769" s="6">
        <v>361577</v>
      </c>
      <c r="J769" s="6">
        <v>1518395</v>
      </c>
      <c r="K769" s="6">
        <v>648</v>
      </c>
      <c r="L769" s="6"/>
      <c r="M769" s="6">
        <v>6989</v>
      </c>
      <c r="N769" s="6">
        <v>30869</v>
      </c>
      <c r="O769" s="6">
        <v>10000</v>
      </c>
      <c r="P769" s="6">
        <v>0</v>
      </c>
      <c r="Q769" s="6">
        <v>40869</v>
      </c>
    </row>
    <row r="770" spans="1:17" x14ac:dyDescent="0.35">
      <c r="A770" s="1">
        <v>42956</v>
      </c>
      <c r="B770" s="6">
        <v>4428207</v>
      </c>
      <c r="C770" s="6">
        <v>2558070</v>
      </c>
      <c r="D770" s="6">
        <v>0</v>
      </c>
      <c r="E770" s="6">
        <v>2336315</v>
      </c>
      <c r="F770" s="6">
        <v>139553</v>
      </c>
      <c r="G770" s="6">
        <v>5165</v>
      </c>
      <c r="H770" s="6">
        <v>77037</v>
      </c>
      <c r="I770" s="6">
        <v>343269</v>
      </c>
      <c r="J770" s="6">
        <v>1520051</v>
      </c>
      <c r="K770" s="6">
        <v>475</v>
      </c>
      <c r="L770" s="6"/>
      <c r="M770" s="6">
        <v>6342</v>
      </c>
      <c r="N770" s="6">
        <v>30876</v>
      </c>
      <c r="O770" s="6">
        <v>10000</v>
      </c>
      <c r="P770" s="6">
        <v>0</v>
      </c>
      <c r="Q770" s="6">
        <v>40876</v>
      </c>
    </row>
    <row r="771" spans="1:17" x14ac:dyDescent="0.35">
      <c r="A771" s="1">
        <v>42963</v>
      </c>
      <c r="B771" s="6">
        <v>4421897</v>
      </c>
      <c r="C771" s="6">
        <v>2557748</v>
      </c>
      <c r="D771" s="6">
        <v>14733</v>
      </c>
      <c r="E771" s="6">
        <v>2364972</v>
      </c>
      <c r="F771" s="6">
        <v>96029</v>
      </c>
      <c r="G771" s="6">
        <v>5165</v>
      </c>
      <c r="H771" s="6">
        <v>76849</v>
      </c>
      <c r="I771" s="6">
        <v>337323</v>
      </c>
      <c r="J771" s="6">
        <v>1519475</v>
      </c>
      <c r="K771" s="6">
        <v>343</v>
      </c>
      <c r="L771" s="6"/>
      <c r="M771" s="6">
        <v>7009</v>
      </c>
      <c r="N771" s="6">
        <v>30974</v>
      </c>
      <c r="O771" s="6">
        <v>10000</v>
      </c>
      <c r="P771" s="6">
        <v>0</v>
      </c>
      <c r="Q771" s="6">
        <v>40974</v>
      </c>
    </row>
    <row r="772" spans="1:17" x14ac:dyDescent="0.35">
      <c r="A772" s="1">
        <v>42970</v>
      </c>
      <c r="B772" s="6">
        <v>4422861</v>
      </c>
      <c r="C772" s="6">
        <v>2488684</v>
      </c>
      <c r="D772" s="6">
        <v>0</v>
      </c>
      <c r="E772" s="6">
        <v>2338170</v>
      </c>
      <c r="F772" s="6">
        <v>67930</v>
      </c>
      <c r="G772" s="6">
        <v>5165</v>
      </c>
      <c r="H772" s="6">
        <v>77418</v>
      </c>
      <c r="I772" s="6">
        <v>407823</v>
      </c>
      <c r="J772" s="6">
        <v>1519600</v>
      </c>
      <c r="K772" s="6">
        <v>522</v>
      </c>
      <c r="L772" s="6"/>
      <c r="M772" s="6">
        <v>6231</v>
      </c>
      <c r="N772" s="6">
        <v>30976</v>
      </c>
      <c r="O772" s="6">
        <v>10000</v>
      </c>
      <c r="P772" s="6">
        <v>0</v>
      </c>
      <c r="Q772" s="6">
        <v>40976</v>
      </c>
    </row>
    <row r="773" spans="1:17" x14ac:dyDescent="0.35">
      <c r="A773" s="1">
        <v>42977</v>
      </c>
      <c r="B773" s="6">
        <v>4411374</v>
      </c>
      <c r="C773" s="6">
        <v>2491242</v>
      </c>
      <c r="D773" s="6">
        <v>0</v>
      </c>
      <c r="E773" s="6">
        <v>2331956</v>
      </c>
      <c r="F773" s="6">
        <v>66877</v>
      </c>
      <c r="G773" s="6">
        <v>5165</v>
      </c>
      <c r="H773" s="6">
        <v>87244</v>
      </c>
      <c r="I773" s="6">
        <v>388708</v>
      </c>
      <c r="J773" s="6">
        <v>1523475</v>
      </c>
      <c r="K773" s="6">
        <v>1233</v>
      </c>
      <c r="L773" s="6"/>
      <c r="M773" s="6">
        <v>6716</v>
      </c>
      <c r="N773" s="6">
        <v>30987</v>
      </c>
      <c r="O773" s="6">
        <v>10000</v>
      </c>
      <c r="P773" s="6">
        <v>0</v>
      </c>
      <c r="Q773" s="6">
        <v>40987</v>
      </c>
    </row>
    <row r="774" spans="1:17" x14ac:dyDescent="0.35">
      <c r="A774" s="1">
        <v>42984</v>
      </c>
      <c r="B774" s="6">
        <v>4412371</v>
      </c>
      <c r="C774" s="6">
        <v>2481916</v>
      </c>
      <c r="D774" s="6">
        <v>0</v>
      </c>
      <c r="E774" s="6">
        <v>2357048</v>
      </c>
      <c r="F774" s="6">
        <v>38662</v>
      </c>
      <c r="G774" s="6">
        <v>5166</v>
      </c>
      <c r="H774" s="6">
        <v>81039</v>
      </c>
      <c r="I774" s="6">
        <v>391923</v>
      </c>
      <c r="J774" s="6">
        <v>1531365</v>
      </c>
      <c r="K774" s="6">
        <v>749</v>
      </c>
      <c r="L774" s="6"/>
      <c r="M774" s="6">
        <v>6418</v>
      </c>
      <c r="N774" s="6">
        <v>31102</v>
      </c>
      <c r="O774" s="6">
        <v>10000</v>
      </c>
      <c r="P774" s="6">
        <v>0</v>
      </c>
      <c r="Q774" s="6">
        <v>41102</v>
      </c>
    </row>
    <row r="775" spans="1:17" x14ac:dyDescent="0.35">
      <c r="A775" s="1">
        <v>42991</v>
      </c>
      <c r="B775" s="6">
        <v>4430066</v>
      </c>
      <c r="C775" s="6">
        <v>2521517</v>
      </c>
      <c r="D775" s="6">
        <v>0</v>
      </c>
      <c r="E775" s="6">
        <v>2360190</v>
      </c>
      <c r="F775" s="6">
        <v>73220</v>
      </c>
      <c r="G775" s="6">
        <v>5165</v>
      </c>
      <c r="H775" s="6">
        <v>82942</v>
      </c>
      <c r="I775" s="6">
        <v>366719</v>
      </c>
      <c r="J775" s="6">
        <v>1533584</v>
      </c>
      <c r="K775" s="6">
        <v>422</v>
      </c>
      <c r="L775" s="6"/>
      <c r="M775" s="6">
        <v>7823</v>
      </c>
      <c r="N775" s="6">
        <v>31109</v>
      </c>
      <c r="O775" s="6">
        <v>10000</v>
      </c>
      <c r="P775" s="6">
        <v>0</v>
      </c>
      <c r="Q775" s="6">
        <v>41109</v>
      </c>
    </row>
    <row r="776" spans="1:17" x14ac:dyDescent="0.35">
      <c r="A776" s="1">
        <v>42998</v>
      </c>
      <c r="B776" s="6">
        <v>4417412</v>
      </c>
      <c r="C776" s="6">
        <v>2463842</v>
      </c>
      <c r="D776" s="6">
        <v>0</v>
      </c>
      <c r="E776" s="6">
        <v>2229409</v>
      </c>
      <c r="F776" s="6">
        <v>151204</v>
      </c>
      <c r="G776" s="6">
        <v>5165</v>
      </c>
      <c r="H776" s="6">
        <v>78063</v>
      </c>
      <c r="I776" s="6">
        <v>413569</v>
      </c>
      <c r="J776" s="6">
        <v>1533583</v>
      </c>
      <c r="K776" s="6">
        <v>537</v>
      </c>
      <c r="L776" s="6"/>
      <c r="M776" s="6">
        <v>5880</v>
      </c>
      <c r="N776" s="6">
        <v>31165</v>
      </c>
      <c r="O776" s="6">
        <v>10000</v>
      </c>
      <c r="P776" s="6">
        <v>0</v>
      </c>
      <c r="Q776" s="6">
        <v>41165</v>
      </c>
    </row>
    <row r="777" spans="1:17" x14ac:dyDescent="0.35">
      <c r="A777" s="1">
        <v>43005</v>
      </c>
      <c r="B777" s="6">
        <v>4414476</v>
      </c>
      <c r="C777" s="6">
        <v>2419487</v>
      </c>
      <c r="D777" s="6">
        <v>0</v>
      </c>
      <c r="E777" s="6">
        <v>2178841</v>
      </c>
      <c r="F777" s="6">
        <v>155159</v>
      </c>
      <c r="G777" s="6">
        <v>5370</v>
      </c>
      <c r="H777" s="6">
        <v>80117</v>
      </c>
      <c r="I777" s="6">
        <v>455073</v>
      </c>
      <c r="J777" s="6">
        <v>1533124</v>
      </c>
      <c r="K777" s="6">
        <v>739</v>
      </c>
      <c r="L777" s="6"/>
      <c r="M777" s="6">
        <v>6052</v>
      </c>
      <c r="N777" s="6">
        <v>31186</v>
      </c>
      <c r="O777" s="6">
        <v>10000</v>
      </c>
      <c r="P777" s="6">
        <v>0</v>
      </c>
      <c r="Q777" s="6">
        <v>41186</v>
      </c>
    </row>
    <row r="778" spans="1:17" x14ac:dyDescent="0.35">
      <c r="A778" s="1">
        <v>43012</v>
      </c>
      <c r="B778" s="6">
        <v>4419233</v>
      </c>
      <c r="C778" s="6">
        <v>2467243</v>
      </c>
      <c r="D778" s="6">
        <v>0</v>
      </c>
      <c r="E778" s="6">
        <v>2228518</v>
      </c>
      <c r="F778" s="6">
        <v>154619</v>
      </c>
      <c r="G778" s="6">
        <v>5165</v>
      </c>
      <c r="H778" s="6">
        <v>78941</v>
      </c>
      <c r="I778" s="6">
        <v>409354</v>
      </c>
      <c r="J778" s="6">
        <v>1535748</v>
      </c>
      <c r="K778" s="6">
        <v>690</v>
      </c>
      <c r="L778" s="6"/>
      <c r="M778" s="6">
        <v>6197</v>
      </c>
      <c r="N778" s="6">
        <v>31190</v>
      </c>
      <c r="O778" s="6">
        <v>10000</v>
      </c>
      <c r="P778" s="6">
        <v>0</v>
      </c>
      <c r="Q778" s="6">
        <v>41190</v>
      </c>
    </row>
    <row r="779" spans="1:17" x14ac:dyDescent="0.35">
      <c r="A779" s="1">
        <v>43019</v>
      </c>
      <c r="B779" s="6">
        <v>4418200</v>
      </c>
      <c r="C779" s="6">
        <v>2511898</v>
      </c>
      <c r="D779" s="6">
        <v>0</v>
      </c>
      <c r="E779" s="6">
        <v>2267739</v>
      </c>
      <c r="F779" s="6">
        <v>155307</v>
      </c>
      <c r="G779" s="6">
        <v>5166</v>
      </c>
      <c r="H779" s="6">
        <v>83687</v>
      </c>
      <c r="I779" s="6">
        <v>360275</v>
      </c>
      <c r="J779" s="6">
        <v>1538386</v>
      </c>
      <c r="K779" s="6">
        <v>443</v>
      </c>
      <c r="L779" s="6"/>
      <c r="M779" s="6">
        <v>7198</v>
      </c>
      <c r="N779" s="6">
        <v>31215</v>
      </c>
      <c r="O779" s="6">
        <v>10000</v>
      </c>
      <c r="P779" s="6">
        <v>0</v>
      </c>
      <c r="Q779" s="6">
        <v>41215</v>
      </c>
    </row>
    <row r="780" spans="1:17" x14ac:dyDescent="0.35">
      <c r="A780" s="1">
        <v>43026</v>
      </c>
      <c r="B780" s="6">
        <v>4428502</v>
      </c>
      <c r="C780" s="6">
        <v>2535629</v>
      </c>
      <c r="D780" s="6">
        <v>0</v>
      </c>
      <c r="E780" s="6">
        <v>2255104</v>
      </c>
      <c r="F780" s="6">
        <v>196106</v>
      </c>
      <c r="G780" s="6">
        <v>5165</v>
      </c>
      <c r="H780" s="6">
        <v>79254</v>
      </c>
      <c r="I780" s="6">
        <v>348297</v>
      </c>
      <c r="J780" s="6">
        <v>1538055</v>
      </c>
      <c r="K780" s="6">
        <v>494</v>
      </c>
      <c r="L780" s="6"/>
      <c r="M780" s="6">
        <v>6026</v>
      </c>
      <c r="N780" s="6">
        <v>31220</v>
      </c>
      <c r="O780" s="6">
        <v>10000</v>
      </c>
      <c r="P780" s="6">
        <v>0</v>
      </c>
      <c r="Q780" s="6">
        <v>41220</v>
      </c>
    </row>
    <row r="781" spans="1:17" x14ac:dyDescent="0.35">
      <c r="A781" s="1">
        <v>43033</v>
      </c>
      <c r="B781" s="6">
        <v>4419891</v>
      </c>
      <c r="C781" s="6">
        <v>2528519</v>
      </c>
      <c r="D781" s="6">
        <v>14140</v>
      </c>
      <c r="E781" s="6">
        <v>2241618</v>
      </c>
      <c r="F781" s="6">
        <v>185092</v>
      </c>
      <c r="G781" s="6">
        <v>5166</v>
      </c>
      <c r="H781" s="6">
        <v>82503</v>
      </c>
      <c r="I781" s="6">
        <v>347903</v>
      </c>
      <c r="J781" s="6">
        <v>1536876</v>
      </c>
      <c r="K781" s="6">
        <v>318</v>
      </c>
      <c r="L781" s="6"/>
      <c r="M781" s="6">
        <v>6275</v>
      </c>
      <c r="N781" s="6">
        <v>31227</v>
      </c>
      <c r="O781" s="6">
        <v>10000</v>
      </c>
      <c r="P781" s="6">
        <v>0</v>
      </c>
      <c r="Q781" s="6">
        <v>41227</v>
      </c>
    </row>
    <row r="782" spans="1:17" x14ac:dyDescent="0.35">
      <c r="A782" s="1">
        <v>43040</v>
      </c>
      <c r="B782" s="6">
        <v>4414670</v>
      </c>
      <c r="C782" s="6">
        <v>2546288</v>
      </c>
      <c r="D782" s="6">
        <v>0</v>
      </c>
      <c r="E782" s="6">
        <v>2281472</v>
      </c>
      <c r="F782" s="6">
        <v>181764</v>
      </c>
      <c r="G782" s="6">
        <v>5177</v>
      </c>
      <c r="H782" s="6">
        <v>77875</v>
      </c>
      <c r="I782" s="6">
        <v>319936</v>
      </c>
      <c r="J782" s="6">
        <v>1542094</v>
      </c>
      <c r="K782" s="6">
        <v>503</v>
      </c>
      <c r="L782" s="6"/>
      <c r="M782" s="6">
        <v>5850</v>
      </c>
      <c r="N782" s="6">
        <v>31217</v>
      </c>
      <c r="O782" s="6">
        <v>10000</v>
      </c>
      <c r="P782" s="6">
        <v>0</v>
      </c>
      <c r="Q782" s="6">
        <v>41217</v>
      </c>
    </row>
    <row r="783" spans="1:17" x14ac:dyDescent="0.35">
      <c r="A783" s="1">
        <v>43047</v>
      </c>
      <c r="B783" s="6">
        <v>4417315</v>
      </c>
      <c r="C783" s="6">
        <v>2564064</v>
      </c>
      <c r="D783" s="6">
        <v>0</v>
      </c>
      <c r="E783" s="6">
        <v>2317610</v>
      </c>
      <c r="F783" s="6">
        <v>160437</v>
      </c>
      <c r="G783" s="6">
        <v>5166</v>
      </c>
      <c r="H783" s="6">
        <v>80851</v>
      </c>
      <c r="I783" s="6">
        <v>301136</v>
      </c>
      <c r="J783" s="6">
        <v>1544556</v>
      </c>
      <c r="K783" s="6">
        <v>521</v>
      </c>
      <c r="L783" s="6"/>
      <c r="M783" s="6">
        <v>7038</v>
      </c>
      <c r="N783" s="6">
        <v>31237</v>
      </c>
      <c r="O783" s="6">
        <v>10000</v>
      </c>
      <c r="P783" s="6">
        <v>0</v>
      </c>
      <c r="Q783" s="6">
        <v>41237</v>
      </c>
    </row>
    <row r="784" spans="1:17" x14ac:dyDescent="0.35">
      <c r="A784" s="1">
        <v>43054</v>
      </c>
      <c r="B784" s="6">
        <v>4407051</v>
      </c>
      <c r="C784" s="6">
        <v>2590889</v>
      </c>
      <c r="D784" s="6">
        <v>0</v>
      </c>
      <c r="E784" s="6">
        <v>2357806</v>
      </c>
      <c r="F784" s="6">
        <v>148165</v>
      </c>
      <c r="G784" s="6">
        <v>5368</v>
      </c>
      <c r="H784" s="6">
        <v>79549</v>
      </c>
      <c r="I784" s="6">
        <v>263449</v>
      </c>
      <c r="J784" s="6">
        <v>1545840</v>
      </c>
      <c r="K784" s="6">
        <v>387</v>
      </c>
      <c r="L784" s="6"/>
      <c r="M784" s="6">
        <v>6486</v>
      </c>
      <c r="N784" s="6">
        <v>31238</v>
      </c>
      <c r="O784" s="6">
        <v>10000</v>
      </c>
      <c r="P784" s="6">
        <v>0</v>
      </c>
      <c r="Q784" s="6">
        <v>41238</v>
      </c>
    </row>
    <row r="785" spans="1:17" x14ac:dyDescent="0.35">
      <c r="A785" s="1">
        <v>43061</v>
      </c>
      <c r="B785" s="6">
        <v>4409372</v>
      </c>
      <c r="C785" s="6">
        <v>2566771</v>
      </c>
      <c r="D785" s="6">
        <v>0</v>
      </c>
      <c r="E785" s="6">
        <v>2329834</v>
      </c>
      <c r="F785" s="6">
        <v>151783</v>
      </c>
      <c r="G785" s="6">
        <v>5165</v>
      </c>
      <c r="H785" s="6">
        <v>79989</v>
      </c>
      <c r="I785" s="6">
        <v>283250</v>
      </c>
      <c r="J785" s="6">
        <v>1551645</v>
      </c>
      <c r="K785" s="6">
        <v>542</v>
      </c>
      <c r="L785" s="6"/>
      <c r="M785" s="6">
        <v>7164</v>
      </c>
      <c r="N785" s="6">
        <v>31243</v>
      </c>
      <c r="O785" s="6">
        <v>10000</v>
      </c>
      <c r="P785" s="6">
        <v>0</v>
      </c>
      <c r="Q785" s="6">
        <v>41243</v>
      </c>
    </row>
    <row r="786" spans="1:17" x14ac:dyDescent="0.35">
      <c r="A786" s="1">
        <v>43068</v>
      </c>
      <c r="B786" s="6">
        <v>4397274</v>
      </c>
      <c r="C786" s="6">
        <v>2542512</v>
      </c>
      <c r="D786" s="6">
        <v>0</v>
      </c>
      <c r="E786" s="6">
        <v>2271173</v>
      </c>
      <c r="F786" s="6">
        <v>178685</v>
      </c>
      <c r="G786" s="6">
        <v>5167</v>
      </c>
      <c r="H786" s="6">
        <v>87488</v>
      </c>
      <c r="I786" s="6">
        <v>294644</v>
      </c>
      <c r="J786" s="6">
        <v>1552706</v>
      </c>
      <c r="K786" s="6">
        <v>1504</v>
      </c>
      <c r="L786" s="6"/>
      <c r="M786" s="6">
        <v>5908</v>
      </c>
      <c r="N786" s="6">
        <v>31318</v>
      </c>
      <c r="O786" s="6">
        <v>10000</v>
      </c>
      <c r="P786" s="6">
        <v>0</v>
      </c>
      <c r="Q786" s="6">
        <v>41318</v>
      </c>
    </row>
    <row r="787" spans="1:17" x14ac:dyDescent="0.35">
      <c r="A787" s="1">
        <v>43075</v>
      </c>
      <c r="B787" s="6">
        <v>4395830</v>
      </c>
      <c r="C787" s="6">
        <v>2529004</v>
      </c>
      <c r="D787" s="6">
        <v>0</v>
      </c>
      <c r="E787" s="6">
        <v>2325294</v>
      </c>
      <c r="F787" s="6">
        <v>122127</v>
      </c>
      <c r="G787" s="6">
        <v>5168</v>
      </c>
      <c r="H787" s="6">
        <v>76416</v>
      </c>
      <c r="I787" s="6">
        <v>303714</v>
      </c>
      <c r="J787" s="6">
        <v>1555667</v>
      </c>
      <c r="K787" s="6">
        <v>657</v>
      </c>
      <c r="L787" s="6"/>
      <c r="M787" s="6">
        <v>6787</v>
      </c>
      <c r="N787" s="6">
        <v>31318</v>
      </c>
      <c r="O787" s="6">
        <v>10000</v>
      </c>
      <c r="P787" s="6">
        <v>0</v>
      </c>
      <c r="Q787" s="6">
        <v>41318</v>
      </c>
    </row>
    <row r="788" spans="1:17" x14ac:dyDescent="0.35">
      <c r="A788" s="1">
        <v>43082</v>
      </c>
      <c r="B788" s="6">
        <v>4411405</v>
      </c>
      <c r="C788" s="6">
        <v>2474451</v>
      </c>
      <c r="D788" s="6">
        <v>0</v>
      </c>
      <c r="E788" s="6">
        <v>2322762</v>
      </c>
      <c r="F788" s="6">
        <v>64734</v>
      </c>
      <c r="G788" s="6">
        <v>5252</v>
      </c>
      <c r="H788" s="6">
        <v>81703</v>
      </c>
      <c r="I788" s="6">
        <v>372129</v>
      </c>
      <c r="J788" s="6">
        <v>1556777</v>
      </c>
      <c r="K788" s="6">
        <v>322</v>
      </c>
      <c r="L788" s="6"/>
      <c r="M788" s="6">
        <v>7726</v>
      </c>
      <c r="N788" s="6">
        <v>31321</v>
      </c>
      <c r="O788" s="6">
        <v>10000</v>
      </c>
      <c r="P788" s="6">
        <v>0</v>
      </c>
      <c r="Q788" s="6">
        <v>41321</v>
      </c>
    </row>
    <row r="789" spans="1:17" x14ac:dyDescent="0.35">
      <c r="A789" s="1">
        <v>43089</v>
      </c>
      <c r="B789" s="6">
        <v>4406148</v>
      </c>
      <c r="C789" s="6">
        <v>2488520</v>
      </c>
      <c r="D789" s="6">
        <v>0</v>
      </c>
      <c r="E789" s="6">
        <v>2237142</v>
      </c>
      <c r="F789" s="6">
        <v>170817</v>
      </c>
      <c r="G789" s="6">
        <v>5253</v>
      </c>
      <c r="H789" s="6">
        <v>75308</v>
      </c>
      <c r="I789" s="6">
        <v>349802</v>
      </c>
      <c r="J789" s="6">
        <v>1560665</v>
      </c>
      <c r="K789" s="6">
        <v>236</v>
      </c>
      <c r="L789" s="6"/>
      <c r="M789" s="6">
        <v>6925</v>
      </c>
      <c r="N789" s="6">
        <v>31322</v>
      </c>
      <c r="O789" s="6">
        <v>10000</v>
      </c>
      <c r="P789" s="6">
        <v>0</v>
      </c>
      <c r="Q789" s="6">
        <v>41322</v>
      </c>
    </row>
    <row r="790" spans="1:17" x14ac:dyDescent="0.35">
      <c r="A790" s="1">
        <v>43096</v>
      </c>
      <c r="B790" s="6">
        <v>4407291</v>
      </c>
      <c r="C790" s="6">
        <v>2445089</v>
      </c>
      <c r="D790" s="6">
        <v>0</v>
      </c>
      <c r="E790" s="6">
        <v>2176452</v>
      </c>
      <c r="F790" s="6">
        <v>186486</v>
      </c>
      <c r="G790" s="6">
        <v>5254</v>
      </c>
      <c r="H790" s="6">
        <v>76897</v>
      </c>
      <c r="I790" s="6">
        <v>386791</v>
      </c>
      <c r="J790" s="6">
        <v>1569058</v>
      </c>
      <c r="K790" s="6">
        <v>423</v>
      </c>
      <c r="L790" s="6"/>
      <c r="M790" s="6">
        <v>5931</v>
      </c>
      <c r="N790" s="6">
        <v>31388</v>
      </c>
      <c r="O790" s="6">
        <v>10000</v>
      </c>
      <c r="P790" s="6">
        <v>0</v>
      </c>
      <c r="Q790" s="6">
        <v>41388</v>
      </c>
    </row>
    <row r="791" spans="1:17" x14ac:dyDescent="0.35">
      <c r="A791" s="1">
        <v>43103</v>
      </c>
      <c r="B791" s="6">
        <v>4402330</v>
      </c>
      <c r="C791" s="6">
        <v>2441263</v>
      </c>
      <c r="D791" s="6">
        <v>0</v>
      </c>
      <c r="E791" s="6">
        <v>2194651</v>
      </c>
      <c r="F791" s="6">
        <v>169957</v>
      </c>
      <c r="G791" s="6">
        <v>5253</v>
      </c>
      <c r="H791" s="6">
        <v>71402</v>
      </c>
      <c r="I791" s="6">
        <v>383990</v>
      </c>
      <c r="J791" s="6">
        <v>1571272</v>
      </c>
      <c r="K791" s="6">
        <v>325</v>
      </c>
      <c r="L791" s="6"/>
      <c r="M791" s="6">
        <v>5481</v>
      </c>
      <c r="N791" s="6">
        <v>31387</v>
      </c>
      <c r="O791" s="6">
        <v>10000</v>
      </c>
      <c r="P791" s="6">
        <v>0</v>
      </c>
      <c r="Q791" s="6">
        <v>41387</v>
      </c>
    </row>
    <row r="792" spans="1:17" x14ac:dyDescent="0.35">
      <c r="A792" s="1">
        <v>43110</v>
      </c>
      <c r="B792" s="6">
        <v>4404677</v>
      </c>
      <c r="C792" s="6">
        <v>2534791</v>
      </c>
      <c r="D792" s="6">
        <v>0</v>
      </c>
      <c r="E792" s="6">
        <v>2257894</v>
      </c>
      <c r="F792" s="6">
        <v>198573</v>
      </c>
      <c r="G792" s="6">
        <v>5253</v>
      </c>
      <c r="H792" s="6">
        <v>73072</v>
      </c>
      <c r="I792" s="6">
        <v>298290</v>
      </c>
      <c r="J792" s="6">
        <v>1565377</v>
      </c>
      <c r="K792" s="6">
        <v>374</v>
      </c>
      <c r="L792" s="6"/>
      <c r="M792" s="6">
        <v>5844</v>
      </c>
      <c r="N792" s="6">
        <v>31385</v>
      </c>
      <c r="O792" s="6">
        <v>10000</v>
      </c>
      <c r="P792" s="6">
        <v>0</v>
      </c>
      <c r="Q792" s="6">
        <v>41385</v>
      </c>
    </row>
    <row r="793" spans="1:17" x14ac:dyDescent="0.35">
      <c r="A793" s="1">
        <v>43117</v>
      </c>
      <c r="B793" s="6">
        <v>4397740</v>
      </c>
      <c r="C793" s="6">
        <v>2566998</v>
      </c>
      <c r="D793" s="6">
        <v>0</v>
      </c>
      <c r="E793" s="6">
        <v>2234452</v>
      </c>
      <c r="F793" s="6">
        <v>256720</v>
      </c>
      <c r="G793" s="6">
        <v>5253</v>
      </c>
      <c r="H793" s="6">
        <v>70574</v>
      </c>
      <c r="I793" s="6">
        <v>260759</v>
      </c>
      <c r="J793" s="6">
        <v>1563007</v>
      </c>
      <c r="K793" s="6">
        <v>247</v>
      </c>
      <c r="L793" s="6"/>
      <c r="M793" s="6">
        <v>6728</v>
      </c>
      <c r="N793" s="6">
        <v>31405</v>
      </c>
      <c r="O793" s="6">
        <v>10000</v>
      </c>
      <c r="P793" s="6">
        <v>0</v>
      </c>
      <c r="Q793" s="6">
        <v>41405</v>
      </c>
    </row>
    <row r="794" spans="1:17" x14ac:dyDescent="0.35">
      <c r="A794" s="1">
        <v>43124</v>
      </c>
      <c r="B794" s="6">
        <v>4399907</v>
      </c>
      <c r="C794" s="6">
        <v>2559645</v>
      </c>
      <c r="D794" s="6">
        <v>0</v>
      </c>
      <c r="E794" s="6">
        <v>2182220</v>
      </c>
      <c r="F794" s="6">
        <v>275963</v>
      </c>
      <c r="G794" s="6">
        <v>5254</v>
      </c>
      <c r="H794" s="6">
        <v>96208</v>
      </c>
      <c r="I794" s="6">
        <v>274703</v>
      </c>
      <c r="J794" s="6">
        <v>1559425</v>
      </c>
      <c r="K794" s="6">
        <v>299</v>
      </c>
      <c r="L794" s="6"/>
      <c r="M794" s="6">
        <v>5836</v>
      </c>
      <c r="N794" s="6">
        <v>31410</v>
      </c>
      <c r="O794" s="6">
        <v>10000</v>
      </c>
      <c r="P794" s="6">
        <v>0</v>
      </c>
      <c r="Q794" s="6">
        <v>41410</v>
      </c>
    </row>
    <row r="795" spans="1:17" x14ac:dyDescent="0.35">
      <c r="A795" s="1">
        <v>43131</v>
      </c>
      <c r="B795" s="6">
        <v>4377738</v>
      </c>
      <c r="C795" s="6">
        <v>2500165</v>
      </c>
      <c r="D795" s="6">
        <v>0</v>
      </c>
      <c r="E795" s="6">
        <v>2142376</v>
      </c>
      <c r="F795" s="6">
        <v>275794</v>
      </c>
      <c r="G795" s="6">
        <v>5255</v>
      </c>
      <c r="H795" s="6">
        <v>76740</v>
      </c>
      <c r="I795" s="6">
        <v>310476</v>
      </c>
      <c r="J795" s="6">
        <v>1560302</v>
      </c>
      <c r="K795" s="6">
        <v>1129</v>
      </c>
      <c r="L795" s="6"/>
      <c r="M795" s="6">
        <v>5666</v>
      </c>
      <c r="N795" s="6">
        <v>31487</v>
      </c>
      <c r="O795" s="6">
        <v>10000</v>
      </c>
      <c r="P795" s="6">
        <v>0</v>
      </c>
      <c r="Q795" s="6">
        <v>41487</v>
      </c>
    </row>
    <row r="796" spans="1:17" x14ac:dyDescent="0.35">
      <c r="A796" s="1">
        <v>43138</v>
      </c>
      <c r="B796" s="6">
        <v>4379242</v>
      </c>
      <c r="C796" s="6">
        <v>2527948</v>
      </c>
      <c r="D796" s="6">
        <v>0</v>
      </c>
      <c r="E796" s="6">
        <v>2240014</v>
      </c>
      <c r="F796" s="6">
        <v>202221</v>
      </c>
      <c r="G796" s="6">
        <v>5253</v>
      </c>
      <c r="H796" s="6">
        <v>80460</v>
      </c>
      <c r="I796" s="6">
        <v>280540</v>
      </c>
      <c r="J796" s="6">
        <v>1565333</v>
      </c>
      <c r="K796" s="6">
        <v>282</v>
      </c>
      <c r="L796" s="6"/>
      <c r="M796" s="6">
        <v>5138</v>
      </c>
      <c r="N796" s="6">
        <v>31503</v>
      </c>
      <c r="O796" s="6">
        <v>10000</v>
      </c>
      <c r="P796" s="6">
        <v>0</v>
      </c>
      <c r="Q796" s="6">
        <v>41503</v>
      </c>
    </row>
    <row r="797" spans="1:17" x14ac:dyDescent="0.35">
      <c r="A797" s="1">
        <v>43145</v>
      </c>
      <c r="B797" s="6">
        <v>4393290</v>
      </c>
      <c r="C797" s="6">
        <v>2549245</v>
      </c>
      <c r="D797" s="6">
        <v>0</v>
      </c>
      <c r="E797" s="6">
        <v>2255967</v>
      </c>
      <c r="F797" s="6">
        <v>180845</v>
      </c>
      <c r="G797" s="6">
        <v>5254</v>
      </c>
      <c r="H797" s="6">
        <v>107178</v>
      </c>
      <c r="I797" s="6">
        <v>268400</v>
      </c>
      <c r="J797" s="6">
        <v>1569037</v>
      </c>
      <c r="K797" s="6">
        <v>223</v>
      </c>
      <c r="L797" s="6"/>
      <c r="M797" s="6">
        <v>6385</v>
      </c>
      <c r="N797" s="6">
        <v>31573</v>
      </c>
      <c r="O797" s="6">
        <v>10000</v>
      </c>
      <c r="P797" s="6">
        <v>0</v>
      </c>
      <c r="Q797" s="6">
        <v>41573</v>
      </c>
    </row>
    <row r="798" spans="1:17" x14ac:dyDescent="0.35">
      <c r="A798" s="1">
        <v>43152</v>
      </c>
      <c r="B798" s="6">
        <v>4370079</v>
      </c>
      <c r="C798" s="6">
        <v>2509914</v>
      </c>
      <c r="D798" s="6">
        <v>0</v>
      </c>
      <c r="E798" s="6">
        <v>2215339</v>
      </c>
      <c r="F798" s="6">
        <v>208817</v>
      </c>
      <c r="G798" s="6">
        <v>5255</v>
      </c>
      <c r="H798" s="6">
        <v>80502</v>
      </c>
      <c r="I798" s="6">
        <v>280170</v>
      </c>
      <c r="J798" s="6">
        <v>1574396</v>
      </c>
      <c r="K798" s="6">
        <v>309</v>
      </c>
      <c r="L798" s="6"/>
      <c r="M798" s="6">
        <v>5290</v>
      </c>
      <c r="N798" s="6">
        <v>31581</v>
      </c>
      <c r="O798" s="6">
        <v>10000</v>
      </c>
      <c r="P798" s="6">
        <v>0</v>
      </c>
      <c r="Q798" s="6">
        <v>41581</v>
      </c>
    </row>
    <row r="799" spans="1:17" x14ac:dyDescent="0.35">
      <c r="A799" s="1">
        <v>43159</v>
      </c>
      <c r="B799" s="6">
        <v>4354237</v>
      </c>
      <c r="C799" s="6">
        <v>2489995</v>
      </c>
      <c r="D799" s="6">
        <v>0</v>
      </c>
      <c r="E799" s="6">
        <v>2208308</v>
      </c>
      <c r="F799" s="6">
        <v>199390</v>
      </c>
      <c r="G799" s="6">
        <v>5255</v>
      </c>
      <c r="H799" s="6">
        <v>77043</v>
      </c>
      <c r="I799" s="6">
        <v>277458</v>
      </c>
      <c r="J799" s="6">
        <v>1579985</v>
      </c>
      <c r="K799" s="6">
        <v>906</v>
      </c>
      <c r="L799" s="6"/>
      <c r="M799" s="6">
        <v>5893</v>
      </c>
      <c r="N799" s="6">
        <v>31664</v>
      </c>
      <c r="O799" s="6">
        <v>7500</v>
      </c>
      <c r="P799" s="6">
        <v>0</v>
      </c>
      <c r="Q799" s="6">
        <v>39164</v>
      </c>
    </row>
    <row r="800" spans="1:17" x14ac:dyDescent="0.35">
      <c r="A800" s="1">
        <v>43166</v>
      </c>
      <c r="B800" s="6">
        <v>4356921</v>
      </c>
      <c r="C800" s="6">
        <v>2531312</v>
      </c>
      <c r="D800" s="6">
        <v>0</v>
      </c>
      <c r="E800" s="6">
        <v>2261353</v>
      </c>
      <c r="F800" s="6">
        <v>187515</v>
      </c>
      <c r="G800" s="6">
        <v>5254</v>
      </c>
      <c r="H800" s="6">
        <v>77190</v>
      </c>
      <c r="I800" s="6">
        <v>233466</v>
      </c>
      <c r="J800" s="6">
        <v>1585789</v>
      </c>
      <c r="K800" s="6">
        <v>571</v>
      </c>
      <c r="L800" s="6"/>
      <c r="M800" s="6">
        <v>5782</v>
      </c>
      <c r="N800" s="6">
        <v>31677</v>
      </c>
      <c r="O800" s="6">
        <v>7500</v>
      </c>
      <c r="P800" s="6">
        <v>0</v>
      </c>
      <c r="Q800" s="6">
        <v>39177</v>
      </c>
    </row>
    <row r="801" spans="1:17" x14ac:dyDescent="0.35">
      <c r="A801" s="1">
        <v>43173</v>
      </c>
      <c r="B801" s="6">
        <v>4368098</v>
      </c>
      <c r="C801" s="6">
        <v>2536265</v>
      </c>
      <c r="D801" s="6">
        <v>0</v>
      </c>
      <c r="E801" s="6">
        <v>2190143</v>
      </c>
      <c r="F801" s="6">
        <v>236160</v>
      </c>
      <c r="G801" s="6">
        <v>5254</v>
      </c>
      <c r="H801" s="6">
        <v>104707</v>
      </c>
      <c r="I801" s="6">
        <v>237279</v>
      </c>
      <c r="J801" s="6">
        <v>1587660</v>
      </c>
      <c r="K801" s="6">
        <v>354</v>
      </c>
      <c r="L801" s="6"/>
      <c r="M801" s="6">
        <v>6541</v>
      </c>
      <c r="N801" s="6">
        <v>31660</v>
      </c>
      <c r="O801" s="6">
        <v>7500</v>
      </c>
      <c r="P801" s="6">
        <v>0</v>
      </c>
      <c r="Q801" s="6">
        <v>39160</v>
      </c>
    </row>
    <row r="802" spans="1:17" x14ac:dyDescent="0.35">
      <c r="A802" s="1">
        <v>43180</v>
      </c>
      <c r="B802" s="6">
        <v>4362051</v>
      </c>
      <c r="C802" s="6">
        <v>2520162</v>
      </c>
      <c r="D802" s="6">
        <v>0</v>
      </c>
      <c r="E802" s="6">
        <v>2135068</v>
      </c>
      <c r="F802" s="6">
        <v>298973</v>
      </c>
      <c r="G802" s="6">
        <v>5254</v>
      </c>
      <c r="H802" s="6">
        <v>80867</v>
      </c>
      <c r="I802" s="6">
        <v>249149</v>
      </c>
      <c r="J802" s="6">
        <v>1587391</v>
      </c>
      <c r="K802" s="6">
        <v>239</v>
      </c>
      <c r="L802" s="6"/>
      <c r="M802" s="6">
        <v>5110</v>
      </c>
      <c r="N802" s="6">
        <v>31670</v>
      </c>
      <c r="O802" s="6">
        <v>7500</v>
      </c>
      <c r="P802" s="6">
        <v>0</v>
      </c>
      <c r="Q802" s="6">
        <v>39170</v>
      </c>
    </row>
    <row r="803" spans="1:17" x14ac:dyDescent="0.35">
      <c r="A803" s="1">
        <v>43187</v>
      </c>
      <c r="B803" s="6">
        <v>4353037</v>
      </c>
      <c r="C803" s="6">
        <v>2501342</v>
      </c>
      <c r="D803" s="6">
        <v>0</v>
      </c>
      <c r="E803" s="6">
        <v>2119005</v>
      </c>
      <c r="F803" s="6">
        <v>300355</v>
      </c>
      <c r="G803" s="6">
        <v>5254</v>
      </c>
      <c r="H803" s="6">
        <v>76728</v>
      </c>
      <c r="I803" s="6">
        <v>255440</v>
      </c>
      <c r="J803" s="6">
        <v>1589535</v>
      </c>
      <c r="K803" s="6">
        <v>603</v>
      </c>
      <c r="L803" s="6"/>
      <c r="M803" s="6">
        <v>6117</v>
      </c>
      <c r="N803" s="6">
        <v>31661</v>
      </c>
      <c r="O803" s="6">
        <v>7500</v>
      </c>
      <c r="P803" s="6">
        <v>0</v>
      </c>
      <c r="Q803" s="6">
        <v>39161</v>
      </c>
    </row>
    <row r="804" spans="1:17" x14ac:dyDescent="0.35">
      <c r="A804" s="1">
        <v>43194</v>
      </c>
      <c r="B804" s="6">
        <v>4346908</v>
      </c>
      <c r="C804" s="6">
        <v>2483022</v>
      </c>
      <c r="D804" s="6">
        <v>0</v>
      </c>
      <c r="E804" s="6">
        <v>2098731</v>
      </c>
      <c r="F804" s="6">
        <v>300604</v>
      </c>
      <c r="G804" s="6">
        <v>5254</v>
      </c>
      <c r="H804" s="6">
        <v>78434</v>
      </c>
      <c r="I804" s="6">
        <v>265257</v>
      </c>
      <c r="J804" s="6">
        <v>1593169</v>
      </c>
      <c r="K804" s="6">
        <v>453</v>
      </c>
      <c r="L804" s="6"/>
      <c r="M804" s="6">
        <v>5006</v>
      </c>
      <c r="N804" s="6">
        <v>31696</v>
      </c>
      <c r="O804" s="6">
        <v>7500</v>
      </c>
      <c r="P804" s="6">
        <v>0</v>
      </c>
      <c r="Q804" s="6">
        <v>39196</v>
      </c>
    </row>
    <row r="805" spans="1:17" x14ac:dyDescent="0.35">
      <c r="A805" s="1">
        <v>43201</v>
      </c>
      <c r="B805" s="6">
        <v>4344442</v>
      </c>
      <c r="C805" s="6">
        <v>2499010</v>
      </c>
      <c r="D805" s="6">
        <v>0</v>
      </c>
      <c r="E805" s="6">
        <v>2128844</v>
      </c>
      <c r="F805" s="6">
        <v>287804</v>
      </c>
      <c r="G805" s="6">
        <v>5253</v>
      </c>
      <c r="H805" s="6">
        <v>77110</v>
      </c>
      <c r="I805" s="6">
        <v>245204</v>
      </c>
      <c r="J805" s="6">
        <v>1593365</v>
      </c>
      <c r="K805" s="6">
        <v>257</v>
      </c>
      <c r="L805" s="6"/>
      <c r="M805" s="6">
        <v>6606</v>
      </c>
      <c r="N805" s="6">
        <v>31742</v>
      </c>
      <c r="O805" s="6">
        <v>7500</v>
      </c>
      <c r="P805" s="6">
        <v>0</v>
      </c>
      <c r="Q805" s="6">
        <v>39242</v>
      </c>
    </row>
    <row r="806" spans="1:17" x14ac:dyDescent="0.35">
      <c r="A806" s="1">
        <v>43208</v>
      </c>
      <c r="B806" s="6">
        <v>4346658</v>
      </c>
      <c r="C806" s="6">
        <v>2498335</v>
      </c>
      <c r="D806" s="6">
        <v>0</v>
      </c>
      <c r="E806" s="6">
        <v>2067159</v>
      </c>
      <c r="F806" s="6">
        <v>350943</v>
      </c>
      <c r="G806" s="6">
        <v>5253</v>
      </c>
      <c r="H806" s="6">
        <v>74979</v>
      </c>
      <c r="I806" s="6">
        <v>247748</v>
      </c>
      <c r="J806" s="6">
        <v>1594816</v>
      </c>
      <c r="K806" s="6">
        <v>353</v>
      </c>
      <c r="L806" s="6"/>
      <c r="M806" s="6">
        <v>5407</v>
      </c>
      <c r="N806" s="6">
        <v>31745</v>
      </c>
      <c r="O806" s="6">
        <v>7500</v>
      </c>
      <c r="P806" s="6">
        <v>0</v>
      </c>
      <c r="Q806" s="6">
        <v>39245</v>
      </c>
    </row>
    <row r="807" spans="1:17" x14ac:dyDescent="0.35">
      <c r="A807" s="1">
        <v>43215</v>
      </c>
      <c r="B807" s="6">
        <v>4333634</v>
      </c>
      <c r="C807" s="6">
        <v>2493721</v>
      </c>
      <c r="D807" s="6">
        <v>0</v>
      </c>
      <c r="E807" s="6">
        <v>2010948</v>
      </c>
      <c r="F807" s="6">
        <v>403067</v>
      </c>
      <c r="G807" s="6">
        <v>5254</v>
      </c>
      <c r="H807" s="6">
        <v>74452</v>
      </c>
      <c r="I807" s="6">
        <v>238414</v>
      </c>
      <c r="J807" s="6">
        <v>1595828</v>
      </c>
      <c r="K807" s="6">
        <v>209</v>
      </c>
      <c r="L807" s="6"/>
      <c r="M807" s="6">
        <v>5461</v>
      </c>
      <c r="N807" s="6">
        <v>31753</v>
      </c>
      <c r="O807" s="6">
        <v>7500</v>
      </c>
      <c r="P807" s="6">
        <v>0</v>
      </c>
      <c r="Q807" s="6">
        <v>39253</v>
      </c>
    </row>
    <row r="808" spans="1:17" x14ac:dyDescent="0.35">
      <c r="A808" s="1">
        <v>43222</v>
      </c>
      <c r="B808" s="6">
        <v>4316866</v>
      </c>
      <c r="C808" s="6">
        <v>2456482</v>
      </c>
      <c r="D808" s="6">
        <v>0</v>
      </c>
      <c r="E808" s="6">
        <v>1991823</v>
      </c>
      <c r="F808" s="6">
        <v>384961</v>
      </c>
      <c r="G808" s="6">
        <v>5254</v>
      </c>
      <c r="H808" s="6">
        <v>74445</v>
      </c>
      <c r="I808" s="6">
        <v>256172</v>
      </c>
      <c r="J808" s="6">
        <v>1598599</v>
      </c>
      <c r="K808" s="6">
        <v>330</v>
      </c>
      <c r="L808" s="6"/>
      <c r="M808" s="6">
        <v>5283</v>
      </c>
      <c r="N808" s="6">
        <v>31762</v>
      </c>
      <c r="O808" s="6">
        <v>7500</v>
      </c>
      <c r="P808" s="6">
        <v>0</v>
      </c>
      <c r="Q808" s="6">
        <v>39262</v>
      </c>
    </row>
    <row r="809" spans="1:17" x14ac:dyDescent="0.35">
      <c r="A809" s="1">
        <v>43229</v>
      </c>
      <c r="B809" s="6">
        <v>4318930</v>
      </c>
      <c r="C809" s="6">
        <v>2463507</v>
      </c>
      <c r="D809" s="6">
        <v>0</v>
      </c>
      <c r="E809" s="6">
        <v>2046776</v>
      </c>
      <c r="F809" s="6">
        <v>338377</v>
      </c>
      <c r="G809" s="6">
        <v>5254</v>
      </c>
      <c r="H809" s="6">
        <v>73100</v>
      </c>
      <c r="I809" s="6">
        <v>247480</v>
      </c>
      <c r="J809" s="6">
        <v>1601610</v>
      </c>
      <c r="K809" s="6">
        <v>254</v>
      </c>
      <c r="L809" s="6"/>
      <c r="M809" s="6">
        <v>6080</v>
      </c>
      <c r="N809" s="6">
        <v>31777</v>
      </c>
      <c r="O809" s="6">
        <v>7500</v>
      </c>
      <c r="P809" s="6">
        <v>0</v>
      </c>
      <c r="Q809" s="6">
        <v>39277</v>
      </c>
    </row>
    <row r="810" spans="1:17" x14ac:dyDescent="0.35">
      <c r="A810" s="1">
        <v>43236</v>
      </c>
      <c r="B810" s="6">
        <v>4298297</v>
      </c>
      <c r="C810" s="6">
        <v>2429810</v>
      </c>
      <c r="D810" s="6">
        <v>0</v>
      </c>
      <c r="E810" s="6">
        <v>2022661</v>
      </c>
      <c r="F810" s="6">
        <v>327748</v>
      </c>
      <c r="G810" s="6">
        <v>5255</v>
      </c>
      <c r="H810" s="6">
        <v>74145</v>
      </c>
      <c r="I810" s="6">
        <v>256904</v>
      </c>
      <c r="J810" s="6">
        <v>1606143</v>
      </c>
      <c r="K810" s="6">
        <v>266</v>
      </c>
      <c r="L810" s="6"/>
      <c r="M810" s="6">
        <v>5174</v>
      </c>
      <c r="N810" s="6">
        <v>31812</v>
      </c>
      <c r="O810" s="6">
        <v>7500</v>
      </c>
      <c r="P810" s="6">
        <v>0</v>
      </c>
      <c r="Q810" s="6">
        <v>39312</v>
      </c>
    </row>
    <row r="811" spans="1:17" x14ac:dyDescent="0.35">
      <c r="A811" s="1">
        <v>43243</v>
      </c>
      <c r="B811" s="6">
        <v>4297989</v>
      </c>
      <c r="C811" s="6">
        <v>2435128</v>
      </c>
      <c r="D811" s="6">
        <v>3686</v>
      </c>
      <c r="E811" s="6">
        <v>2040545</v>
      </c>
      <c r="F811" s="6">
        <v>312169</v>
      </c>
      <c r="G811" s="6">
        <v>5255</v>
      </c>
      <c r="H811" s="6">
        <v>73474</v>
      </c>
      <c r="I811" s="6">
        <v>247465</v>
      </c>
      <c r="J811" s="6">
        <v>1609131</v>
      </c>
      <c r="K811" s="6">
        <v>262</v>
      </c>
      <c r="L811" s="6"/>
      <c r="M811" s="6">
        <v>6003</v>
      </c>
      <c r="N811" s="6">
        <v>31813</v>
      </c>
      <c r="O811" s="6">
        <v>7500</v>
      </c>
      <c r="P811" s="6">
        <v>0</v>
      </c>
      <c r="Q811" s="6">
        <v>39313</v>
      </c>
    </row>
    <row r="812" spans="1:17" x14ac:dyDescent="0.35">
      <c r="A812" s="1">
        <v>43250</v>
      </c>
      <c r="B812" s="6">
        <v>4288057</v>
      </c>
      <c r="C812" s="6">
        <v>2422253</v>
      </c>
      <c r="D812" s="6">
        <v>0</v>
      </c>
      <c r="E812" s="6">
        <v>2005887</v>
      </c>
      <c r="F812" s="6">
        <v>332712</v>
      </c>
      <c r="G812" s="6">
        <v>5255</v>
      </c>
      <c r="H812" s="6">
        <v>78398</v>
      </c>
      <c r="I812" s="6">
        <v>245554</v>
      </c>
      <c r="J812" s="6">
        <v>1613679</v>
      </c>
      <c r="K812" s="6">
        <v>1100</v>
      </c>
      <c r="L812" s="6"/>
      <c r="M812" s="6">
        <v>5472</v>
      </c>
      <c r="N812" s="6">
        <v>31962</v>
      </c>
      <c r="O812" s="6">
        <v>7500</v>
      </c>
      <c r="P812" s="6">
        <v>0</v>
      </c>
      <c r="Q812" s="6">
        <v>39462</v>
      </c>
    </row>
    <row r="813" spans="1:17" x14ac:dyDescent="0.35">
      <c r="A813" s="1">
        <v>43257</v>
      </c>
      <c r="B813" s="6">
        <v>4279725</v>
      </c>
      <c r="C813" s="6">
        <v>2397845</v>
      </c>
      <c r="D813" s="6">
        <v>0</v>
      </c>
      <c r="E813" s="6">
        <v>2031965</v>
      </c>
      <c r="F813" s="6">
        <v>289454</v>
      </c>
      <c r="G813" s="6">
        <v>5260</v>
      </c>
      <c r="H813" s="6">
        <v>71166</v>
      </c>
      <c r="I813" s="6">
        <v>260593</v>
      </c>
      <c r="J813" s="6">
        <v>1614767</v>
      </c>
      <c r="K813" s="6">
        <v>310</v>
      </c>
      <c r="L813" s="6"/>
      <c r="M813" s="6">
        <v>6209</v>
      </c>
      <c r="N813" s="6">
        <v>31967</v>
      </c>
      <c r="O813" s="6">
        <v>7500</v>
      </c>
      <c r="P813" s="6">
        <v>0</v>
      </c>
      <c r="Q813" s="6">
        <v>39467</v>
      </c>
    </row>
    <row r="814" spans="1:17" x14ac:dyDescent="0.35">
      <c r="A814" s="1">
        <v>43264</v>
      </c>
      <c r="B814" s="6">
        <v>4285331</v>
      </c>
      <c r="C814" s="6">
        <v>2424807</v>
      </c>
      <c r="D814" s="6">
        <v>0</v>
      </c>
      <c r="E814" s="6">
        <v>2063038</v>
      </c>
      <c r="F814" s="6">
        <v>282968</v>
      </c>
      <c r="G814" s="6">
        <v>5255</v>
      </c>
      <c r="H814" s="6">
        <v>73546</v>
      </c>
      <c r="I814" s="6">
        <v>239658</v>
      </c>
      <c r="J814" s="6">
        <v>1614115</v>
      </c>
      <c r="K814" s="6">
        <v>314</v>
      </c>
      <c r="L814" s="6"/>
      <c r="M814" s="6">
        <v>6436</v>
      </c>
      <c r="N814" s="6">
        <v>32076</v>
      </c>
      <c r="O814" s="6">
        <v>7500</v>
      </c>
      <c r="P814" s="6">
        <v>0</v>
      </c>
      <c r="Q814" s="6">
        <v>39576</v>
      </c>
    </row>
    <row r="815" spans="1:17" x14ac:dyDescent="0.35">
      <c r="A815" s="1">
        <v>43271</v>
      </c>
      <c r="B815" s="6">
        <v>4276319</v>
      </c>
      <c r="C815" s="6">
        <v>2412012</v>
      </c>
      <c r="D815" s="6">
        <v>0</v>
      </c>
      <c r="E815" s="6">
        <v>1952143</v>
      </c>
      <c r="F815" s="6">
        <v>380090</v>
      </c>
      <c r="G815" s="6">
        <v>5255</v>
      </c>
      <c r="H815" s="6">
        <v>74523</v>
      </c>
      <c r="I815" s="6">
        <v>243725</v>
      </c>
      <c r="J815" s="6">
        <v>1614030</v>
      </c>
      <c r="K815" s="6">
        <v>189</v>
      </c>
      <c r="L815" s="6"/>
      <c r="M815" s="6">
        <v>6363</v>
      </c>
      <c r="N815" s="6">
        <v>32076</v>
      </c>
      <c r="O815" s="6">
        <v>7500</v>
      </c>
      <c r="P815" s="6">
        <v>0</v>
      </c>
      <c r="Q815" s="6">
        <v>39576</v>
      </c>
    </row>
    <row r="816" spans="1:17" x14ac:dyDescent="0.35">
      <c r="A816" s="1">
        <v>43278</v>
      </c>
      <c r="B816" s="6">
        <v>4266589</v>
      </c>
      <c r="C816" s="6">
        <v>2381975</v>
      </c>
      <c r="D816" s="6">
        <v>0</v>
      </c>
      <c r="E816" s="6">
        <v>1940916</v>
      </c>
      <c r="F816" s="6">
        <v>362175</v>
      </c>
      <c r="G816" s="6">
        <v>5256</v>
      </c>
      <c r="H816" s="6">
        <v>73629</v>
      </c>
      <c r="I816" s="6">
        <v>260837</v>
      </c>
      <c r="J816" s="6">
        <v>1617589</v>
      </c>
      <c r="K816" s="6">
        <v>758</v>
      </c>
      <c r="L816" s="6"/>
      <c r="M816" s="6">
        <v>5431</v>
      </c>
      <c r="N816" s="6">
        <v>32076</v>
      </c>
      <c r="O816" s="6">
        <v>6825</v>
      </c>
      <c r="P816" s="6">
        <v>0</v>
      </c>
      <c r="Q816" s="6">
        <v>38901</v>
      </c>
    </row>
    <row r="817" spans="1:17" x14ac:dyDescent="0.35">
      <c r="A817" s="1">
        <v>43285</v>
      </c>
      <c r="B817" s="6">
        <v>4250863</v>
      </c>
      <c r="C817" s="6">
        <v>2354330</v>
      </c>
      <c r="D817" s="6">
        <v>0</v>
      </c>
      <c r="E817" s="6">
        <v>1954210</v>
      </c>
      <c r="F817" s="6">
        <v>325543</v>
      </c>
      <c r="G817" s="6">
        <v>5254</v>
      </c>
      <c r="H817" s="6">
        <v>69323</v>
      </c>
      <c r="I817" s="6">
        <v>264605</v>
      </c>
      <c r="J817" s="6">
        <v>1624417</v>
      </c>
      <c r="K817" s="6">
        <v>434</v>
      </c>
      <c r="L817" s="6"/>
      <c r="M817" s="6">
        <v>7076</v>
      </c>
      <c r="N817" s="6">
        <v>32076</v>
      </c>
      <c r="O817" s="6">
        <v>6825</v>
      </c>
      <c r="P817" s="6">
        <v>0</v>
      </c>
      <c r="Q817" s="6">
        <v>38901</v>
      </c>
    </row>
    <row r="818" spans="1:17" x14ac:dyDescent="0.35">
      <c r="A818" s="1">
        <v>43292</v>
      </c>
      <c r="B818" s="6">
        <v>4252301</v>
      </c>
      <c r="C818" s="6">
        <v>2373119</v>
      </c>
      <c r="D818" s="6">
        <v>0</v>
      </c>
      <c r="E818" s="6">
        <v>1980868</v>
      </c>
      <c r="F818" s="6">
        <v>316434</v>
      </c>
      <c r="G818" s="6">
        <v>5256</v>
      </c>
      <c r="H818" s="6">
        <v>70560</v>
      </c>
      <c r="I818" s="6">
        <v>249412</v>
      </c>
      <c r="J818" s="6">
        <v>1624385</v>
      </c>
      <c r="K818" s="6">
        <v>386</v>
      </c>
      <c r="L818" s="6"/>
      <c r="M818" s="6">
        <v>5000</v>
      </c>
      <c r="N818" s="6">
        <v>32075</v>
      </c>
      <c r="O818" s="6">
        <v>6825</v>
      </c>
      <c r="P818" s="6">
        <v>0</v>
      </c>
      <c r="Q818" s="6">
        <v>38900</v>
      </c>
    </row>
    <row r="819" spans="1:17" x14ac:dyDescent="0.35">
      <c r="A819" s="1">
        <v>43299</v>
      </c>
      <c r="B819" s="6">
        <v>4252711</v>
      </c>
      <c r="C819" s="6">
        <v>2361467</v>
      </c>
      <c r="D819" s="6">
        <v>0</v>
      </c>
      <c r="E819" s="6">
        <v>1949946</v>
      </c>
      <c r="F819" s="6">
        <v>335801</v>
      </c>
      <c r="G819" s="6">
        <v>5257</v>
      </c>
      <c r="H819" s="6">
        <v>70463</v>
      </c>
      <c r="I819" s="6">
        <v>264459</v>
      </c>
      <c r="J819" s="6">
        <v>1620664</v>
      </c>
      <c r="K819" s="6">
        <v>389</v>
      </c>
      <c r="L819" s="6"/>
      <c r="M819" s="6">
        <v>5732</v>
      </c>
      <c r="N819" s="6">
        <v>32080</v>
      </c>
      <c r="O819" s="6">
        <v>6825</v>
      </c>
      <c r="P819" s="6">
        <v>0</v>
      </c>
      <c r="Q819" s="6">
        <v>38905</v>
      </c>
    </row>
    <row r="820" spans="1:17" x14ac:dyDescent="0.35">
      <c r="A820" s="1">
        <v>43306</v>
      </c>
      <c r="B820" s="6">
        <v>4238776</v>
      </c>
      <c r="C820" s="6">
        <v>2362550</v>
      </c>
      <c r="D820" s="6">
        <v>0</v>
      </c>
      <c r="E820" s="6">
        <v>1947288</v>
      </c>
      <c r="F820" s="6">
        <v>338978</v>
      </c>
      <c r="G820" s="6">
        <v>5256</v>
      </c>
      <c r="H820" s="6">
        <v>71029</v>
      </c>
      <c r="I820" s="6">
        <v>250340</v>
      </c>
      <c r="J820" s="6">
        <v>1620547</v>
      </c>
      <c r="K820" s="6">
        <v>364</v>
      </c>
      <c r="L820" s="6"/>
      <c r="M820" s="6">
        <v>4975</v>
      </c>
      <c r="N820" s="6">
        <v>32080</v>
      </c>
      <c r="O820" s="6">
        <v>6825</v>
      </c>
      <c r="P820" s="6">
        <v>0</v>
      </c>
      <c r="Q820" s="6">
        <v>38905</v>
      </c>
    </row>
    <row r="821" spans="1:17" x14ac:dyDescent="0.35">
      <c r="A821" s="1">
        <v>43313</v>
      </c>
      <c r="B821" s="6">
        <v>4216748</v>
      </c>
      <c r="C821" s="6">
        <v>2352649</v>
      </c>
      <c r="D821" s="6">
        <v>0</v>
      </c>
      <c r="E821" s="6">
        <v>1966432</v>
      </c>
      <c r="F821" s="6">
        <v>310204</v>
      </c>
      <c r="G821" s="6">
        <v>5257</v>
      </c>
      <c r="H821" s="6">
        <v>70756</v>
      </c>
      <c r="I821" s="6">
        <v>235759</v>
      </c>
      <c r="J821" s="6">
        <v>1621958</v>
      </c>
      <c r="K821" s="6">
        <v>620</v>
      </c>
      <c r="L821" s="6"/>
      <c r="M821" s="6">
        <v>5763</v>
      </c>
      <c r="N821" s="6">
        <v>32079</v>
      </c>
      <c r="O821" s="6">
        <v>6825</v>
      </c>
      <c r="P821" s="6">
        <v>0</v>
      </c>
      <c r="Q821" s="6">
        <v>38904</v>
      </c>
    </row>
    <row r="822" spans="1:17" x14ac:dyDescent="0.35">
      <c r="A822" s="1">
        <v>43320</v>
      </c>
      <c r="B822" s="6">
        <v>4219126</v>
      </c>
      <c r="C822" s="6">
        <v>2352204</v>
      </c>
      <c r="D822" s="6">
        <v>0</v>
      </c>
      <c r="E822" s="6">
        <v>1966103</v>
      </c>
      <c r="F822" s="6">
        <v>311690</v>
      </c>
      <c r="G822" s="6">
        <v>5257</v>
      </c>
      <c r="H822" s="6">
        <v>69154</v>
      </c>
      <c r="I822" s="6">
        <v>237390</v>
      </c>
      <c r="J822" s="6">
        <v>1623919</v>
      </c>
      <c r="K822" s="6">
        <v>410</v>
      </c>
      <c r="L822" s="6"/>
      <c r="M822" s="6">
        <v>5204</v>
      </c>
      <c r="N822" s="6">
        <v>32079</v>
      </c>
      <c r="O822" s="6">
        <v>6825</v>
      </c>
      <c r="P822" s="6">
        <v>0</v>
      </c>
      <c r="Q822" s="6">
        <v>38904</v>
      </c>
    </row>
    <row r="823" spans="1:17" x14ac:dyDescent="0.35">
      <c r="A823" s="1">
        <v>43327</v>
      </c>
      <c r="B823" s="6">
        <v>4189907</v>
      </c>
      <c r="C823" s="6">
        <v>2308355</v>
      </c>
      <c r="D823" s="6">
        <v>0</v>
      </c>
      <c r="E823" s="6">
        <v>1918744</v>
      </c>
      <c r="F823" s="6">
        <v>318117</v>
      </c>
      <c r="G823" s="6">
        <v>5257</v>
      </c>
      <c r="H823" s="6">
        <v>66237</v>
      </c>
      <c r="I823" s="6">
        <v>249536</v>
      </c>
      <c r="J823" s="6">
        <v>1625914</v>
      </c>
      <c r="K823" s="6">
        <v>335</v>
      </c>
      <c r="L823" s="6"/>
      <c r="M823" s="6">
        <v>5766</v>
      </c>
      <c r="N823" s="6">
        <v>32192</v>
      </c>
      <c r="O823" s="6">
        <v>6825</v>
      </c>
      <c r="P823" s="6">
        <v>0</v>
      </c>
      <c r="Q823" s="6">
        <v>39017</v>
      </c>
    </row>
    <row r="824" spans="1:17" x14ac:dyDescent="0.35">
      <c r="A824" s="1">
        <v>43334</v>
      </c>
      <c r="B824" s="6">
        <v>4189796</v>
      </c>
      <c r="C824" s="6">
        <v>2312371</v>
      </c>
      <c r="D824" s="6">
        <v>0</v>
      </c>
      <c r="E824" s="6">
        <v>1902785</v>
      </c>
      <c r="F824" s="6">
        <v>334992</v>
      </c>
      <c r="G824" s="6">
        <v>5256</v>
      </c>
      <c r="H824" s="6">
        <v>69338</v>
      </c>
      <c r="I824" s="6">
        <v>244204</v>
      </c>
      <c r="J824" s="6">
        <v>1627390</v>
      </c>
      <c r="K824" s="6">
        <v>278</v>
      </c>
      <c r="L824" s="6"/>
      <c r="M824" s="6">
        <v>5553</v>
      </c>
      <c r="N824" s="6">
        <v>32196</v>
      </c>
      <c r="O824" s="6">
        <v>6825</v>
      </c>
      <c r="P824" s="6">
        <v>0</v>
      </c>
      <c r="Q824" s="6">
        <v>39021</v>
      </c>
    </row>
    <row r="825" spans="1:17" x14ac:dyDescent="0.35">
      <c r="A825" s="1">
        <v>43341</v>
      </c>
      <c r="B825" s="6">
        <v>4179888</v>
      </c>
      <c r="C825" s="6">
        <v>2307757</v>
      </c>
      <c r="D825" s="6">
        <v>2487</v>
      </c>
      <c r="E825" s="6">
        <v>1880507</v>
      </c>
      <c r="F825" s="6">
        <v>345255</v>
      </c>
      <c r="G825" s="6">
        <v>5257</v>
      </c>
      <c r="H825" s="6">
        <v>74251</v>
      </c>
      <c r="I825" s="6">
        <v>232432</v>
      </c>
      <c r="J825" s="6">
        <v>1633269</v>
      </c>
      <c r="K825" s="6">
        <v>574</v>
      </c>
      <c r="L825" s="6"/>
      <c r="M825" s="6">
        <v>5856</v>
      </c>
      <c r="N825" s="6">
        <v>32202</v>
      </c>
      <c r="O825" s="6">
        <v>6825</v>
      </c>
      <c r="P825" s="6">
        <v>0</v>
      </c>
      <c r="Q825" s="6">
        <v>39027</v>
      </c>
    </row>
    <row r="826" spans="1:17" x14ac:dyDescent="0.35">
      <c r="A826" s="1">
        <v>43348</v>
      </c>
      <c r="B826" s="6">
        <v>4169514</v>
      </c>
      <c r="C826" s="6">
        <v>2293280</v>
      </c>
      <c r="D826" s="6">
        <v>0</v>
      </c>
      <c r="E826" s="6">
        <v>1897901</v>
      </c>
      <c r="F826" s="6">
        <v>324437</v>
      </c>
      <c r="G826" s="6">
        <v>5256</v>
      </c>
      <c r="H826" s="6">
        <v>65686</v>
      </c>
      <c r="I826" s="6">
        <v>229652</v>
      </c>
      <c r="J826" s="6">
        <v>1640845</v>
      </c>
      <c r="K826" s="6">
        <v>689</v>
      </c>
      <c r="L826" s="6"/>
      <c r="M826" s="6">
        <v>5048</v>
      </c>
      <c r="N826" s="6">
        <v>32157</v>
      </c>
      <c r="O826" s="6">
        <v>6825</v>
      </c>
      <c r="P826" s="6">
        <v>0</v>
      </c>
      <c r="Q826" s="6">
        <v>38982</v>
      </c>
    </row>
    <row r="827" spans="1:17" x14ac:dyDescent="0.35">
      <c r="A827" s="1">
        <v>43355</v>
      </c>
      <c r="B827" s="6">
        <v>4171825</v>
      </c>
      <c r="C827" s="6">
        <v>2296673</v>
      </c>
      <c r="D827" s="6">
        <v>0</v>
      </c>
      <c r="E827" s="6">
        <v>1924009</v>
      </c>
      <c r="F827" s="6">
        <v>297697</v>
      </c>
      <c r="G827" s="6">
        <v>5256</v>
      </c>
      <c r="H827" s="6">
        <v>69711</v>
      </c>
      <c r="I827" s="6">
        <v>229546</v>
      </c>
      <c r="J827" s="6">
        <v>1639176</v>
      </c>
      <c r="K827" s="6">
        <v>362</v>
      </c>
      <c r="L827" s="6"/>
      <c r="M827" s="6">
        <v>6068</v>
      </c>
      <c r="N827" s="6">
        <v>32161</v>
      </c>
      <c r="O827" s="6">
        <v>6825</v>
      </c>
      <c r="P827" s="6">
        <v>0</v>
      </c>
      <c r="Q827" s="6">
        <v>38986</v>
      </c>
    </row>
    <row r="828" spans="1:17" x14ac:dyDescent="0.35">
      <c r="A828" s="1">
        <v>43362</v>
      </c>
      <c r="B828" s="6">
        <v>4169002</v>
      </c>
      <c r="C828" s="6">
        <v>2291234</v>
      </c>
      <c r="D828" s="6">
        <v>0</v>
      </c>
      <c r="E828" s="6">
        <v>1822718</v>
      </c>
      <c r="F828" s="6">
        <v>399519</v>
      </c>
      <c r="G828" s="6">
        <v>5256</v>
      </c>
      <c r="H828" s="6">
        <v>63741</v>
      </c>
      <c r="I828" s="6">
        <v>234336</v>
      </c>
      <c r="J828" s="6">
        <v>1637959</v>
      </c>
      <c r="K828" s="6">
        <v>280</v>
      </c>
      <c r="L828" s="6"/>
      <c r="M828" s="6">
        <v>5192</v>
      </c>
      <c r="N828" s="6">
        <v>32231</v>
      </c>
      <c r="O828" s="6">
        <v>6825</v>
      </c>
      <c r="P828" s="6">
        <v>0</v>
      </c>
      <c r="Q828" s="6">
        <v>39056</v>
      </c>
    </row>
    <row r="829" spans="1:17" x14ac:dyDescent="0.35">
      <c r="A829" s="1">
        <v>43369</v>
      </c>
      <c r="B829" s="6">
        <v>4153811</v>
      </c>
      <c r="C829" s="6">
        <v>2279678</v>
      </c>
      <c r="D829" s="6">
        <v>0</v>
      </c>
      <c r="E829" s="6">
        <v>1837874</v>
      </c>
      <c r="F829" s="6">
        <v>367243</v>
      </c>
      <c r="G829" s="6">
        <v>5255</v>
      </c>
      <c r="H829" s="6">
        <v>69306</v>
      </c>
      <c r="I829" s="6">
        <v>229759</v>
      </c>
      <c r="J829" s="6">
        <v>1638215</v>
      </c>
      <c r="K829" s="6">
        <v>540</v>
      </c>
      <c r="L829" s="6"/>
      <c r="M829" s="6">
        <v>5619</v>
      </c>
      <c r="N829" s="6">
        <v>32273</v>
      </c>
      <c r="O829" s="6">
        <v>6825</v>
      </c>
      <c r="P829" s="6">
        <v>0</v>
      </c>
      <c r="Q829" s="6">
        <v>39098</v>
      </c>
    </row>
    <row r="830" spans="1:17" x14ac:dyDescent="0.35">
      <c r="A830" s="1">
        <v>43376</v>
      </c>
      <c r="B830" s="6">
        <v>4135594</v>
      </c>
      <c r="C830" s="6">
        <v>2258475</v>
      </c>
      <c r="D830" s="6">
        <v>0</v>
      </c>
      <c r="E830" s="6">
        <v>1837587</v>
      </c>
      <c r="F830" s="6">
        <v>350281</v>
      </c>
      <c r="G830" s="6">
        <v>5257</v>
      </c>
      <c r="H830" s="6">
        <v>65350</v>
      </c>
      <c r="I830" s="6">
        <v>230047</v>
      </c>
      <c r="J830" s="6">
        <v>1642102</v>
      </c>
      <c r="K830" s="6">
        <v>326</v>
      </c>
      <c r="L830" s="6"/>
      <c r="M830" s="6">
        <v>4645</v>
      </c>
      <c r="N830" s="6">
        <v>32284</v>
      </c>
      <c r="O830" s="6">
        <v>6825</v>
      </c>
      <c r="P830" s="6">
        <v>0</v>
      </c>
      <c r="Q830" s="6">
        <v>39109</v>
      </c>
    </row>
    <row r="831" spans="1:17" x14ac:dyDescent="0.35">
      <c r="A831" s="1">
        <v>43383</v>
      </c>
      <c r="B831" s="6">
        <v>4137778</v>
      </c>
      <c r="C831" s="6">
        <v>2268804</v>
      </c>
      <c r="D831" s="6">
        <v>0</v>
      </c>
      <c r="E831" s="6">
        <v>1878887</v>
      </c>
      <c r="F831" s="6">
        <v>308869</v>
      </c>
      <c r="G831" s="6">
        <v>5258</v>
      </c>
      <c r="H831" s="6">
        <v>75790</v>
      </c>
      <c r="I831" s="6">
        <v>217293</v>
      </c>
      <c r="J831" s="6">
        <v>1645165</v>
      </c>
      <c r="K831" s="6">
        <v>334</v>
      </c>
      <c r="L831" s="6"/>
      <c r="M831" s="6">
        <v>6182</v>
      </c>
      <c r="N831" s="6">
        <v>32303</v>
      </c>
      <c r="O831" s="6">
        <v>6825</v>
      </c>
      <c r="P831" s="6">
        <v>0</v>
      </c>
      <c r="Q831" s="6">
        <v>39128</v>
      </c>
    </row>
    <row r="832" spans="1:17" x14ac:dyDescent="0.35">
      <c r="A832" s="1">
        <v>43390</v>
      </c>
      <c r="B832" s="6">
        <v>4136309</v>
      </c>
      <c r="C832" s="6">
        <v>2266717</v>
      </c>
      <c r="D832" s="6">
        <v>0</v>
      </c>
      <c r="E832" s="6">
        <v>1831618</v>
      </c>
      <c r="F832" s="6">
        <v>360638</v>
      </c>
      <c r="G832" s="6">
        <v>5256</v>
      </c>
      <c r="H832" s="6">
        <v>69204</v>
      </c>
      <c r="I832" s="6">
        <v>220377</v>
      </c>
      <c r="J832" s="6">
        <v>1643651</v>
      </c>
      <c r="K832" s="6">
        <v>319</v>
      </c>
      <c r="L832" s="6"/>
      <c r="M832" s="6">
        <v>5246</v>
      </c>
      <c r="N832" s="6">
        <v>32312</v>
      </c>
      <c r="O832" s="6">
        <v>6825</v>
      </c>
      <c r="P832" s="6">
        <v>0</v>
      </c>
      <c r="Q832" s="6">
        <v>39137</v>
      </c>
    </row>
    <row r="833" spans="1:17" x14ac:dyDescent="0.35">
      <c r="A833" s="1">
        <v>43397</v>
      </c>
      <c r="B833" s="6">
        <v>4133976</v>
      </c>
      <c r="C833" s="6">
        <v>2259200</v>
      </c>
      <c r="D833" s="6">
        <v>0</v>
      </c>
      <c r="E833" s="6">
        <v>1825010</v>
      </c>
      <c r="F833" s="6">
        <v>360681</v>
      </c>
      <c r="G833" s="6">
        <v>5256</v>
      </c>
      <c r="H833" s="6">
        <v>68254</v>
      </c>
      <c r="I833" s="6">
        <v>225937</v>
      </c>
      <c r="J833" s="6">
        <v>1642665</v>
      </c>
      <c r="K833" s="6">
        <v>329</v>
      </c>
      <c r="L833" s="6"/>
      <c r="M833" s="6">
        <v>5843</v>
      </c>
      <c r="N833" s="6">
        <v>32269</v>
      </c>
      <c r="O833" s="6">
        <v>6825</v>
      </c>
      <c r="P833" s="6">
        <v>0</v>
      </c>
      <c r="Q833" s="6">
        <v>39094</v>
      </c>
    </row>
    <row r="834" spans="1:17" x14ac:dyDescent="0.35">
      <c r="A834" s="1">
        <v>43404</v>
      </c>
      <c r="B834" s="6">
        <v>4100634</v>
      </c>
      <c r="C834" s="6">
        <v>2210082</v>
      </c>
      <c r="D834" s="6">
        <v>0</v>
      </c>
      <c r="E834" s="6">
        <v>1771541</v>
      </c>
      <c r="F834" s="6">
        <v>366596</v>
      </c>
      <c r="G834" s="6">
        <v>5257</v>
      </c>
      <c r="H834" s="6">
        <v>66688</v>
      </c>
      <c r="I834" s="6">
        <v>236530</v>
      </c>
      <c r="J834" s="6">
        <v>1648166</v>
      </c>
      <c r="K834" s="6">
        <v>1022</v>
      </c>
      <c r="L834" s="6"/>
      <c r="M834" s="6">
        <v>4833</v>
      </c>
      <c r="N834" s="6">
        <v>32271</v>
      </c>
      <c r="O834" s="6">
        <v>6825</v>
      </c>
      <c r="P834" s="6">
        <v>0</v>
      </c>
      <c r="Q834" s="6">
        <v>39096</v>
      </c>
    </row>
    <row r="835" spans="1:17" x14ac:dyDescent="0.35">
      <c r="A835" s="1">
        <v>43411</v>
      </c>
      <c r="B835" s="6">
        <v>4102822</v>
      </c>
      <c r="C835" s="6">
        <v>2214234</v>
      </c>
      <c r="D835" s="6">
        <v>0</v>
      </c>
      <c r="E835" s="6">
        <v>1828825</v>
      </c>
      <c r="F835" s="6">
        <v>316157</v>
      </c>
      <c r="G835" s="6">
        <v>5257</v>
      </c>
      <c r="H835" s="6">
        <v>63995</v>
      </c>
      <c r="I835" s="6">
        <v>230838</v>
      </c>
      <c r="J835" s="6">
        <v>1651250</v>
      </c>
      <c r="K835" s="6">
        <v>267</v>
      </c>
      <c r="L835" s="6"/>
      <c r="M835" s="6">
        <v>6232</v>
      </c>
      <c r="N835" s="6">
        <v>32289</v>
      </c>
      <c r="O835" s="6">
        <v>6825</v>
      </c>
      <c r="P835" s="6">
        <v>0</v>
      </c>
      <c r="Q835" s="6">
        <v>39114</v>
      </c>
    </row>
    <row r="836" spans="1:17" x14ac:dyDescent="0.35">
      <c r="A836" s="1">
        <v>43418</v>
      </c>
      <c r="B836" s="6">
        <v>4106768</v>
      </c>
      <c r="C836" s="6">
        <v>2225976</v>
      </c>
      <c r="D836" s="6">
        <v>0</v>
      </c>
      <c r="E836" s="6">
        <v>1799529</v>
      </c>
      <c r="F836" s="6">
        <v>328686</v>
      </c>
      <c r="G836" s="6">
        <v>5256</v>
      </c>
      <c r="H836" s="6">
        <v>92505</v>
      </c>
      <c r="I836" s="6">
        <v>220111</v>
      </c>
      <c r="J836" s="6">
        <v>1654871</v>
      </c>
      <c r="K836" s="6">
        <v>404</v>
      </c>
      <c r="L836" s="6"/>
      <c r="M836" s="6">
        <v>5406</v>
      </c>
      <c r="N836" s="6">
        <v>32299</v>
      </c>
      <c r="O836" s="6">
        <v>6825</v>
      </c>
      <c r="P836" s="6">
        <v>0</v>
      </c>
      <c r="Q836" s="6">
        <v>39124</v>
      </c>
    </row>
    <row r="837" spans="1:17" x14ac:dyDescent="0.35">
      <c r="A837" s="1">
        <v>43425</v>
      </c>
      <c r="B837" s="6">
        <v>4067070</v>
      </c>
      <c r="C837" s="6">
        <v>2151600</v>
      </c>
      <c r="D837" s="6">
        <v>0</v>
      </c>
      <c r="E837" s="6">
        <v>1757507</v>
      </c>
      <c r="F837" s="6">
        <v>317331</v>
      </c>
      <c r="G837" s="6">
        <v>5257</v>
      </c>
      <c r="H837" s="6">
        <v>71505</v>
      </c>
      <c r="I837" s="6">
        <v>250869</v>
      </c>
      <c r="J837" s="6">
        <v>1658077</v>
      </c>
      <c r="K837" s="6">
        <v>251</v>
      </c>
      <c r="L837" s="6"/>
      <c r="M837" s="6">
        <v>6273</v>
      </c>
      <c r="N837" s="6">
        <v>32303</v>
      </c>
      <c r="O837" s="6">
        <v>6825</v>
      </c>
      <c r="P837" s="6">
        <v>0</v>
      </c>
      <c r="Q837" s="6">
        <v>39128</v>
      </c>
    </row>
    <row r="838" spans="1:17" x14ac:dyDescent="0.35">
      <c r="A838" s="1">
        <v>43432</v>
      </c>
      <c r="B838" s="6">
        <v>4058041</v>
      </c>
      <c r="C838" s="6">
        <v>2167034</v>
      </c>
      <c r="D838" s="6">
        <v>0</v>
      </c>
      <c r="E838" s="6">
        <v>1758681</v>
      </c>
      <c r="F838" s="6">
        <v>332336</v>
      </c>
      <c r="G838" s="6">
        <v>5257</v>
      </c>
      <c r="H838" s="6">
        <v>70759</v>
      </c>
      <c r="I838" s="6">
        <v>227315</v>
      </c>
      <c r="J838" s="6">
        <v>1658505</v>
      </c>
      <c r="K838" s="6">
        <v>467</v>
      </c>
      <c r="L838" s="6"/>
      <c r="M838" s="6">
        <v>4720</v>
      </c>
      <c r="N838" s="6">
        <v>32304</v>
      </c>
      <c r="O838" s="6">
        <v>6825</v>
      </c>
      <c r="P838" s="6">
        <v>0</v>
      </c>
      <c r="Q838" s="6">
        <v>39129</v>
      </c>
    </row>
    <row r="839" spans="1:17" x14ac:dyDescent="0.35">
      <c r="A839" s="1">
        <v>43439</v>
      </c>
      <c r="B839" s="6">
        <v>4046914</v>
      </c>
      <c r="C839" s="6">
        <v>2146303</v>
      </c>
      <c r="D839" s="6">
        <v>0</v>
      </c>
      <c r="E839" s="6">
        <v>1736307</v>
      </c>
      <c r="F839" s="6">
        <v>328613</v>
      </c>
      <c r="G839" s="6">
        <v>5357</v>
      </c>
      <c r="H839" s="6">
        <v>76027</v>
      </c>
      <c r="I839" s="6">
        <v>235657</v>
      </c>
      <c r="J839" s="6">
        <v>1658238</v>
      </c>
      <c r="K839" s="6">
        <v>508</v>
      </c>
      <c r="L839" s="6"/>
      <c r="M839" s="6">
        <v>6208</v>
      </c>
      <c r="N839" s="6">
        <v>32305</v>
      </c>
      <c r="O839" s="6">
        <v>6825</v>
      </c>
      <c r="P839" s="6">
        <v>0</v>
      </c>
      <c r="Q839" s="6">
        <v>39130</v>
      </c>
    </row>
    <row r="840" spans="1:17" x14ac:dyDescent="0.35">
      <c r="A840" s="1">
        <v>43446</v>
      </c>
      <c r="B840" s="6">
        <v>4049123</v>
      </c>
      <c r="C840" s="6">
        <v>2149794</v>
      </c>
      <c r="D840" s="6">
        <v>0</v>
      </c>
      <c r="E840" s="6">
        <v>1751413</v>
      </c>
      <c r="F840" s="6">
        <v>322663</v>
      </c>
      <c r="G840" s="6">
        <v>5243</v>
      </c>
      <c r="H840" s="6">
        <v>70475</v>
      </c>
      <c r="I840" s="6">
        <v>235444</v>
      </c>
      <c r="J840" s="6">
        <v>1657857</v>
      </c>
      <c r="K840" s="6">
        <v>483</v>
      </c>
      <c r="L840" s="6"/>
      <c r="M840" s="6">
        <v>5546</v>
      </c>
      <c r="N840" s="6">
        <v>32366</v>
      </c>
      <c r="O840" s="6">
        <v>6825</v>
      </c>
      <c r="P840" s="6">
        <v>0</v>
      </c>
      <c r="Q840" s="6">
        <v>39191</v>
      </c>
    </row>
    <row r="841" spans="1:17" x14ac:dyDescent="0.35">
      <c r="A841" s="1">
        <v>43453</v>
      </c>
      <c r="B841" s="6">
        <v>4045113</v>
      </c>
      <c r="C841" s="6">
        <v>2124800</v>
      </c>
      <c r="D841" s="6">
        <v>0</v>
      </c>
      <c r="E841" s="6">
        <v>1649165</v>
      </c>
      <c r="F841" s="6">
        <v>396293</v>
      </c>
      <c r="G841" s="6">
        <v>5244</v>
      </c>
      <c r="H841" s="6">
        <v>74098</v>
      </c>
      <c r="I841" s="6">
        <v>252619</v>
      </c>
      <c r="J841" s="6">
        <v>1661139</v>
      </c>
      <c r="K841" s="6">
        <v>369</v>
      </c>
      <c r="L841" s="6"/>
      <c r="M841" s="6">
        <v>6186</v>
      </c>
      <c r="N841" s="6">
        <v>32335</v>
      </c>
      <c r="O841" s="6">
        <v>6825</v>
      </c>
      <c r="P841" s="6">
        <v>0</v>
      </c>
      <c r="Q841" s="6">
        <v>39160</v>
      </c>
    </row>
    <row r="842" spans="1:17" x14ac:dyDescent="0.35">
      <c r="A842" s="1">
        <v>43460</v>
      </c>
      <c r="B842" s="6">
        <v>4036476</v>
      </c>
      <c r="C842" s="6">
        <v>2117720</v>
      </c>
      <c r="D842" s="6">
        <v>0</v>
      </c>
      <c r="E842" s="6">
        <v>1660932</v>
      </c>
      <c r="F842" s="6">
        <v>368236</v>
      </c>
      <c r="G842" s="6">
        <v>6191</v>
      </c>
      <c r="H842" s="6">
        <v>82361</v>
      </c>
      <c r="I842" s="6">
        <v>244820</v>
      </c>
      <c r="J842" s="6">
        <v>1668206</v>
      </c>
      <c r="K842" s="6">
        <v>451</v>
      </c>
      <c r="L842" s="6"/>
      <c r="M842" s="6">
        <v>5280</v>
      </c>
      <c r="N842" s="6">
        <v>32335</v>
      </c>
      <c r="O842" s="6">
        <v>6825</v>
      </c>
      <c r="P842" s="6">
        <v>0</v>
      </c>
      <c r="Q842" s="6">
        <v>39160</v>
      </c>
    </row>
    <row r="843" spans="1:17" x14ac:dyDescent="0.35">
      <c r="A843" s="1">
        <v>43467</v>
      </c>
      <c r="B843" s="6">
        <v>4019245</v>
      </c>
      <c r="C843" s="6">
        <v>2065917</v>
      </c>
      <c r="D843" s="6">
        <v>0</v>
      </c>
      <c r="E843" s="6">
        <v>1607336</v>
      </c>
      <c r="F843" s="6">
        <v>382616</v>
      </c>
      <c r="G843" s="6">
        <v>5244</v>
      </c>
      <c r="H843" s="6">
        <v>70720</v>
      </c>
      <c r="I843" s="6">
        <v>276394</v>
      </c>
      <c r="J843" s="6">
        <v>1672109</v>
      </c>
      <c r="K843" s="6">
        <v>349</v>
      </c>
      <c r="L843" s="6"/>
      <c r="M843" s="6">
        <v>4477</v>
      </c>
      <c r="N843" s="6">
        <v>32308</v>
      </c>
      <c r="O843" s="6">
        <v>6825</v>
      </c>
      <c r="P843" s="6">
        <v>0</v>
      </c>
      <c r="Q843" s="6">
        <v>39133</v>
      </c>
    </row>
    <row r="844" spans="1:17" x14ac:dyDescent="0.35">
      <c r="A844" s="1">
        <v>43474</v>
      </c>
      <c r="B844" s="6">
        <v>4017430</v>
      </c>
      <c r="C844" s="6">
        <v>2087693</v>
      </c>
      <c r="D844" s="6">
        <v>0</v>
      </c>
      <c r="E844" s="6">
        <v>1664186</v>
      </c>
      <c r="F844" s="6">
        <v>349443</v>
      </c>
      <c r="G844" s="6">
        <v>5245</v>
      </c>
      <c r="H844" s="6">
        <v>68819</v>
      </c>
      <c r="I844" s="6">
        <v>260441</v>
      </c>
      <c r="J844" s="6">
        <v>1664020</v>
      </c>
      <c r="K844" s="6">
        <v>370</v>
      </c>
      <c r="L844" s="6"/>
      <c r="M844" s="6">
        <v>4907</v>
      </c>
      <c r="N844" s="6">
        <v>32308</v>
      </c>
      <c r="O844" s="6">
        <v>6825</v>
      </c>
      <c r="P844" s="6">
        <v>0</v>
      </c>
      <c r="Q844" s="6">
        <v>39133</v>
      </c>
    </row>
    <row r="845" spans="1:17" x14ac:dyDescent="0.35">
      <c r="A845" s="1">
        <v>43481</v>
      </c>
      <c r="B845" s="6">
        <v>4010910</v>
      </c>
      <c r="C845" s="6">
        <v>2091685</v>
      </c>
      <c r="D845" s="6">
        <v>0</v>
      </c>
      <c r="E845" s="6">
        <v>1625501</v>
      </c>
      <c r="F845" s="6">
        <v>396414</v>
      </c>
      <c r="G845" s="6">
        <v>5243</v>
      </c>
      <c r="H845" s="6">
        <v>64527</v>
      </c>
      <c r="I845" s="6">
        <v>255955</v>
      </c>
      <c r="J845" s="6">
        <v>1657729</v>
      </c>
      <c r="K845" s="6">
        <v>317</v>
      </c>
      <c r="L845" s="6"/>
      <c r="M845" s="6">
        <v>5223</v>
      </c>
      <c r="N845" s="6">
        <v>32308</v>
      </c>
      <c r="O845" s="6">
        <v>6825</v>
      </c>
      <c r="P845" s="6">
        <v>0</v>
      </c>
      <c r="Q845" s="6">
        <v>39133</v>
      </c>
    </row>
    <row r="846" spans="1:17" x14ac:dyDescent="0.35">
      <c r="A846" s="1">
        <v>43488</v>
      </c>
      <c r="B846" s="6">
        <v>4007919</v>
      </c>
      <c r="C846" s="6">
        <v>2092151</v>
      </c>
      <c r="D846" s="6">
        <v>0</v>
      </c>
      <c r="E846" s="6">
        <v>1611718</v>
      </c>
      <c r="F846" s="6">
        <v>402227</v>
      </c>
      <c r="G846" s="6">
        <v>5243</v>
      </c>
      <c r="H846" s="6">
        <v>72963</v>
      </c>
      <c r="I846" s="6">
        <v>253617</v>
      </c>
      <c r="J846" s="6">
        <v>1657081</v>
      </c>
      <c r="K846" s="6">
        <v>431</v>
      </c>
      <c r="L846" s="6"/>
      <c r="M846" s="6">
        <v>4640</v>
      </c>
      <c r="N846" s="6">
        <v>32308</v>
      </c>
      <c r="O846" s="6">
        <v>6825</v>
      </c>
      <c r="P846" s="6">
        <v>0</v>
      </c>
      <c r="Q846" s="6">
        <v>39133</v>
      </c>
    </row>
    <row r="847" spans="1:17" x14ac:dyDescent="0.35">
      <c r="A847" s="1">
        <v>43495</v>
      </c>
      <c r="B847" s="6">
        <v>4000538</v>
      </c>
      <c r="C847" s="6">
        <v>2089165</v>
      </c>
      <c r="D847" s="6">
        <v>0</v>
      </c>
      <c r="E847" s="6">
        <v>1609140</v>
      </c>
      <c r="F847" s="6">
        <v>411384</v>
      </c>
      <c r="G847" s="6">
        <v>5242</v>
      </c>
      <c r="H847" s="6">
        <v>63399</v>
      </c>
      <c r="I847" s="6">
        <v>249236</v>
      </c>
      <c r="J847" s="6">
        <v>1655577</v>
      </c>
      <c r="K847" s="6">
        <v>1184</v>
      </c>
      <c r="L847" s="6"/>
      <c r="M847" s="6">
        <v>5376</v>
      </c>
      <c r="N847" s="6">
        <v>32315</v>
      </c>
      <c r="O847" s="6">
        <v>6825</v>
      </c>
      <c r="P847" s="6">
        <v>0</v>
      </c>
      <c r="Q847" s="6">
        <v>39140</v>
      </c>
    </row>
    <row r="848" spans="1:17" x14ac:dyDescent="0.35">
      <c r="A848" s="1">
        <v>43502</v>
      </c>
      <c r="B848" s="6">
        <v>3987200</v>
      </c>
      <c r="C848" s="6">
        <v>2076663</v>
      </c>
      <c r="D848" s="6">
        <v>0</v>
      </c>
      <c r="E848" s="6">
        <v>1658863</v>
      </c>
      <c r="F848" s="6">
        <v>353896</v>
      </c>
      <c r="G848" s="6">
        <v>5244</v>
      </c>
      <c r="H848" s="6">
        <v>58660</v>
      </c>
      <c r="I848" s="6">
        <v>248230</v>
      </c>
      <c r="J848" s="6">
        <v>1657611</v>
      </c>
      <c r="K848" s="6">
        <v>257</v>
      </c>
      <c r="L848" s="6"/>
      <c r="M848" s="6">
        <v>4438</v>
      </c>
      <c r="N848" s="6">
        <v>32326</v>
      </c>
      <c r="O848" s="6">
        <v>6825</v>
      </c>
      <c r="P848" s="6">
        <v>0</v>
      </c>
      <c r="Q848" s="6">
        <v>39151</v>
      </c>
    </row>
    <row r="849" spans="1:17" x14ac:dyDescent="0.35">
      <c r="A849" s="1">
        <v>43509</v>
      </c>
      <c r="B849" s="6">
        <v>3989271</v>
      </c>
      <c r="C849" s="6">
        <v>2075494</v>
      </c>
      <c r="D849" s="6">
        <v>0</v>
      </c>
      <c r="E849" s="6">
        <v>1634417</v>
      </c>
      <c r="F849" s="6">
        <v>375119</v>
      </c>
      <c r="G849" s="6">
        <v>5244</v>
      </c>
      <c r="H849" s="6">
        <v>60714</v>
      </c>
      <c r="I849" s="6">
        <v>246265</v>
      </c>
      <c r="J849" s="6">
        <v>1661886</v>
      </c>
      <c r="K849" s="6">
        <v>205</v>
      </c>
      <c r="L849" s="6"/>
      <c r="M849" s="6">
        <v>5421</v>
      </c>
      <c r="N849" s="6">
        <v>32336</v>
      </c>
      <c r="O849" s="6">
        <v>6825</v>
      </c>
      <c r="P849" s="6">
        <v>0</v>
      </c>
      <c r="Q849" s="6">
        <v>39161</v>
      </c>
    </row>
    <row r="850" spans="1:17" x14ac:dyDescent="0.35">
      <c r="A850" s="1">
        <v>43516</v>
      </c>
      <c r="B850" s="6">
        <v>3942265</v>
      </c>
      <c r="C850" s="6">
        <v>2017770</v>
      </c>
      <c r="D850" s="6">
        <v>0</v>
      </c>
      <c r="E850" s="6">
        <v>1619745</v>
      </c>
      <c r="F850" s="6">
        <v>331003</v>
      </c>
      <c r="G850" s="6">
        <v>5243</v>
      </c>
      <c r="H850" s="6">
        <v>61779</v>
      </c>
      <c r="I850" s="6">
        <v>255179</v>
      </c>
      <c r="J850" s="6">
        <v>1664269</v>
      </c>
      <c r="K850" s="6">
        <v>264</v>
      </c>
      <c r="L850" s="6"/>
      <c r="M850" s="6">
        <v>4783</v>
      </c>
      <c r="N850" s="6">
        <v>32330</v>
      </c>
      <c r="O850" s="6">
        <v>6825</v>
      </c>
      <c r="P850" s="6">
        <v>0</v>
      </c>
      <c r="Q850" s="6">
        <v>39155</v>
      </c>
    </row>
    <row r="851" spans="1:17" x14ac:dyDescent="0.35">
      <c r="A851" s="1">
        <v>43523</v>
      </c>
      <c r="B851" s="6">
        <v>3935431</v>
      </c>
      <c r="C851" s="6">
        <v>2012928</v>
      </c>
      <c r="D851" s="6">
        <v>0</v>
      </c>
      <c r="E851" s="6">
        <v>1682210</v>
      </c>
      <c r="F851" s="6">
        <v>266024</v>
      </c>
      <c r="G851" s="6">
        <v>5243</v>
      </c>
      <c r="H851" s="6">
        <v>59451</v>
      </c>
      <c r="I851" s="6">
        <v>251348</v>
      </c>
      <c r="J851" s="6">
        <v>1664572</v>
      </c>
      <c r="K851" s="6">
        <v>948</v>
      </c>
      <c r="L851" s="6"/>
      <c r="M851" s="6">
        <v>5634</v>
      </c>
      <c r="N851" s="6">
        <v>32335</v>
      </c>
      <c r="O851" s="6">
        <v>6825</v>
      </c>
      <c r="P851" s="6">
        <v>0</v>
      </c>
      <c r="Q851" s="6">
        <v>39160</v>
      </c>
    </row>
    <row r="852" spans="1:17" x14ac:dyDescent="0.35">
      <c r="A852" s="1">
        <v>43530</v>
      </c>
      <c r="B852" s="6">
        <v>3929946</v>
      </c>
      <c r="C852" s="6">
        <v>2015277</v>
      </c>
      <c r="D852" s="6">
        <v>0</v>
      </c>
      <c r="E852" s="6">
        <v>1736547</v>
      </c>
      <c r="F852" s="6">
        <v>213611</v>
      </c>
      <c r="G852" s="6">
        <v>5244</v>
      </c>
      <c r="H852" s="6">
        <v>59874</v>
      </c>
      <c r="I852" s="6">
        <v>237132</v>
      </c>
      <c r="J852" s="6">
        <v>1671653</v>
      </c>
      <c r="K852" s="6">
        <v>658</v>
      </c>
      <c r="L852" s="6"/>
      <c r="M852" s="6">
        <v>5226</v>
      </c>
      <c r="N852" s="6">
        <v>32363</v>
      </c>
      <c r="O852" s="6">
        <v>6825</v>
      </c>
      <c r="P852" s="6">
        <v>0</v>
      </c>
      <c r="Q852" s="6">
        <v>39188</v>
      </c>
    </row>
    <row r="853" spans="1:17" x14ac:dyDescent="0.35">
      <c r="A853" s="1">
        <v>43537</v>
      </c>
      <c r="B853" s="6">
        <v>3932324</v>
      </c>
      <c r="C853" s="6">
        <v>2012885</v>
      </c>
      <c r="D853" s="6">
        <v>0</v>
      </c>
      <c r="E853" s="6">
        <v>1707125</v>
      </c>
      <c r="F853" s="6">
        <v>238381</v>
      </c>
      <c r="G853" s="6">
        <v>5243</v>
      </c>
      <c r="H853" s="6">
        <v>62135</v>
      </c>
      <c r="I853" s="6">
        <v>239483</v>
      </c>
      <c r="J853" s="6">
        <v>1673581</v>
      </c>
      <c r="K853" s="6">
        <v>219</v>
      </c>
      <c r="L853" s="6"/>
      <c r="M853" s="6">
        <v>6156</v>
      </c>
      <c r="N853" s="6">
        <v>32411</v>
      </c>
      <c r="O853" s="6">
        <v>6825</v>
      </c>
      <c r="P853" s="6">
        <v>0</v>
      </c>
      <c r="Q853" s="6">
        <v>39236</v>
      </c>
    </row>
    <row r="854" spans="1:17" x14ac:dyDescent="0.35">
      <c r="A854" s="1">
        <v>43544</v>
      </c>
      <c r="B854" s="6">
        <v>3923431</v>
      </c>
      <c r="C854" s="6">
        <v>2002873</v>
      </c>
      <c r="D854" s="6">
        <v>0</v>
      </c>
      <c r="E854" s="6">
        <v>1623812</v>
      </c>
      <c r="F854" s="6">
        <v>314749</v>
      </c>
      <c r="G854" s="6">
        <v>5244</v>
      </c>
      <c r="H854" s="6">
        <v>59069</v>
      </c>
      <c r="I854" s="6">
        <v>240872</v>
      </c>
      <c r="J854" s="6">
        <v>1674497</v>
      </c>
      <c r="K854" s="6">
        <v>234</v>
      </c>
      <c r="L854" s="6"/>
      <c r="M854" s="6">
        <v>4954</v>
      </c>
      <c r="N854" s="6">
        <v>32493</v>
      </c>
      <c r="O854" s="6">
        <v>6825</v>
      </c>
      <c r="P854" s="6">
        <v>0</v>
      </c>
      <c r="Q854" s="6">
        <v>39318</v>
      </c>
    </row>
    <row r="855" spans="1:17" x14ac:dyDescent="0.35">
      <c r="A855" s="1">
        <v>43551</v>
      </c>
      <c r="B855" s="6">
        <v>3916272</v>
      </c>
      <c r="C855" s="6">
        <v>1992466</v>
      </c>
      <c r="D855" s="6">
        <v>0</v>
      </c>
      <c r="E855" s="6">
        <v>1632788</v>
      </c>
      <c r="F855" s="6">
        <v>295593</v>
      </c>
      <c r="G855" s="6">
        <v>5243</v>
      </c>
      <c r="H855" s="6">
        <v>58842</v>
      </c>
      <c r="I855" s="6">
        <v>241600</v>
      </c>
      <c r="J855" s="6">
        <v>1675919</v>
      </c>
      <c r="K855" s="6">
        <v>409</v>
      </c>
      <c r="L855" s="6"/>
      <c r="M855" s="6">
        <v>5879</v>
      </c>
      <c r="N855" s="6">
        <v>32520</v>
      </c>
      <c r="O855" s="6">
        <v>6825</v>
      </c>
      <c r="P855" s="6">
        <v>0</v>
      </c>
      <c r="Q855" s="6">
        <v>39345</v>
      </c>
    </row>
    <row r="856" spans="1:17" x14ac:dyDescent="0.35">
      <c r="A856" s="1">
        <v>43558</v>
      </c>
      <c r="B856" s="6">
        <v>3896170</v>
      </c>
      <c r="C856" s="6">
        <v>1961855</v>
      </c>
      <c r="D856" s="6">
        <v>0</v>
      </c>
      <c r="E856" s="6">
        <v>1630987</v>
      </c>
      <c r="F856" s="6">
        <v>270470</v>
      </c>
      <c r="G856" s="6">
        <v>5243</v>
      </c>
      <c r="H856" s="6">
        <v>55155</v>
      </c>
      <c r="I856" s="6">
        <v>249365</v>
      </c>
      <c r="J856" s="6">
        <v>1679632</v>
      </c>
      <c r="K856" s="6">
        <v>537</v>
      </c>
      <c r="L856" s="6"/>
      <c r="M856" s="6">
        <v>4782</v>
      </c>
      <c r="N856" s="6">
        <v>32514</v>
      </c>
      <c r="O856" s="6">
        <v>6825</v>
      </c>
      <c r="P856" s="6">
        <v>0</v>
      </c>
      <c r="Q856" s="6">
        <v>39339</v>
      </c>
    </row>
    <row r="857" spans="1:17" x14ac:dyDescent="0.35">
      <c r="A857" s="1">
        <v>43565</v>
      </c>
      <c r="B857" s="6">
        <v>3897442</v>
      </c>
      <c r="C857" s="6">
        <v>1954145</v>
      </c>
      <c r="D857" s="6">
        <v>0</v>
      </c>
      <c r="E857" s="6">
        <v>1646560</v>
      </c>
      <c r="F857" s="6">
        <v>245664</v>
      </c>
      <c r="G857" s="6">
        <v>5244</v>
      </c>
      <c r="H857" s="6">
        <v>56676</v>
      </c>
      <c r="I857" s="6">
        <v>256374</v>
      </c>
      <c r="J857" s="6">
        <v>1680490</v>
      </c>
      <c r="K857" s="6">
        <v>242</v>
      </c>
      <c r="L857" s="6"/>
      <c r="M857" s="6">
        <v>6191</v>
      </c>
      <c r="N857" s="6">
        <v>32517</v>
      </c>
      <c r="O857" s="6">
        <v>6825</v>
      </c>
      <c r="P857" s="6">
        <v>0</v>
      </c>
      <c r="Q857" s="6">
        <v>39342</v>
      </c>
    </row>
    <row r="858" spans="1:17" x14ac:dyDescent="0.35">
      <c r="A858" s="1">
        <v>43572</v>
      </c>
      <c r="B858" s="6">
        <v>3892485</v>
      </c>
      <c r="C858" s="6">
        <v>1951123</v>
      </c>
      <c r="D858" s="6">
        <v>0</v>
      </c>
      <c r="E858" s="6">
        <v>1524297</v>
      </c>
      <c r="F858" s="6">
        <v>369365</v>
      </c>
      <c r="G858" s="6">
        <v>5243</v>
      </c>
      <c r="H858" s="6">
        <v>52219</v>
      </c>
      <c r="I858" s="6">
        <v>255682</v>
      </c>
      <c r="J858" s="6">
        <v>1680169</v>
      </c>
      <c r="K858" s="6">
        <v>316</v>
      </c>
      <c r="L858" s="6"/>
      <c r="M858" s="6">
        <v>5194</v>
      </c>
      <c r="N858" s="6">
        <v>32517</v>
      </c>
      <c r="O858" s="6">
        <v>6825</v>
      </c>
      <c r="P858" s="6">
        <v>0</v>
      </c>
      <c r="Q858" s="6">
        <v>39342</v>
      </c>
    </row>
    <row r="859" spans="1:17" x14ac:dyDescent="0.35">
      <c r="A859" s="1">
        <v>43579</v>
      </c>
      <c r="B859" s="6">
        <v>3888963</v>
      </c>
      <c r="C859" s="6">
        <v>1931663</v>
      </c>
      <c r="D859" s="6">
        <v>0</v>
      </c>
      <c r="E859" s="6">
        <v>1472812</v>
      </c>
      <c r="F859" s="6">
        <v>398916</v>
      </c>
      <c r="G859" s="6">
        <v>5244</v>
      </c>
      <c r="H859" s="6">
        <v>54692</v>
      </c>
      <c r="I859" s="6">
        <v>270400</v>
      </c>
      <c r="J859" s="6">
        <v>1680701</v>
      </c>
      <c r="K859" s="6">
        <v>270</v>
      </c>
      <c r="L859" s="6"/>
      <c r="M859" s="6">
        <v>5928</v>
      </c>
      <c r="N859" s="6">
        <v>32486</v>
      </c>
      <c r="O859" s="6">
        <v>6825</v>
      </c>
      <c r="P859" s="6">
        <v>0</v>
      </c>
      <c r="Q859" s="6">
        <v>39311</v>
      </c>
    </row>
    <row r="860" spans="1:17" x14ac:dyDescent="0.35">
      <c r="A860" s="1">
        <v>43586</v>
      </c>
      <c r="B860" s="6">
        <v>3850391</v>
      </c>
      <c r="C860" s="6">
        <v>1892017</v>
      </c>
      <c r="D860" s="6">
        <v>0</v>
      </c>
      <c r="E860" s="6">
        <v>1460010</v>
      </c>
      <c r="F860" s="6">
        <v>368764</v>
      </c>
      <c r="G860" s="6">
        <v>5245</v>
      </c>
      <c r="H860" s="6">
        <v>57998</v>
      </c>
      <c r="I860" s="6">
        <v>269819</v>
      </c>
      <c r="J860" s="6">
        <v>1682814</v>
      </c>
      <c r="K860" s="6">
        <v>547</v>
      </c>
      <c r="L860" s="6"/>
      <c r="M860" s="6">
        <v>5194</v>
      </c>
      <c r="N860" s="6">
        <v>32475</v>
      </c>
      <c r="O860" s="6">
        <v>6825</v>
      </c>
      <c r="P860" s="6">
        <v>0</v>
      </c>
      <c r="Q860" s="6">
        <v>39300</v>
      </c>
    </row>
    <row r="861" spans="1:17" x14ac:dyDescent="0.35">
      <c r="A861" s="1">
        <v>43593</v>
      </c>
      <c r="B861" s="6">
        <v>3852788</v>
      </c>
      <c r="C861" s="6">
        <v>1900276</v>
      </c>
      <c r="D861" s="6">
        <v>0</v>
      </c>
      <c r="E861" s="6">
        <v>1490680</v>
      </c>
      <c r="F861" s="6">
        <v>344461</v>
      </c>
      <c r="G861" s="6">
        <v>5245</v>
      </c>
      <c r="H861" s="6">
        <v>59891</v>
      </c>
      <c r="I861" s="6">
        <v>260970</v>
      </c>
      <c r="J861" s="6">
        <v>1685161</v>
      </c>
      <c r="K861" s="6">
        <v>247</v>
      </c>
      <c r="L861" s="6"/>
      <c r="M861" s="6">
        <v>6134</v>
      </c>
      <c r="N861" s="6">
        <v>32602</v>
      </c>
      <c r="O861" s="6">
        <v>6825</v>
      </c>
      <c r="P861" s="6">
        <v>0</v>
      </c>
      <c r="Q861" s="6">
        <v>39427</v>
      </c>
    </row>
    <row r="862" spans="1:17" x14ac:dyDescent="0.35">
      <c r="A862" s="1">
        <v>43600</v>
      </c>
      <c r="B862" s="6">
        <v>3825362</v>
      </c>
      <c r="C862" s="6">
        <v>1871383</v>
      </c>
      <c r="D862" s="6">
        <v>0</v>
      </c>
      <c r="E862" s="6">
        <v>1516419</v>
      </c>
      <c r="F862" s="6">
        <v>294969</v>
      </c>
      <c r="G862" s="6">
        <v>5246</v>
      </c>
      <c r="H862" s="6">
        <v>54750</v>
      </c>
      <c r="I862" s="6">
        <v>263925</v>
      </c>
      <c r="J862" s="6">
        <v>1684341</v>
      </c>
      <c r="K862" s="6">
        <v>333</v>
      </c>
      <c r="L862" s="6"/>
      <c r="M862" s="6">
        <v>5380</v>
      </c>
      <c r="N862" s="6">
        <v>32562</v>
      </c>
      <c r="O862" s="6">
        <v>6825</v>
      </c>
      <c r="P862" s="6">
        <v>0</v>
      </c>
      <c r="Q862" s="6">
        <v>39387</v>
      </c>
    </row>
    <row r="863" spans="1:17" x14ac:dyDescent="0.35">
      <c r="A863" s="1">
        <v>43607</v>
      </c>
      <c r="B863" s="6">
        <v>3821035</v>
      </c>
      <c r="C863" s="6">
        <v>1858574</v>
      </c>
      <c r="D863" s="6">
        <v>0</v>
      </c>
      <c r="E863" s="6">
        <v>1532833</v>
      </c>
      <c r="F863" s="6">
        <v>264581</v>
      </c>
      <c r="G863" s="6">
        <v>5245</v>
      </c>
      <c r="H863" s="6">
        <v>55916</v>
      </c>
      <c r="I863" s="6">
        <v>269238</v>
      </c>
      <c r="J863" s="6">
        <v>1686894</v>
      </c>
      <c r="K863" s="6">
        <v>279</v>
      </c>
      <c r="L863" s="6"/>
      <c r="M863" s="6">
        <v>6049</v>
      </c>
      <c r="N863" s="6">
        <v>32575</v>
      </c>
      <c r="O863" s="6">
        <v>6825</v>
      </c>
      <c r="P863" s="6">
        <v>0</v>
      </c>
      <c r="Q863" s="6">
        <v>39400</v>
      </c>
    </row>
    <row r="864" spans="1:17" x14ac:dyDescent="0.35">
      <c r="A864" s="1">
        <v>43614</v>
      </c>
      <c r="B864" s="6">
        <v>3812257</v>
      </c>
      <c r="C864" s="6">
        <v>1849205</v>
      </c>
      <c r="D864" s="6">
        <v>0</v>
      </c>
      <c r="E864" s="6">
        <v>1534792</v>
      </c>
      <c r="F864" s="6">
        <v>249011</v>
      </c>
      <c r="G864" s="6">
        <v>5245</v>
      </c>
      <c r="H864" s="6">
        <v>60157</v>
      </c>
      <c r="I864" s="6">
        <v>265417</v>
      </c>
      <c r="J864" s="6">
        <v>1691580</v>
      </c>
      <c r="K864" s="6">
        <v>658</v>
      </c>
      <c r="L864" s="6"/>
      <c r="M864" s="6">
        <v>5398</v>
      </c>
      <c r="N864" s="6">
        <v>32362</v>
      </c>
      <c r="O864" s="6">
        <v>6825</v>
      </c>
      <c r="P864" s="6">
        <v>0</v>
      </c>
      <c r="Q864" s="6">
        <v>39187</v>
      </c>
    </row>
    <row r="865" spans="1:17" x14ac:dyDescent="0.35">
      <c r="A865" s="1">
        <v>43621</v>
      </c>
      <c r="B865" s="6">
        <v>3808457</v>
      </c>
      <c r="C865" s="6">
        <v>1839098</v>
      </c>
      <c r="D865" s="6">
        <v>2700</v>
      </c>
      <c r="E865" s="6">
        <v>1559710</v>
      </c>
      <c r="F865" s="6">
        <v>207647</v>
      </c>
      <c r="G865" s="6">
        <v>5244</v>
      </c>
      <c r="H865" s="6">
        <v>63798</v>
      </c>
      <c r="I865" s="6">
        <v>271706</v>
      </c>
      <c r="J865" s="6">
        <v>1690780</v>
      </c>
      <c r="K865" s="6">
        <v>575</v>
      </c>
      <c r="L865" s="6"/>
      <c r="M865" s="6">
        <v>6297</v>
      </c>
      <c r="N865" s="6">
        <v>32363</v>
      </c>
      <c r="O865" s="6">
        <v>6825</v>
      </c>
      <c r="P865" s="6">
        <v>0</v>
      </c>
      <c r="Q865" s="6">
        <v>39188</v>
      </c>
    </row>
    <row r="866" spans="1:17" x14ac:dyDescent="0.35">
      <c r="A866" s="1">
        <v>43628</v>
      </c>
      <c r="B866" s="6">
        <v>3810767</v>
      </c>
      <c r="C866" s="6">
        <v>1850198</v>
      </c>
      <c r="D866" s="6">
        <v>0</v>
      </c>
      <c r="E866" s="6">
        <v>1609738</v>
      </c>
      <c r="F866" s="6">
        <v>173062</v>
      </c>
      <c r="G866" s="6">
        <v>5244</v>
      </c>
      <c r="H866" s="6">
        <v>62154</v>
      </c>
      <c r="I866" s="6">
        <v>264330</v>
      </c>
      <c r="J866" s="6">
        <v>1690261</v>
      </c>
      <c r="K866" s="6">
        <v>321</v>
      </c>
      <c r="L866" s="6"/>
      <c r="M866" s="6">
        <v>5656</v>
      </c>
      <c r="N866" s="6">
        <v>32364</v>
      </c>
      <c r="O866" s="6">
        <v>6825</v>
      </c>
      <c r="P866" s="6">
        <v>0</v>
      </c>
      <c r="Q866" s="6">
        <v>39189</v>
      </c>
    </row>
    <row r="867" spans="1:17" x14ac:dyDescent="0.35">
      <c r="A867" s="1">
        <v>43635</v>
      </c>
      <c r="B867" s="6">
        <v>3804798</v>
      </c>
      <c r="C867" s="6">
        <v>1824204</v>
      </c>
      <c r="D867" s="6">
        <v>0</v>
      </c>
      <c r="E867" s="6">
        <v>1501524</v>
      </c>
      <c r="F867" s="6">
        <v>258641</v>
      </c>
      <c r="G867" s="6">
        <v>5244</v>
      </c>
      <c r="H867" s="6">
        <v>58795</v>
      </c>
      <c r="I867" s="6">
        <v>284695</v>
      </c>
      <c r="J867" s="6">
        <v>1689656</v>
      </c>
      <c r="K867" s="6">
        <v>165</v>
      </c>
      <c r="L867" s="6"/>
      <c r="M867" s="6">
        <v>6078</v>
      </c>
      <c r="N867" s="6">
        <v>32392</v>
      </c>
      <c r="O867" s="6">
        <v>6825</v>
      </c>
      <c r="P867" s="6">
        <v>0</v>
      </c>
      <c r="Q867" s="6">
        <v>39217</v>
      </c>
    </row>
    <row r="868" spans="1:17" x14ac:dyDescent="0.35">
      <c r="A868" s="1">
        <v>43642</v>
      </c>
      <c r="B868" s="6">
        <v>3787597</v>
      </c>
      <c r="C868" s="6">
        <v>1815613</v>
      </c>
      <c r="D868" s="6">
        <v>0</v>
      </c>
      <c r="E868" s="6">
        <v>1508451</v>
      </c>
      <c r="F868" s="6">
        <v>240909</v>
      </c>
      <c r="G868" s="6">
        <v>5249</v>
      </c>
      <c r="H868" s="6">
        <v>61004</v>
      </c>
      <c r="I868" s="6">
        <v>272189</v>
      </c>
      <c r="J868" s="6">
        <v>1694004</v>
      </c>
      <c r="K868" s="6">
        <v>339</v>
      </c>
      <c r="L868" s="6"/>
      <c r="M868" s="6">
        <v>5452</v>
      </c>
      <c r="N868" s="6">
        <v>32395</v>
      </c>
      <c r="O868" s="6">
        <v>6825</v>
      </c>
      <c r="P868" s="6">
        <v>0</v>
      </c>
      <c r="Q868" s="6">
        <v>39220</v>
      </c>
    </row>
    <row r="869" spans="1:17" x14ac:dyDescent="0.35">
      <c r="A869" s="1">
        <v>43649</v>
      </c>
      <c r="B869" s="6">
        <v>3773971</v>
      </c>
      <c r="C869" s="6">
        <v>1767813</v>
      </c>
      <c r="D869" s="6">
        <v>0</v>
      </c>
      <c r="E869" s="6">
        <v>1485213</v>
      </c>
      <c r="F869" s="6">
        <v>220911</v>
      </c>
      <c r="G869" s="6">
        <v>5245</v>
      </c>
      <c r="H869" s="6">
        <v>56445</v>
      </c>
      <c r="I869" s="6">
        <v>296852</v>
      </c>
      <c r="J869" s="6">
        <v>1702771</v>
      </c>
      <c r="K869" s="6">
        <v>584</v>
      </c>
      <c r="L869" s="6"/>
      <c r="M869" s="6">
        <v>5950</v>
      </c>
      <c r="N869" s="6">
        <v>32402</v>
      </c>
      <c r="O869" s="6">
        <v>6825</v>
      </c>
      <c r="P869" s="6">
        <v>0</v>
      </c>
      <c r="Q869" s="6">
        <v>39227</v>
      </c>
    </row>
    <row r="870" spans="1:17" x14ac:dyDescent="0.35">
      <c r="A870" s="1">
        <v>43656</v>
      </c>
      <c r="B870" s="6">
        <v>3775812</v>
      </c>
      <c r="C870" s="6">
        <v>1780058</v>
      </c>
      <c r="D870" s="6">
        <v>0</v>
      </c>
      <c r="E870" s="6">
        <v>1525352</v>
      </c>
      <c r="F870" s="6">
        <v>195226</v>
      </c>
      <c r="G870" s="6">
        <v>5254</v>
      </c>
      <c r="H870" s="6">
        <v>54225</v>
      </c>
      <c r="I870" s="6">
        <v>288495</v>
      </c>
      <c r="J870" s="6">
        <v>1702178</v>
      </c>
      <c r="K870" s="6">
        <v>270</v>
      </c>
      <c r="L870" s="6"/>
      <c r="M870" s="6">
        <v>4811</v>
      </c>
      <c r="N870" s="6">
        <v>32402</v>
      </c>
      <c r="O870" s="6">
        <v>6825</v>
      </c>
      <c r="P870" s="6">
        <v>0</v>
      </c>
      <c r="Q870" s="6">
        <v>39227</v>
      </c>
    </row>
    <row r="871" spans="1:17" x14ac:dyDescent="0.35">
      <c r="A871" s="1">
        <v>43663</v>
      </c>
      <c r="B871" s="6">
        <v>3768882</v>
      </c>
      <c r="C871" s="6">
        <v>1781378</v>
      </c>
      <c r="D871" s="6">
        <v>0</v>
      </c>
      <c r="E871" s="6">
        <v>1515069</v>
      </c>
      <c r="F871" s="6">
        <v>206203</v>
      </c>
      <c r="G871" s="6">
        <v>5255</v>
      </c>
      <c r="H871" s="6">
        <v>54852</v>
      </c>
      <c r="I871" s="6">
        <v>282596</v>
      </c>
      <c r="J871" s="6">
        <v>1698998</v>
      </c>
      <c r="K871" s="6">
        <v>231</v>
      </c>
      <c r="L871" s="6"/>
      <c r="M871" s="6">
        <v>5679</v>
      </c>
      <c r="N871" s="6">
        <v>32402</v>
      </c>
      <c r="O871" s="6">
        <v>6825</v>
      </c>
      <c r="P871" s="6">
        <v>0</v>
      </c>
      <c r="Q871" s="6">
        <v>39227</v>
      </c>
    </row>
    <row r="872" spans="1:17" x14ac:dyDescent="0.35">
      <c r="A872" s="1">
        <v>43670</v>
      </c>
      <c r="B872" s="6">
        <v>3764209</v>
      </c>
      <c r="C872" s="6">
        <v>1778342</v>
      </c>
      <c r="D872" s="6">
        <v>0</v>
      </c>
      <c r="E872" s="6">
        <v>1525340</v>
      </c>
      <c r="F872" s="6">
        <v>178227</v>
      </c>
      <c r="G872" s="6">
        <v>5255</v>
      </c>
      <c r="H872" s="6">
        <v>69520</v>
      </c>
      <c r="I872" s="6">
        <v>282396</v>
      </c>
      <c r="J872" s="6">
        <v>1697963</v>
      </c>
      <c r="K872" s="6">
        <v>607</v>
      </c>
      <c r="L872" s="6"/>
      <c r="M872" s="6">
        <v>4901</v>
      </c>
      <c r="N872" s="6">
        <v>32401</v>
      </c>
      <c r="O872" s="6">
        <v>6825</v>
      </c>
      <c r="P872" s="6">
        <v>0</v>
      </c>
      <c r="Q872" s="6">
        <v>39226</v>
      </c>
    </row>
    <row r="873" spans="1:17" x14ac:dyDescent="0.35">
      <c r="A873" s="1">
        <v>43677</v>
      </c>
      <c r="B873" s="6">
        <v>3739876</v>
      </c>
      <c r="C873" s="6">
        <v>1725316</v>
      </c>
      <c r="D873" s="6">
        <v>0</v>
      </c>
      <c r="E873" s="6">
        <v>1490546</v>
      </c>
      <c r="F873" s="6">
        <v>176662</v>
      </c>
      <c r="G873" s="6">
        <v>5254</v>
      </c>
      <c r="H873" s="6">
        <v>52854</v>
      </c>
      <c r="I873" s="6">
        <v>308710</v>
      </c>
      <c r="J873" s="6">
        <v>1699610</v>
      </c>
      <c r="K873" s="6">
        <v>886</v>
      </c>
      <c r="L873" s="6"/>
      <c r="M873" s="6">
        <v>5352</v>
      </c>
      <c r="N873" s="6">
        <v>32401</v>
      </c>
      <c r="O873" s="6">
        <v>6825</v>
      </c>
      <c r="P873" s="6">
        <v>0</v>
      </c>
      <c r="Q873" s="6">
        <v>39226</v>
      </c>
    </row>
    <row r="874" spans="1:17" x14ac:dyDescent="0.35">
      <c r="A874" s="1">
        <v>43684</v>
      </c>
      <c r="B874" s="6">
        <v>3742303</v>
      </c>
      <c r="C874" s="6">
        <v>1751531</v>
      </c>
      <c r="D874" s="6">
        <v>0</v>
      </c>
      <c r="E874" s="6">
        <v>1551621</v>
      </c>
      <c r="F874" s="6">
        <v>133077</v>
      </c>
      <c r="G874" s="6">
        <v>5255</v>
      </c>
      <c r="H874" s="6">
        <v>61577</v>
      </c>
      <c r="I874" s="6">
        <v>284134</v>
      </c>
      <c r="J874" s="6">
        <v>1701134</v>
      </c>
      <c r="K874" s="6">
        <v>222</v>
      </c>
      <c r="L874" s="6"/>
      <c r="M874" s="6">
        <v>5282</v>
      </c>
      <c r="N874" s="6">
        <v>32415</v>
      </c>
      <c r="O874" s="6">
        <v>6825</v>
      </c>
      <c r="P874" s="6">
        <v>0</v>
      </c>
      <c r="Q874" s="6">
        <v>39240</v>
      </c>
    </row>
    <row r="875" spans="1:17" x14ac:dyDescent="0.35">
      <c r="A875" s="1">
        <v>43691</v>
      </c>
      <c r="B875" s="6">
        <v>3746737</v>
      </c>
      <c r="C875" s="6">
        <v>1740720</v>
      </c>
      <c r="D875" s="6">
        <v>0</v>
      </c>
      <c r="E875" s="6">
        <v>1511264</v>
      </c>
      <c r="F875" s="6">
        <v>130981</v>
      </c>
      <c r="G875" s="6">
        <v>5255</v>
      </c>
      <c r="H875" s="6">
        <v>93220</v>
      </c>
      <c r="I875" s="6">
        <v>298541</v>
      </c>
      <c r="J875" s="6">
        <v>1701360</v>
      </c>
      <c r="K875" s="6">
        <v>234</v>
      </c>
      <c r="L875" s="6"/>
      <c r="M875" s="6">
        <v>5882</v>
      </c>
      <c r="N875" s="6">
        <v>32456</v>
      </c>
      <c r="O875" s="6">
        <v>6825</v>
      </c>
      <c r="P875" s="6">
        <v>0</v>
      </c>
      <c r="Q875" s="6">
        <v>39281</v>
      </c>
    </row>
    <row r="876" spans="1:17" x14ac:dyDescent="0.35">
      <c r="A876" s="1">
        <v>43698</v>
      </c>
      <c r="B876" s="6">
        <v>3725572</v>
      </c>
      <c r="C876" s="6">
        <v>1716286</v>
      </c>
      <c r="D876" s="6">
        <v>0</v>
      </c>
      <c r="E876" s="6">
        <v>1517820</v>
      </c>
      <c r="F876" s="6">
        <v>131447</v>
      </c>
      <c r="G876" s="6">
        <v>5256</v>
      </c>
      <c r="H876" s="6">
        <v>61763</v>
      </c>
      <c r="I876" s="6">
        <v>301218</v>
      </c>
      <c r="J876" s="6">
        <v>1703116</v>
      </c>
      <c r="K876" s="6">
        <v>207</v>
      </c>
      <c r="L876" s="6"/>
      <c r="M876" s="6">
        <v>4744</v>
      </c>
      <c r="N876" s="6">
        <v>32469</v>
      </c>
      <c r="O876" s="6">
        <v>6825</v>
      </c>
      <c r="P876" s="6">
        <v>0</v>
      </c>
      <c r="Q876" s="6">
        <v>39294</v>
      </c>
    </row>
    <row r="877" spans="1:17" x14ac:dyDescent="0.35">
      <c r="A877" s="1">
        <v>43705</v>
      </c>
      <c r="B877" s="6">
        <v>3720647</v>
      </c>
      <c r="C877" s="6">
        <v>1721145</v>
      </c>
      <c r="D877" s="6">
        <v>1668</v>
      </c>
      <c r="E877" s="6">
        <v>1504244</v>
      </c>
      <c r="F877" s="6">
        <v>150146</v>
      </c>
      <c r="G877" s="6">
        <v>5257</v>
      </c>
      <c r="H877" s="6">
        <v>59831</v>
      </c>
      <c r="I877" s="6">
        <v>286720</v>
      </c>
      <c r="J877" s="6">
        <v>1706795</v>
      </c>
      <c r="K877" s="6">
        <v>368</v>
      </c>
      <c r="L877" s="6"/>
      <c r="M877" s="6">
        <v>5619</v>
      </c>
      <c r="N877" s="6">
        <v>32474</v>
      </c>
      <c r="O877" s="6">
        <v>6825</v>
      </c>
      <c r="P877" s="6">
        <v>0</v>
      </c>
      <c r="Q877" s="6">
        <v>39299</v>
      </c>
    </row>
    <row r="878" spans="1:17" x14ac:dyDescent="0.35">
      <c r="A878" s="1">
        <v>43712</v>
      </c>
      <c r="B878" s="6">
        <v>3722258</v>
      </c>
      <c r="C878" s="6">
        <v>1696454</v>
      </c>
      <c r="D878" s="6">
        <v>0</v>
      </c>
      <c r="E878" s="6">
        <v>1454454</v>
      </c>
      <c r="F878" s="6">
        <v>174779</v>
      </c>
      <c r="G878" s="6">
        <v>5255</v>
      </c>
      <c r="H878" s="6">
        <v>61966</v>
      </c>
      <c r="I878" s="6">
        <v>302626</v>
      </c>
      <c r="J878" s="6">
        <v>1717581</v>
      </c>
      <c r="K878" s="6">
        <v>600</v>
      </c>
      <c r="L878" s="6"/>
      <c r="M878" s="6">
        <v>4997</v>
      </c>
      <c r="N878" s="6">
        <v>32425</v>
      </c>
      <c r="O878" s="6">
        <v>6825</v>
      </c>
      <c r="P878" s="6">
        <v>0</v>
      </c>
      <c r="Q878" s="6">
        <v>39250</v>
      </c>
    </row>
    <row r="879" spans="1:17" x14ac:dyDescent="0.35">
      <c r="A879" s="1">
        <v>43719</v>
      </c>
      <c r="B879" s="6">
        <v>3730417</v>
      </c>
      <c r="C879" s="6">
        <v>1712985</v>
      </c>
      <c r="D879" s="6">
        <v>0</v>
      </c>
      <c r="E879" s="6">
        <v>1458667</v>
      </c>
      <c r="F879" s="6">
        <v>183581</v>
      </c>
      <c r="G879" s="6">
        <v>5256</v>
      </c>
      <c r="H879" s="6">
        <v>65481</v>
      </c>
      <c r="I879" s="6">
        <v>294250</v>
      </c>
      <c r="J879" s="6">
        <v>1717172</v>
      </c>
      <c r="K879" s="6">
        <v>187</v>
      </c>
      <c r="L879" s="6"/>
      <c r="M879" s="6">
        <v>5825</v>
      </c>
      <c r="N879" s="6">
        <v>32431</v>
      </c>
      <c r="O879" s="6">
        <v>6825</v>
      </c>
      <c r="P879" s="6">
        <v>0</v>
      </c>
      <c r="Q879" s="6">
        <v>39256</v>
      </c>
    </row>
    <row r="880" spans="1:17" x14ac:dyDescent="0.35">
      <c r="A880" s="1">
        <v>43726</v>
      </c>
      <c r="B880" s="6">
        <v>3805400</v>
      </c>
      <c r="C880" s="6">
        <v>1760341</v>
      </c>
      <c r="D880" s="6">
        <v>0</v>
      </c>
      <c r="E880" s="6">
        <v>1385426</v>
      </c>
      <c r="F880" s="6">
        <v>303057</v>
      </c>
      <c r="G880" s="6">
        <v>5186</v>
      </c>
      <c r="H880" s="6">
        <v>66673</v>
      </c>
      <c r="I880" s="6">
        <v>325118</v>
      </c>
      <c r="J880" s="6">
        <v>1714568</v>
      </c>
      <c r="K880" s="6">
        <v>166</v>
      </c>
      <c r="L880" s="6"/>
      <c r="M880" s="6">
        <v>5207</v>
      </c>
      <c r="N880" s="6">
        <v>32470</v>
      </c>
      <c r="O880" s="6">
        <v>6825</v>
      </c>
      <c r="P880" s="6">
        <v>0</v>
      </c>
      <c r="Q880" s="6">
        <v>39295</v>
      </c>
    </row>
    <row r="881" spans="1:17" x14ac:dyDescent="0.35">
      <c r="A881" s="1">
        <v>43733</v>
      </c>
      <c r="B881" s="6">
        <v>3818433</v>
      </c>
      <c r="C881" s="6">
        <v>1807636</v>
      </c>
      <c r="D881" s="6">
        <v>0</v>
      </c>
      <c r="E881" s="6">
        <v>1427289</v>
      </c>
      <c r="F881" s="6">
        <v>305810</v>
      </c>
      <c r="G881" s="6">
        <v>5187</v>
      </c>
      <c r="H881" s="6">
        <v>69351</v>
      </c>
      <c r="I881" s="6">
        <v>290541</v>
      </c>
      <c r="J881" s="6">
        <v>1714733</v>
      </c>
      <c r="K881" s="6">
        <v>135</v>
      </c>
      <c r="L881" s="6"/>
      <c r="M881" s="6">
        <v>5387</v>
      </c>
      <c r="N881" s="6">
        <v>32457</v>
      </c>
      <c r="O881" s="6">
        <v>6825</v>
      </c>
      <c r="P881" s="6">
        <v>0</v>
      </c>
      <c r="Q881" s="6">
        <v>39282</v>
      </c>
    </row>
    <row r="882" spans="1:17" x14ac:dyDescent="0.35">
      <c r="A882" s="1">
        <v>43740</v>
      </c>
      <c r="B882" s="6">
        <v>3906519</v>
      </c>
      <c r="C882" s="6">
        <v>1894938</v>
      </c>
      <c r="D882" s="6">
        <v>0</v>
      </c>
      <c r="E882" s="6">
        <v>1486710</v>
      </c>
      <c r="F882" s="6">
        <v>335185</v>
      </c>
      <c r="G882" s="6">
        <v>5186</v>
      </c>
      <c r="H882" s="6">
        <v>67856</v>
      </c>
      <c r="I882" s="6">
        <v>288618</v>
      </c>
      <c r="J882" s="6">
        <v>1717473</v>
      </c>
      <c r="K882" s="6">
        <v>486</v>
      </c>
      <c r="L882" s="6"/>
      <c r="M882" s="6">
        <v>5005</v>
      </c>
      <c r="N882" s="6">
        <v>32487</v>
      </c>
      <c r="O882" s="6">
        <v>6825</v>
      </c>
      <c r="P882" s="6">
        <v>0</v>
      </c>
      <c r="Q882" s="6">
        <v>39312</v>
      </c>
    </row>
    <row r="883" spans="1:17" x14ac:dyDescent="0.35">
      <c r="A883" s="1">
        <v>43747</v>
      </c>
      <c r="B883" s="6">
        <v>3910633</v>
      </c>
      <c r="C883" s="6">
        <v>1892341</v>
      </c>
      <c r="D883" s="6">
        <v>0</v>
      </c>
      <c r="E883" s="6">
        <v>1528394</v>
      </c>
      <c r="F883" s="6">
        <v>297389</v>
      </c>
      <c r="G883" s="6">
        <v>5185</v>
      </c>
      <c r="H883" s="6">
        <v>61373</v>
      </c>
      <c r="I883" s="6">
        <v>291109</v>
      </c>
      <c r="J883" s="6">
        <v>1720990</v>
      </c>
      <c r="K883" s="6">
        <v>142</v>
      </c>
      <c r="L883" s="6"/>
      <c r="M883" s="6">
        <v>6050</v>
      </c>
      <c r="N883" s="6">
        <v>32497</v>
      </c>
      <c r="O883" s="6">
        <v>6825</v>
      </c>
      <c r="P883" s="6">
        <v>0</v>
      </c>
      <c r="Q883" s="6">
        <v>39322</v>
      </c>
    </row>
    <row r="884" spans="1:17" x14ac:dyDescent="0.35">
      <c r="A884" s="1">
        <v>43754</v>
      </c>
      <c r="B884" s="6">
        <v>3927147</v>
      </c>
      <c r="C884" s="6">
        <v>1894555</v>
      </c>
      <c r="D884" s="6">
        <v>0</v>
      </c>
      <c r="E884" s="6">
        <v>1469871</v>
      </c>
      <c r="F884" s="6">
        <v>361497</v>
      </c>
      <c r="G884" s="6">
        <v>5186</v>
      </c>
      <c r="H884" s="6">
        <v>58001</v>
      </c>
      <c r="I884" s="6">
        <v>302797</v>
      </c>
      <c r="J884" s="6">
        <v>1724390</v>
      </c>
      <c r="K884" s="6">
        <v>220</v>
      </c>
      <c r="L884" s="6"/>
      <c r="M884" s="6">
        <v>5186</v>
      </c>
      <c r="N884" s="6">
        <v>32499</v>
      </c>
      <c r="O884" s="6">
        <v>6825</v>
      </c>
      <c r="P884" s="6">
        <v>0</v>
      </c>
      <c r="Q884" s="6">
        <v>39324</v>
      </c>
    </row>
    <row r="885" spans="1:17" x14ac:dyDescent="0.35">
      <c r="A885" s="1">
        <v>43761</v>
      </c>
      <c r="B885" s="6">
        <v>3929356</v>
      </c>
      <c r="C885" s="6">
        <v>1892318</v>
      </c>
      <c r="D885" s="6">
        <v>0</v>
      </c>
      <c r="E885" s="6">
        <v>1451555</v>
      </c>
      <c r="F885" s="6">
        <v>375170</v>
      </c>
      <c r="G885" s="6">
        <v>5186</v>
      </c>
      <c r="H885" s="6">
        <v>60407</v>
      </c>
      <c r="I885" s="6">
        <v>306047</v>
      </c>
      <c r="J885" s="6">
        <v>1725020</v>
      </c>
      <c r="K885" s="6">
        <v>177</v>
      </c>
      <c r="L885" s="6"/>
      <c r="M885" s="6">
        <v>5793</v>
      </c>
      <c r="N885" s="6">
        <v>32519</v>
      </c>
      <c r="O885" s="6">
        <v>6825</v>
      </c>
      <c r="P885" s="6">
        <v>0</v>
      </c>
      <c r="Q885" s="6">
        <v>39344</v>
      </c>
    </row>
    <row r="886" spans="1:17" x14ac:dyDescent="0.35">
      <c r="A886" s="1">
        <v>43768</v>
      </c>
      <c r="B886" s="6">
        <v>3980486</v>
      </c>
      <c r="C886" s="6">
        <v>1951519</v>
      </c>
      <c r="D886" s="6">
        <v>0</v>
      </c>
      <c r="E886" s="6">
        <v>1484719</v>
      </c>
      <c r="F886" s="6">
        <v>400616</v>
      </c>
      <c r="G886" s="6">
        <v>5187</v>
      </c>
      <c r="H886" s="6">
        <v>60998</v>
      </c>
      <c r="I886" s="6">
        <v>289661</v>
      </c>
      <c r="J886" s="6">
        <v>1732868</v>
      </c>
      <c r="K886" s="6">
        <v>1156</v>
      </c>
      <c r="L886" s="6"/>
      <c r="M886" s="6">
        <v>5282</v>
      </c>
      <c r="N886" s="6">
        <v>32512</v>
      </c>
      <c r="O886" s="6">
        <v>6825</v>
      </c>
      <c r="P886" s="6">
        <v>0</v>
      </c>
      <c r="Q886" s="6">
        <v>39337</v>
      </c>
    </row>
    <row r="887" spans="1:17" x14ac:dyDescent="0.35">
      <c r="A887" s="1">
        <v>43775</v>
      </c>
      <c r="B887" s="6">
        <v>4000126</v>
      </c>
      <c r="C887" s="6">
        <v>1968781</v>
      </c>
      <c r="D887" s="6">
        <v>0</v>
      </c>
      <c r="E887" s="6">
        <v>1528757</v>
      </c>
      <c r="F887" s="6">
        <v>378184</v>
      </c>
      <c r="G887" s="6">
        <v>5183</v>
      </c>
      <c r="H887" s="6">
        <v>56657</v>
      </c>
      <c r="I887" s="6">
        <v>288496</v>
      </c>
      <c r="J887" s="6">
        <v>1736735</v>
      </c>
      <c r="K887" s="6">
        <v>198</v>
      </c>
      <c r="L887" s="6"/>
      <c r="M887" s="6">
        <v>5916</v>
      </c>
      <c r="N887" s="6">
        <v>32493</v>
      </c>
      <c r="O887" s="6">
        <v>6825</v>
      </c>
      <c r="P887" s="6">
        <v>0</v>
      </c>
      <c r="Q887" s="6">
        <v>39318</v>
      </c>
    </row>
    <row r="888" spans="1:17" x14ac:dyDescent="0.35">
      <c r="A888" s="1">
        <v>43782</v>
      </c>
      <c r="B888" s="6">
        <v>4008563</v>
      </c>
      <c r="C888" s="6">
        <v>1980457</v>
      </c>
      <c r="D888" s="6">
        <v>0</v>
      </c>
      <c r="E888" s="6">
        <v>1542664</v>
      </c>
      <c r="F888" s="6">
        <v>370185</v>
      </c>
      <c r="G888" s="6">
        <v>5183</v>
      </c>
      <c r="H888" s="6">
        <v>62424</v>
      </c>
      <c r="I888" s="6">
        <v>282072</v>
      </c>
      <c r="J888" s="6">
        <v>1739702</v>
      </c>
      <c r="K888" s="6">
        <v>245</v>
      </c>
      <c r="L888" s="6"/>
      <c r="M888" s="6">
        <v>6088</v>
      </c>
      <c r="N888" s="6">
        <v>32493</v>
      </c>
      <c r="O888" s="6">
        <v>6825</v>
      </c>
      <c r="P888" s="6">
        <v>0</v>
      </c>
      <c r="Q888" s="6">
        <v>39318</v>
      </c>
    </row>
    <row r="889" spans="1:17" x14ac:dyDescent="0.35">
      <c r="A889" s="1">
        <v>43789</v>
      </c>
      <c r="B889" s="6">
        <v>3991349</v>
      </c>
      <c r="C889" s="6">
        <v>1946373</v>
      </c>
      <c r="D889" s="6">
        <v>0</v>
      </c>
      <c r="E889" s="6">
        <v>1530158</v>
      </c>
      <c r="F889" s="6">
        <v>357551</v>
      </c>
      <c r="G889" s="6">
        <v>5183</v>
      </c>
      <c r="H889" s="6">
        <v>53481</v>
      </c>
      <c r="I889" s="6">
        <v>300914</v>
      </c>
      <c r="J889" s="6">
        <v>1737673</v>
      </c>
      <c r="K889" s="6">
        <v>128</v>
      </c>
      <c r="L889" s="6"/>
      <c r="M889" s="6">
        <v>6261</v>
      </c>
      <c r="N889" s="6">
        <v>32075</v>
      </c>
      <c r="O889" s="6">
        <v>6825</v>
      </c>
      <c r="P889" s="6">
        <v>0</v>
      </c>
      <c r="Q889" s="6">
        <v>38900</v>
      </c>
    </row>
    <row r="890" spans="1:17" x14ac:dyDescent="0.35">
      <c r="A890" s="1">
        <v>43796</v>
      </c>
      <c r="B890" s="6">
        <v>4013975</v>
      </c>
      <c r="C890" s="6">
        <v>1981509</v>
      </c>
      <c r="D890" s="6">
        <v>0</v>
      </c>
      <c r="E890" s="6">
        <v>1559719</v>
      </c>
      <c r="F890" s="6">
        <v>358896</v>
      </c>
      <c r="G890" s="6">
        <v>5181</v>
      </c>
      <c r="H890" s="6">
        <v>57712</v>
      </c>
      <c r="I890" s="6">
        <v>281921</v>
      </c>
      <c r="J890" s="6">
        <v>1744018</v>
      </c>
      <c r="K890" s="6">
        <v>904</v>
      </c>
      <c r="L890" s="6"/>
      <c r="M890" s="6">
        <v>5623</v>
      </c>
      <c r="N890" s="6">
        <v>32075</v>
      </c>
      <c r="O890" s="6">
        <v>6825</v>
      </c>
      <c r="P890" s="6">
        <v>0</v>
      </c>
      <c r="Q890" s="6">
        <v>38900</v>
      </c>
    </row>
    <row r="891" spans="1:17" x14ac:dyDescent="0.35">
      <c r="A891" s="1">
        <v>43803</v>
      </c>
      <c r="B891" s="6">
        <v>4026797</v>
      </c>
      <c r="C891" s="6">
        <v>1997389</v>
      </c>
      <c r="D891" s="6">
        <v>0</v>
      </c>
      <c r="E891" s="6">
        <v>1593719</v>
      </c>
      <c r="F891" s="6">
        <v>338453</v>
      </c>
      <c r="G891" s="6">
        <v>5181</v>
      </c>
      <c r="H891" s="6">
        <v>60036</v>
      </c>
      <c r="I891" s="6">
        <v>277374</v>
      </c>
      <c r="J891" s="6">
        <v>1745447</v>
      </c>
      <c r="K891" s="6">
        <v>508</v>
      </c>
      <c r="L891" s="6"/>
      <c r="M891" s="6">
        <v>6078</v>
      </c>
      <c r="N891" s="6">
        <v>32074</v>
      </c>
      <c r="O891" s="6">
        <v>6825</v>
      </c>
      <c r="P891" s="6">
        <v>0</v>
      </c>
      <c r="Q891" s="6">
        <v>38899</v>
      </c>
    </row>
    <row r="892" spans="1:17" x14ac:dyDescent="0.35">
      <c r="A892" s="1">
        <v>43810</v>
      </c>
      <c r="B892" s="6">
        <v>4056979</v>
      </c>
      <c r="C892" s="6">
        <v>2043483</v>
      </c>
      <c r="D892" s="6">
        <v>0</v>
      </c>
      <c r="E892" s="6">
        <v>1671196</v>
      </c>
      <c r="F892" s="6">
        <v>304160</v>
      </c>
      <c r="G892" s="6">
        <v>5182</v>
      </c>
      <c r="H892" s="6">
        <v>62945</v>
      </c>
      <c r="I892" s="6">
        <v>262633</v>
      </c>
      <c r="J892" s="6">
        <v>1744649</v>
      </c>
      <c r="K892" s="6">
        <v>274</v>
      </c>
      <c r="L892" s="6"/>
      <c r="M892" s="6">
        <v>5939</v>
      </c>
      <c r="N892" s="6">
        <v>31687</v>
      </c>
      <c r="O892" s="6">
        <v>6825</v>
      </c>
      <c r="P892" s="6">
        <v>0</v>
      </c>
      <c r="Q892" s="6">
        <v>38512</v>
      </c>
    </row>
    <row r="893" spans="1:17" x14ac:dyDescent="0.35">
      <c r="A893" s="1">
        <v>43817</v>
      </c>
      <c r="B893" s="6">
        <v>4098535</v>
      </c>
      <c r="C893" s="6">
        <v>2080688</v>
      </c>
      <c r="D893" s="6">
        <v>0</v>
      </c>
      <c r="E893" s="6">
        <v>1631448</v>
      </c>
      <c r="F893" s="6">
        <v>378573</v>
      </c>
      <c r="G893" s="6">
        <v>5182</v>
      </c>
      <c r="H893" s="6">
        <v>65485</v>
      </c>
      <c r="I893" s="6">
        <v>263981</v>
      </c>
      <c r="J893" s="6">
        <v>1747734</v>
      </c>
      <c r="K893" s="6">
        <v>148</v>
      </c>
      <c r="L893" s="6"/>
      <c r="M893" s="6">
        <v>5985</v>
      </c>
      <c r="N893" s="6">
        <v>31692</v>
      </c>
      <c r="O893" s="6">
        <v>6825</v>
      </c>
      <c r="P893" s="6">
        <v>0</v>
      </c>
      <c r="Q893" s="6">
        <v>38517</v>
      </c>
    </row>
    <row r="894" spans="1:17" x14ac:dyDescent="0.35">
      <c r="A894" s="1">
        <v>43824</v>
      </c>
      <c r="B894" s="6">
        <v>4127069</v>
      </c>
      <c r="C894" s="6">
        <v>2112580</v>
      </c>
      <c r="D894" s="6">
        <v>0</v>
      </c>
      <c r="E894" s="6">
        <v>1648238</v>
      </c>
      <c r="F894" s="6">
        <v>351934</v>
      </c>
      <c r="G894" s="6">
        <v>5182</v>
      </c>
      <c r="H894" s="6">
        <v>107226</v>
      </c>
      <c r="I894" s="6">
        <v>253490</v>
      </c>
      <c r="J894" s="6">
        <v>1754066</v>
      </c>
      <c r="K894" s="6">
        <v>167</v>
      </c>
      <c r="L894" s="6"/>
      <c r="M894" s="6">
        <v>6765</v>
      </c>
      <c r="N894" s="6">
        <v>31697</v>
      </c>
      <c r="O894" s="6">
        <v>6825</v>
      </c>
      <c r="P894" s="6">
        <v>0</v>
      </c>
      <c r="Q894" s="6">
        <v>38522</v>
      </c>
    </row>
    <row r="895" spans="1:17" x14ac:dyDescent="0.35">
      <c r="A895" s="1">
        <v>43831</v>
      </c>
      <c r="B895" s="6">
        <v>4135103</v>
      </c>
      <c r="C895" s="6">
        <v>2031959</v>
      </c>
      <c r="D895" s="6">
        <v>0</v>
      </c>
      <c r="E895" s="6">
        <v>1548849</v>
      </c>
      <c r="F895" s="6">
        <v>403853</v>
      </c>
      <c r="G895" s="6">
        <v>5182</v>
      </c>
      <c r="H895" s="6">
        <v>74075</v>
      </c>
      <c r="I895" s="6">
        <v>336649</v>
      </c>
      <c r="J895" s="6">
        <v>1759427</v>
      </c>
      <c r="K895" s="6">
        <v>725</v>
      </c>
      <c r="L895" s="6"/>
      <c r="M895" s="6">
        <v>6344</v>
      </c>
      <c r="N895" s="6">
        <v>31698</v>
      </c>
      <c r="O895" s="6">
        <v>6825</v>
      </c>
      <c r="P895" s="6">
        <v>0</v>
      </c>
      <c r="Q895" s="6">
        <v>38523</v>
      </c>
    </row>
    <row r="896" spans="1:17" x14ac:dyDescent="0.35">
      <c r="A896" s="1">
        <v>43838</v>
      </c>
      <c r="B896" s="6">
        <v>4111021</v>
      </c>
      <c r="C896" s="6">
        <v>2076489</v>
      </c>
      <c r="D896" s="6">
        <v>0</v>
      </c>
      <c r="E896" s="6">
        <v>1656629</v>
      </c>
      <c r="F896" s="6">
        <v>350840</v>
      </c>
      <c r="G896" s="6">
        <v>5182</v>
      </c>
      <c r="H896" s="6">
        <v>63839</v>
      </c>
      <c r="I896" s="6">
        <v>274923</v>
      </c>
      <c r="J896" s="6">
        <v>1754110</v>
      </c>
      <c r="K896" s="6">
        <v>179</v>
      </c>
      <c r="L896" s="6"/>
      <c r="M896" s="6">
        <v>5319</v>
      </c>
      <c r="N896" s="6">
        <v>31698</v>
      </c>
      <c r="O896" s="6">
        <v>6825</v>
      </c>
      <c r="P896" s="6">
        <v>0</v>
      </c>
      <c r="Q896" s="6">
        <v>38523</v>
      </c>
    </row>
    <row r="897" spans="1:17" x14ac:dyDescent="0.35">
      <c r="A897" s="1">
        <v>43845</v>
      </c>
      <c r="B897" s="6">
        <v>4137327</v>
      </c>
      <c r="C897" s="6">
        <v>2123057</v>
      </c>
      <c r="D897" s="6">
        <v>0</v>
      </c>
      <c r="E897" s="6">
        <v>1673362</v>
      </c>
      <c r="F897" s="6">
        <v>380802</v>
      </c>
      <c r="G897" s="6">
        <v>5181</v>
      </c>
      <c r="H897" s="6">
        <v>63712</v>
      </c>
      <c r="I897" s="6">
        <v>260913</v>
      </c>
      <c r="J897" s="6">
        <v>1747488</v>
      </c>
      <c r="K897" s="6">
        <v>152</v>
      </c>
      <c r="L897" s="6"/>
      <c r="M897" s="6">
        <v>5718</v>
      </c>
      <c r="N897" s="6">
        <v>31698</v>
      </c>
      <c r="O897" s="6">
        <v>6825</v>
      </c>
      <c r="P897" s="6">
        <v>0</v>
      </c>
      <c r="Q897" s="6">
        <v>38523</v>
      </c>
    </row>
    <row r="898" spans="1:17" x14ac:dyDescent="0.35">
      <c r="A898" s="1">
        <v>43852</v>
      </c>
      <c r="B898" s="6">
        <v>4107390</v>
      </c>
      <c r="C898" s="6">
        <v>2090087</v>
      </c>
      <c r="D898" s="6">
        <v>0</v>
      </c>
      <c r="E898" s="6">
        <v>1609594</v>
      </c>
      <c r="F898" s="6">
        <v>411708</v>
      </c>
      <c r="G898" s="6">
        <v>5180</v>
      </c>
      <c r="H898" s="6">
        <v>63605</v>
      </c>
      <c r="I898" s="6">
        <v>265357</v>
      </c>
      <c r="J898" s="6">
        <v>1746549</v>
      </c>
      <c r="K898" s="6">
        <v>242</v>
      </c>
      <c r="L898" s="6"/>
      <c r="M898" s="6">
        <v>5153</v>
      </c>
      <c r="N898" s="6">
        <v>31698</v>
      </c>
      <c r="O898" s="6">
        <v>6825</v>
      </c>
      <c r="P898" s="6">
        <v>0</v>
      </c>
      <c r="Q898" s="6">
        <v>38523</v>
      </c>
    </row>
    <row r="899" spans="1:17" x14ac:dyDescent="0.35">
      <c r="A899" s="1">
        <v>43859</v>
      </c>
      <c r="B899" s="6">
        <v>4113108</v>
      </c>
      <c r="C899" s="6">
        <v>2128764</v>
      </c>
      <c r="D899" s="6">
        <v>0</v>
      </c>
      <c r="E899" s="6">
        <v>1612223</v>
      </c>
      <c r="F899" s="6">
        <v>450537</v>
      </c>
      <c r="G899" s="6">
        <v>5181</v>
      </c>
      <c r="H899" s="6">
        <v>60823</v>
      </c>
      <c r="I899" s="6">
        <v>233404</v>
      </c>
      <c r="J899" s="6">
        <v>1744597</v>
      </c>
      <c r="K899" s="6">
        <v>729</v>
      </c>
      <c r="L899" s="6"/>
      <c r="M899" s="6">
        <v>5613</v>
      </c>
      <c r="N899" s="6">
        <v>31697</v>
      </c>
      <c r="O899" s="6">
        <v>6825</v>
      </c>
      <c r="P899" s="6">
        <v>0</v>
      </c>
      <c r="Q899" s="6">
        <v>38522</v>
      </c>
    </row>
    <row r="900" spans="1:17" x14ac:dyDescent="0.35">
      <c r="A900" s="1">
        <v>43866</v>
      </c>
      <c r="B900" s="6">
        <v>4128205</v>
      </c>
      <c r="C900" s="6">
        <v>2137263</v>
      </c>
      <c r="D900" s="6">
        <v>0</v>
      </c>
      <c r="E900" s="6">
        <v>1652873</v>
      </c>
      <c r="F900" s="6">
        <v>416585</v>
      </c>
      <c r="G900" s="6">
        <v>5183</v>
      </c>
      <c r="H900" s="6">
        <v>62621</v>
      </c>
      <c r="I900" s="6">
        <v>239163</v>
      </c>
      <c r="J900" s="6">
        <v>1746494</v>
      </c>
      <c r="K900" s="6">
        <v>180</v>
      </c>
      <c r="L900" s="6"/>
      <c r="M900" s="6">
        <v>5105</v>
      </c>
      <c r="N900" s="6">
        <v>31677</v>
      </c>
      <c r="O900" s="6">
        <v>6825</v>
      </c>
      <c r="P900" s="6">
        <v>0</v>
      </c>
      <c r="Q900" s="6">
        <v>38502</v>
      </c>
    </row>
    <row r="901" spans="1:17" x14ac:dyDescent="0.35">
      <c r="A901" s="1">
        <v>43873</v>
      </c>
      <c r="B901" s="6">
        <v>4144169</v>
      </c>
      <c r="C901" s="6">
        <v>2165810</v>
      </c>
      <c r="D901" s="6">
        <v>0</v>
      </c>
      <c r="E901" s="6">
        <v>1695082</v>
      </c>
      <c r="F901" s="6">
        <v>404341</v>
      </c>
      <c r="G901" s="6">
        <v>5183</v>
      </c>
      <c r="H901" s="6">
        <v>61204</v>
      </c>
      <c r="I901" s="6">
        <v>223829</v>
      </c>
      <c r="J901" s="6">
        <v>1748261</v>
      </c>
      <c r="K901" s="6">
        <v>158</v>
      </c>
      <c r="L901" s="6"/>
      <c r="M901" s="6">
        <v>6112</v>
      </c>
      <c r="N901" s="6">
        <v>31695</v>
      </c>
      <c r="O901" s="6">
        <v>6825</v>
      </c>
      <c r="P901" s="6">
        <v>0</v>
      </c>
      <c r="Q901" s="6">
        <v>38520</v>
      </c>
    </row>
    <row r="902" spans="1:17" x14ac:dyDescent="0.35">
      <c r="A902" s="1">
        <v>43880</v>
      </c>
      <c r="B902" s="6">
        <v>4133025</v>
      </c>
      <c r="C902" s="6">
        <v>2149204</v>
      </c>
      <c r="D902" s="6">
        <v>0</v>
      </c>
      <c r="E902" s="6">
        <v>1659021</v>
      </c>
      <c r="F902" s="6">
        <v>421051</v>
      </c>
      <c r="G902" s="6">
        <v>5187</v>
      </c>
      <c r="H902" s="6">
        <v>63945</v>
      </c>
      <c r="I902" s="6">
        <v>226964</v>
      </c>
      <c r="J902" s="6">
        <v>1751590</v>
      </c>
      <c r="K902" s="6">
        <v>187</v>
      </c>
      <c r="L902" s="6"/>
      <c r="M902" s="6">
        <v>5079</v>
      </c>
      <c r="N902" s="6">
        <v>31720</v>
      </c>
      <c r="O902" s="6">
        <v>6825</v>
      </c>
      <c r="P902" s="6">
        <v>0</v>
      </c>
      <c r="Q902" s="6">
        <v>38545</v>
      </c>
    </row>
    <row r="903" spans="1:17" x14ac:dyDescent="0.35">
      <c r="A903" s="1">
        <v>43887</v>
      </c>
      <c r="B903" s="6">
        <v>4120086</v>
      </c>
      <c r="C903" s="6">
        <v>2141988</v>
      </c>
      <c r="D903" s="6">
        <v>0</v>
      </c>
      <c r="E903" s="6">
        <v>1680070</v>
      </c>
      <c r="F903" s="6">
        <v>387615</v>
      </c>
      <c r="G903" s="6">
        <v>5186</v>
      </c>
      <c r="H903" s="6">
        <v>69117</v>
      </c>
      <c r="I903" s="6">
        <v>219968</v>
      </c>
      <c r="J903" s="6">
        <v>1751909</v>
      </c>
      <c r="K903" s="6">
        <v>638</v>
      </c>
      <c r="L903" s="6"/>
      <c r="M903" s="6">
        <v>5583</v>
      </c>
      <c r="N903" s="6">
        <v>31726</v>
      </c>
      <c r="O903" s="6">
        <v>6825</v>
      </c>
      <c r="P903" s="6">
        <v>0</v>
      </c>
      <c r="Q903" s="6">
        <v>38551</v>
      </c>
    </row>
    <row r="904" spans="1:17" x14ac:dyDescent="0.35">
      <c r="A904" s="1">
        <v>43894</v>
      </c>
      <c r="B904" s="6">
        <v>4202949</v>
      </c>
      <c r="C904" s="6">
        <v>2197400</v>
      </c>
      <c r="D904" s="6">
        <v>0</v>
      </c>
      <c r="E904" s="6">
        <v>1735006</v>
      </c>
      <c r="F904" s="6">
        <v>381302</v>
      </c>
      <c r="G904" s="6">
        <v>5186</v>
      </c>
      <c r="H904" s="6">
        <v>75906</v>
      </c>
      <c r="I904" s="6">
        <v>236702</v>
      </c>
      <c r="J904" s="6">
        <v>1762125</v>
      </c>
      <c r="K904" s="6">
        <v>670</v>
      </c>
      <c r="L904" s="6"/>
      <c r="M904" s="6">
        <v>6052</v>
      </c>
      <c r="N904" s="6">
        <v>31733</v>
      </c>
      <c r="O904" s="6">
        <v>6825</v>
      </c>
      <c r="P904" s="6">
        <v>0</v>
      </c>
      <c r="Q904" s="6">
        <v>38558</v>
      </c>
    </row>
    <row r="905" spans="1:17" x14ac:dyDescent="0.35">
      <c r="A905" s="1">
        <v>43901</v>
      </c>
      <c r="B905" s="6">
        <v>4273317</v>
      </c>
      <c r="C905" s="6">
        <v>2262355</v>
      </c>
      <c r="D905" s="6">
        <v>0</v>
      </c>
      <c r="E905" s="6">
        <v>1779990</v>
      </c>
      <c r="F905" s="6">
        <v>372337</v>
      </c>
      <c r="G905" s="6">
        <v>5187</v>
      </c>
      <c r="H905" s="6">
        <v>104842</v>
      </c>
      <c r="I905" s="6">
        <v>233275</v>
      </c>
      <c r="J905" s="6">
        <v>1770786</v>
      </c>
      <c r="K905" s="6">
        <v>371</v>
      </c>
      <c r="L905" s="6"/>
      <c r="M905" s="6">
        <v>6529</v>
      </c>
      <c r="N905" s="6">
        <v>31769</v>
      </c>
      <c r="O905" s="6">
        <v>6825</v>
      </c>
      <c r="P905" s="6">
        <v>0</v>
      </c>
      <c r="Q905" s="6">
        <v>38594</v>
      </c>
    </row>
    <row r="906" spans="1:17" x14ac:dyDescent="0.35">
      <c r="A906" s="1">
        <v>43908</v>
      </c>
      <c r="B906" s="6">
        <v>4629604</v>
      </c>
      <c r="C906" s="6">
        <v>2595127</v>
      </c>
      <c r="D906" s="6">
        <v>0</v>
      </c>
      <c r="E906" s="6">
        <v>1945394</v>
      </c>
      <c r="F906" s="6">
        <v>401354</v>
      </c>
      <c r="G906" s="6">
        <v>6887</v>
      </c>
      <c r="H906" s="6">
        <v>241491</v>
      </c>
      <c r="I906" s="6">
        <v>233946</v>
      </c>
      <c r="J906" s="6">
        <v>1795024</v>
      </c>
      <c r="K906" s="6">
        <v>278</v>
      </c>
      <c r="L906" s="6"/>
      <c r="M906" s="6">
        <v>5229</v>
      </c>
      <c r="N906" s="6">
        <v>31784</v>
      </c>
      <c r="O906" s="6">
        <v>6825</v>
      </c>
      <c r="P906" s="6">
        <v>0</v>
      </c>
      <c r="Q906" s="6">
        <v>38609</v>
      </c>
    </row>
    <row r="907" spans="1:17" x14ac:dyDescent="0.35">
      <c r="A907" s="1">
        <v>43915</v>
      </c>
      <c r="B907" s="6">
        <v>5215483</v>
      </c>
      <c r="C907" s="6">
        <v>3021266</v>
      </c>
      <c r="D907" s="6">
        <v>0</v>
      </c>
      <c r="E907" s="6">
        <v>2347747</v>
      </c>
      <c r="F907" s="6">
        <v>384890</v>
      </c>
      <c r="G907" s="6">
        <v>16261</v>
      </c>
      <c r="H907" s="6">
        <v>272368</v>
      </c>
      <c r="I907" s="6">
        <v>359114</v>
      </c>
      <c r="J907" s="6">
        <v>1823968</v>
      </c>
      <c r="K907" s="6">
        <v>308</v>
      </c>
      <c r="L907" s="6"/>
      <c r="M907" s="6">
        <v>10827</v>
      </c>
      <c r="N907" s="6">
        <v>31969</v>
      </c>
      <c r="O907" s="6">
        <v>6825</v>
      </c>
      <c r="P907" s="6">
        <v>0</v>
      </c>
      <c r="Q907" s="6">
        <v>38794</v>
      </c>
    </row>
    <row r="908" spans="1:17" x14ac:dyDescent="0.35">
      <c r="A908" s="1">
        <v>43922</v>
      </c>
      <c r="B908" s="6">
        <v>5772780</v>
      </c>
      <c r="C908" s="6">
        <v>3433710</v>
      </c>
      <c r="D908" s="6">
        <v>0</v>
      </c>
      <c r="E908" s="6">
        <v>2684398</v>
      </c>
      <c r="F908" s="6">
        <v>506933</v>
      </c>
      <c r="G908" s="6">
        <v>17745</v>
      </c>
      <c r="H908" s="6">
        <v>224635</v>
      </c>
      <c r="I908" s="6">
        <v>494427</v>
      </c>
      <c r="J908" s="6">
        <v>1830985</v>
      </c>
      <c r="K908" s="6">
        <v>591</v>
      </c>
      <c r="L908" s="6"/>
      <c r="M908" s="6">
        <v>13067</v>
      </c>
      <c r="N908" s="6">
        <v>32002</v>
      </c>
      <c r="O908" s="6">
        <v>6825</v>
      </c>
      <c r="P908" s="6">
        <v>0</v>
      </c>
      <c r="Q908" s="6">
        <v>38827</v>
      </c>
    </row>
    <row r="909" spans="1:17" x14ac:dyDescent="0.35">
      <c r="A909" s="1">
        <v>43929</v>
      </c>
      <c r="B909" s="6">
        <v>6044309</v>
      </c>
      <c r="C909" s="6">
        <v>3858360</v>
      </c>
      <c r="D909" s="6">
        <v>0</v>
      </c>
      <c r="E909" s="6">
        <v>2774506</v>
      </c>
      <c r="F909" s="6">
        <v>827178</v>
      </c>
      <c r="G909" s="6">
        <v>16646</v>
      </c>
      <c r="H909" s="6">
        <v>240030</v>
      </c>
      <c r="I909" s="6">
        <v>334488</v>
      </c>
      <c r="J909" s="6">
        <v>1835225</v>
      </c>
      <c r="K909" s="6">
        <v>344</v>
      </c>
      <c r="L909" s="6"/>
      <c r="M909" s="6">
        <v>15892</v>
      </c>
      <c r="N909" s="6">
        <v>32007</v>
      </c>
      <c r="O909" s="6">
        <v>6825</v>
      </c>
      <c r="P909" s="6">
        <v>0</v>
      </c>
      <c r="Q909" s="6">
        <v>38832</v>
      </c>
    </row>
    <row r="910" spans="1:17" x14ac:dyDescent="0.35">
      <c r="A910" s="1">
        <v>43936</v>
      </c>
      <c r="B910" s="6">
        <v>6329055</v>
      </c>
      <c r="C910" s="6">
        <v>4173852</v>
      </c>
      <c r="D910" s="6">
        <v>0</v>
      </c>
      <c r="E910" s="6">
        <v>3069874</v>
      </c>
      <c r="F910" s="6">
        <v>856155</v>
      </c>
      <c r="G910" s="6">
        <v>16347</v>
      </c>
      <c r="H910" s="6">
        <v>231475</v>
      </c>
      <c r="I910" s="6">
        <v>279584</v>
      </c>
      <c r="J910" s="6">
        <v>1839299</v>
      </c>
      <c r="K910" s="6">
        <v>396</v>
      </c>
      <c r="L910" s="6"/>
      <c r="M910" s="6">
        <v>35924</v>
      </c>
      <c r="N910" s="6">
        <v>32007</v>
      </c>
      <c r="O910" s="6">
        <v>6825</v>
      </c>
      <c r="P910" s="6">
        <v>0</v>
      </c>
      <c r="Q910" s="6">
        <v>38832</v>
      </c>
    </row>
    <row r="911" spans="1:17" x14ac:dyDescent="0.35">
      <c r="A911" s="1">
        <v>43943</v>
      </c>
      <c r="B911" s="6">
        <v>6534304</v>
      </c>
      <c r="C911" s="6">
        <v>4372413</v>
      </c>
      <c r="D911" s="6">
        <v>0</v>
      </c>
      <c r="E911" s="6">
        <v>3099980</v>
      </c>
      <c r="F911" s="6">
        <v>949999</v>
      </c>
      <c r="G911" s="6">
        <v>16303</v>
      </c>
      <c r="H911" s="6">
        <v>306130</v>
      </c>
      <c r="I911" s="6">
        <v>289292</v>
      </c>
      <c r="J911" s="6">
        <v>1847662</v>
      </c>
      <c r="K911" s="6">
        <v>341</v>
      </c>
      <c r="L911" s="6"/>
      <c r="M911" s="6">
        <v>24597</v>
      </c>
      <c r="N911" s="6">
        <v>32006</v>
      </c>
      <c r="O911" s="6">
        <v>6825</v>
      </c>
      <c r="P911" s="6">
        <v>0</v>
      </c>
      <c r="Q911" s="6">
        <v>38831</v>
      </c>
    </row>
    <row r="912" spans="1:17" x14ac:dyDescent="0.35">
      <c r="A912" s="1">
        <v>43950</v>
      </c>
      <c r="B912" s="6">
        <v>6617091</v>
      </c>
      <c r="C912" s="6">
        <v>4460138</v>
      </c>
      <c r="D912" s="6">
        <v>0</v>
      </c>
      <c r="E912" s="6">
        <v>3163513</v>
      </c>
      <c r="F912" s="6">
        <v>1076232</v>
      </c>
      <c r="G912" s="6">
        <v>16323</v>
      </c>
      <c r="H912" s="6">
        <v>204070</v>
      </c>
      <c r="I912" s="6">
        <v>269106</v>
      </c>
      <c r="J912" s="6">
        <v>1862131</v>
      </c>
      <c r="K912" s="6">
        <v>1438</v>
      </c>
      <c r="L912" s="6"/>
      <c r="M912" s="6">
        <v>24279</v>
      </c>
      <c r="N912" s="6">
        <v>32013</v>
      </c>
      <c r="O912" s="6">
        <v>6825</v>
      </c>
      <c r="P912" s="6">
        <v>0</v>
      </c>
      <c r="Q912" s="6">
        <v>38838</v>
      </c>
    </row>
    <row r="913" spans="1:17" x14ac:dyDescent="0.35">
      <c r="A913" s="1">
        <v>43957</v>
      </c>
      <c r="B913" s="6">
        <v>6682549</v>
      </c>
      <c r="C913" s="6">
        <v>4518539</v>
      </c>
      <c r="D913" s="6">
        <v>0</v>
      </c>
      <c r="E913" s="6">
        <v>3165606</v>
      </c>
      <c r="F913" s="6">
        <v>1143268</v>
      </c>
      <c r="G913" s="6">
        <v>16336</v>
      </c>
      <c r="H913" s="6">
        <v>193329</v>
      </c>
      <c r="I913" s="6">
        <v>265206</v>
      </c>
      <c r="J913" s="6">
        <v>1873325</v>
      </c>
      <c r="K913" s="6">
        <v>272</v>
      </c>
      <c r="L913" s="6"/>
      <c r="M913" s="6">
        <v>25208</v>
      </c>
      <c r="N913" s="6">
        <v>32046</v>
      </c>
      <c r="O913" s="6">
        <v>6825</v>
      </c>
      <c r="P913" s="6">
        <v>0</v>
      </c>
      <c r="Q913" s="6">
        <v>38871</v>
      </c>
    </row>
    <row r="914" spans="1:17" x14ac:dyDescent="0.35">
      <c r="A914" s="1">
        <v>43964</v>
      </c>
      <c r="B914" s="6">
        <v>6895336</v>
      </c>
      <c r="C914" s="6">
        <v>4663966</v>
      </c>
      <c r="D914" s="6">
        <v>0</v>
      </c>
      <c r="E914" s="6">
        <v>3263431</v>
      </c>
      <c r="F914" s="6">
        <v>1138172</v>
      </c>
      <c r="G914" s="6">
        <v>16328</v>
      </c>
      <c r="H914" s="6">
        <v>246034</v>
      </c>
      <c r="I914" s="6">
        <v>281150</v>
      </c>
      <c r="J914" s="6">
        <v>1881319</v>
      </c>
      <c r="K914" s="6">
        <v>288</v>
      </c>
      <c r="L914" s="6">
        <v>47500</v>
      </c>
      <c r="M914" s="6">
        <v>21114</v>
      </c>
      <c r="N914" s="6">
        <v>32066</v>
      </c>
      <c r="O914" s="6">
        <v>6825</v>
      </c>
      <c r="P914" s="6">
        <v>0</v>
      </c>
      <c r="Q914" s="6">
        <v>38891</v>
      </c>
    </row>
    <row r="915" spans="1:17" x14ac:dyDescent="0.35">
      <c r="A915" s="1">
        <v>43971</v>
      </c>
      <c r="B915" s="6">
        <v>6998365</v>
      </c>
      <c r="C915" s="6">
        <v>4780812</v>
      </c>
      <c r="D915" s="6">
        <v>0</v>
      </c>
      <c r="E915" s="6">
        <v>3304221</v>
      </c>
      <c r="F915" s="6">
        <v>1193297</v>
      </c>
      <c r="G915" s="6">
        <v>16228</v>
      </c>
      <c r="H915" s="6">
        <v>267066</v>
      </c>
      <c r="I915" s="6">
        <v>266649</v>
      </c>
      <c r="J915" s="6">
        <v>1890000</v>
      </c>
      <c r="K915" s="6">
        <v>261</v>
      </c>
      <c r="L915" s="6">
        <v>49000</v>
      </c>
      <c r="M915" s="6">
        <v>11644</v>
      </c>
      <c r="N915" s="6">
        <v>32069</v>
      </c>
      <c r="O915" s="6">
        <v>6825</v>
      </c>
      <c r="P915" s="6">
        <v>0</v>
      </c>
      <c r="Q915" s="6">
        <v>38894</v>
      </c>
    </row>
    <row r="916" spans="1:17" x14ac:dyDescent="0.35">
      <c r="A916" s="1">
        <v>43978</v>
      </c>
      <c r="B916" s="6">
        <v>7058402</v>
      </c>
      <c r="C916" s="6">
        <v>4839897</v>
      </c>
      <c r="D916" s="6">
        <v>0</v>
      </c>
      <c r="E916" s="6">
        <v>3317688</v>
      </c>
      <c r="F916" s="6">
        <v>1326897</v>
      </c>
      <c r="G916" s="6">
        <v>16251</v>
      </c>
      <c r="H916" s="6">
        <v>179062</v>
      </c>
      <c r="I916" s="6">
        <v>243976</v>
      </c>
      <c r="J916" s="6">
        <v>1899514</v>
      </c>
      <c r="K916" s="6">
        <v>355</v>
      </c>
      <c r="L916" s="6">
        <v>66500</v>
      </c>
      <c r="M916" s="6">
        <v>8160</v>
      </c>
      <c r="N916" s="6">
        <v>32089</v>
      </c>
      <c r="O916" s="6">
        <v>6825</v>
      </c>
      <c r="P916" s="6">
        <v>0</v>
      </c>
      <c r="Q916" s="6">
        <v>38914</v>
      </c>
    </row>
    <row r="917" spans="1:17" x14ac:dyDescent="0.35">
      <c r="A917" s="1">
        <v>43985</v>
      </c>
      <c r="B917" s="6">
        <v>7126300</v>
      </c>
      <c r="C917" s="6">
        <v>4860697</v>
      </c>
      <c r="D917" s="6">
        <v>0</v>
      </c>
      <c r="E917" s="6">
        <v>3257435</v>
      </c>
      <c r="F917" s="6">
        <v>1431462</v>
      </c>
      <c r="G917" s="6">
        <v>16281</v>
      </c>
      <c r="H917" s="6">
        <v>155519</v>
      </c>
      <c r="I917" s="6">
        <v>246054</v>
      </c>
      <c r="J917" s="6">
        <v>1903660</v>
      </c>
      <c r="K917" s="6">
        <v>758</v>
      </c>
      <c r="L917" s="6">
        <v>104000</v>
      </c>
      <c r="M917" s="6">
        <v>11131</v>
      </c>
      <c r="N917" s="6">
        <v>32092</v>
      </c>
      <c r="O917" s="6">
        <v>6825</v>
      </c>
      <c r="P917" s="6">
        <v>0</v>
      </c>
      <c r="Q917" s="6">
        <v>38917</v>
      </c>
    </row>
    <row r="918" spans="1:17" x14ac:dyDescent="0.35">
      <c r="A918" s="1">
        <v>43992</v>
      </c>
      <c r="B918" s="6">
        <v>7130021</v>
      </c>
      <c r="C918" s="6">
        <v>4867282</v>
      </c>
      <c r="D918" s="6">
        <v>0</v>
      </c>
      <c r="E918" s="6">
        <v>3190654</v>
      </c>
      <c r="F918" s="6">
        <v>1504569</v>
      </c>
      <c r="G918" s="6">
        <v>16256</v>
      </c>
      <c r="H918" s="6">
        <v>155802</v>
      </c>
      <c r="I918" s="6">
        <v>240814</v>
      </c>
      <c r="J918" s="6">
        <v>1907027</v>
      </c>
      <c r="K918" s="6">
        <v>277</v>
      </c>
      <c r="L918" s="6">
        <v>104000</v>
      </c>
      <c r="M918" s="6">
        <v>10621</v>
      </c>
      <c r="N918" s="6">
        <v>32091</v>
      </c>
      <c r="O918" s="6">
        <v>6825</v>
      </c>
      <c r="P918" s="6">
        <v>0</v>
      </c>
      <c r="Q918" s="6">
        <v>38916</v>
      </c>
    </row>
    <row r="919" spans="1:17" x14ac:dyDescent="0.35">
      <c r="A919" s="1">
        <v>43999</v>
      </c>
      <c r="B919" s="6">
        <v>7055776</v>
      </c>
      <c r="C919" s="6">
        <v>4795630</v>
      </c>
      <c r="D919" s="6">
        <v>0</v>
      </c>
      <c r="E919" s="6">
        <v>3069439</v>
      </c>
      <c r="F919" s="6">
        <v>1565306</v>
      </c>
      <c r="G919" s="6">
        <v>16247</v>
      </c>
      <c r="H919" s="6">
        <v>144637</v>
      </c>
      <c r="I919" s="6">
        <v>225462</v>
      </c>
      <c r="J919" s="6">
        <v>1910886</v>
      </c>
      <c r="K919" s="6">
        <v>268</v>
      </c>
      <c r="L919" s="6">
        <v>114000</v>
      </c>
      <c r="M919" s="6">
        <v>9531</v>
      </c>
      <c r="N919" s="6">
        <v>32090</v>
      </c>
      <c r="O919" s="6">
        <v>6825</v>
      </c>
      <c r="P919" s="6">
        <v>0</v>
      </c>
      <c r="Q919" s="6">
        <v>38915</v>
      </c>
    </row>
    <row r="920" spans="1:17" x14ac:dyDescent="0.35">
      <c r="A920" s="1">
        <v>44006</v>
      </c>
      <c r="B920" s="6">
        <v>7043391</v>
      </c>
      <c r="C920" s="6">
        <v>4786037</v>
      </c>
      <c r="D920" s="6">
        <v>0</v>
      </c>
      <c r="E920" s="6">
        <v>2937657</v>
      </c>
      <c r="F920" s="6">
        <v>1586573</v>
      </c>
      <c r="G920" s="6">
        <v>16222</v>
      </c>
      <c r="H920" s="6">
        <v>245586</v>
      </c>
      <c r="I920" s="6">
        <v>220362</v>
      </c>
      <c r="J920" s="6">
        <v>1915107</v>
      </c>
      <c r="K920" s="6">
        <v>285</v>
      </c>
      <c r="L920" s="6">
        <v>114000</v>
      </c>
      <c r="M920" s="6">
        <v>7599</v>
      </c>
      <c r="N920" s="6">
        <v>32086</v>
      </c>
      <c r="O920" s="6">
        <v>6825</v>
      </c>
      <c r="P920" s="6">
        <v>0</v>
      </c>
      <c r="Q920" s="6">
        <v>38911</v>
      </c>
    </row>
    <row r="921" spans="1:17" x14ac:dyDescent="0.35">
      <c r="A921" s="1">
        <v>44013</v>
      </c>
      <c r="B921" s="6">
        <v>6970195</v>
      </c>
      <c r="C921" s="6">
        <v>4698086</v>
      </c>
      <c r="D921" s="6">
        <v>0</v>
      </c>
      <c r="E921" s="6">
        <v>2863196</v>
      </c>
      <c r="F921" s="6">
        <v>1656747</v>
      </c>
      <c r="G921" s="6">
        <v>16223</v>
      </c>
      <c r="H921" s="6">
        <v>161920</v>
      </c>
      <c r="I921" s="6">
        <v>227236</v>
      </c>
      <c r="J921" s="6">
        <v>1922987</v>
      </c>
      <c r="K921" s="6">
        <v>801</v>
      </c>
      <c r="L921" s="6">
        <v>114000</v>
      </c>
      <c r="M921" s="6">
        <v>7084</v>
      </c>
      <c r="N921" s="6">
        <v>32020</v>
      </c>
      <c r="O921" s="6">
        <v>6825</v>
      </c>
      <c r="P921" s="6">
        <v>0</v>
      </c>
      <c r="Q921" s="6">
        <v>38845</v>
      </c>
    </row>
    <row r="922" spans="1:17" x14ac:dyDescent="0.35">
      <c r="A922" s="1">
        <v>44020</v>
      </c>
      <c r="B922" s="6">
        <v>6881955</v>
      </c>
      <c r="C922" s="6">
        <v>4604866</v>
      </c>
      <c r="D922" s="6">
        <v>0</v>
      </c>
      <c r="E922" s="6">
        <v>2813296</v>
      </c>
      <c r="F922" s="6">
        <v>1624404</v>
      </c>
      <c r="G922" s="6">
        <v>16232</v>
      </c>
      <c r="H922" s="6">
        <v>150934</v>
      </c>
      <c r="I922" s="6">
        <v>224860</v>
      </c>
      <c r="J922" s="6">
        <v>1928475</v>
      </c>
      <c r="K922" s="6">
        <v>266</v>
      </c>
      <c r="L922" s="6">
        <v>114000</v>
      </c>
      <c r="M922" s="6">
        <v>9487</v>
      </c>
      <c r="N922" s="6">
        <v>31936</v>
      </c>
      <c r="O922" s="6">
        <v>6825</v>
      </c>
      <c r="P922" s="6">
        <v>0</v>
      </c>
      <c r="Q922" s="6">
        <v>38761</v>
      </c>
    </row>
    <row r="923" spans="1:17" x14ac:dyDescent="0.35">
      <c r="A923" s="1">
        <v>44027</v>
      </c>
      <c r="B923" s="6">
        <v>6919843</v>
      </c>
      <c r="C923" s="6">
        <v>4637969</v>
      </c>
      <c r="D923" s="6">
        <v>0</v>
      </c>
      <c r="E923" s="6">
        <v>2732649</v>
      </c>
      <c r="F923" s="6">
        <v>1740455</v>
      </c>
      <c r="G923" s="6">
        <v>16232</v>
      </c>
      <c r="H923" s="6">
        <v>148633</v>
      </c>
      <c r="I923" s="6">
        <v>224229</v>
      </c>
      <c r="J923" s="6">
        <v>1932779</v>
      </c>
      <c r="K923" s="6">
        <v>280</v>
      </c>
      <c r="L923" s="6">
        <v>114000</v>
      </c>
      <c r="M923" s="6">
        <v>10586</v>
      </c>
      <c r="N923" s="6">
        <v>31936</v>
      </c>
      <c r="O923" s="6">
        <v>6825</v>
      </c>
      <c r="P923" s="6">
        <v>0</v>
      </c>
      <c r="Q923" s="6">
        <v>38761</v>
      </c>
    </row>
    <row r="924" spans="1:17" x14ac:dyDescent="0.35">
      <c r="A924" s="1">
        <v>44034</v>
      </c>
      <c r="B924" s="6">
        <v>6925994</v>
      </c>
      <c r="C924" s="6">
        <v>4650895</v>
      </c>
      <c r="D924" s="6">
        <v>0</v>
      </c>
      <c r="E924" s="6">
        <v>2659658</v>
      </c>
      <c r="F924" s="6">
        <v>1777180</v>
      </c>
      <c r="G924" s="6">
        <v>16224</v>
      </c>
      <c r="H924" s="6">
        <v>197833</v>
      </c>
      <c r="I924" s="6">
        <v>214665</v>
      </c>
      <c r="J924" s="6">
        <v>1937015</v>
      </c>
      <c r="K924" s="6">
        <v>307</v>
      </c>
      <c r="L924" s="6">
        <v>114000</v>
      </c>
      <c r="M924" s="6">
        <v>9113</v>
      </c>
      <c r="N924" s="6">
        <v>31936</v>
      </c>
      <c r="O924" s="6">
        <v>6825</v>
      </c>
      <c r="P924" s="6">
        <v>0</v>
      </c>
      <c r="Q924" s="6">
        <v>38761</v>
      </c>
    </row>
    <row r="925" spans="1:17" x14ac:dyDescent="0.35">
      <c r="A925" s="1">
        <v>44041</v>
      </c>
      <c r="B925" s="6">
        <v>6910241</v>
      </c>
      <c r="C925" s="6">
        <v>4626079</v>
      </c>
      <c r="D925" s="6">
        <v>0</v>
      </c>
      <c r="E925" s="6">
        <v>2685376</v>
      </c>
      <c r="F925" s="6">
        <v>1792434</v>
      </c>
      <c r="G925" s="6">
        <v>16224</v>
      </c>
      <c r="H925" s="6">
        <v>132045</v>
      </c>
      <c r="I925" s="6">
        <v>217053</v>
      </c>
      <c r="J925" s="6">
        <v>1943979</v>
      </c>
      <c r="K925" s="6">
        <v>989</v>
      </c>
      <c r="L925" s="6">
        <v>114000</v>
      </c>
      <c r="M925" s="6">
        <v>8141</v>
      </c>
      <c r="N925" s="6">
        <v>31966</v>
      </c>
      <c r="O925" s="6">
        <v>6825</v>
      </c>
      <c r="P925" s="6">
        <v>0</v>
      </c>
      <c r="Q925" s="6">
        <v>38791</v>
      </c>
    </row>
    <row r="926" spans="1:17" x14ac:dyDescent="0.35">
      <c r="A926" s="1">
        <v>44048</v>
      </c>
      <c r="B926" s="6">
        <v>6906362</v>
      </c>
      <c r="C926" s="6">
        <v>4617681</v>
      </c>
      <c r="D926" s="6">
        <v>0</v>
      </c>
      <c r="E926" s="6">
        <v>2753531</v>
      </c>
      <c r="F926" s="6">
        <v>1706637</v>
      </c>
      <c r="G926" s="6">
        <v>16228</v>
      </c>
      <c r="H926" s="6">
        <v>141284</v>
      </c>
      <c r="I926" s="6">
        <v>212448</v>
      </c>
      <c r="J926" s="6">
        <v>1951995</v>
      </c>
      <c r="K926" s="6">
        <v>292</v>
      </c>
      <c r="L926" s="6">
        <v>114000</v>
      </c>
      <c r="M926" s="6">
        <v>9946</v>
      </c>
      <c r="N926" s="6">
        <v>32051</v>
      </c>
      <c r="O926" s="6">
        <v>6825</v>
      </c>
      <c r="P926" s="6">
        <v>0</v>
      </c>
      <c r="Q926" s="6">
        <v>38876</v>
      </c>
    </row>
    <row r="927" spans="1:17" x14ac:dyDescent="0.35">
      <c r="A927" s="1">
        <v>44055</v>
      </c>
      <c r="B927" s="6">
        <v>6918391</v>
      </c>
      <c r="C927" s="6">
        <v>4618027</v>
      </c>
      <c r="D927" s="6">
        <v>0</v>
      </c>
      <c r="E927" s="6">
        <v>2828170</v>
      </c>
      <c r="F927" s="6">
        <v>1635143</v>
      </c>
      <c r="G927" s="6">
        <v>16222</v>
      </c>
      <c r="H927" s="6">
        <v>138492</v>
      </c>
      <c r="I927" s="6">
        <v>218346</v>
      </c>
      <c r="J927" s="6">
        <v>1957384</v>
      </c>
      <c r="K927" s="6">
        <v>334</v>
      </c>
      <c r="L927" s="6">
        <v>114000</v>
      </c>
      <c r="M927" s="6">
        <v>10299</v>
      </c>
      <c r="N927" s="6">
        <v>32062</v>
      </c>
      <c r="O927" s="6">
        <v>6825</v>
      </c>
      <c r="P927" s="6">
        <v>0</v>
      </c>
      <c r="Q927" s="6">
        <v>38887</v>
      </c>
    </row>
    <row r="928" spans="1:17" x14ac:dyDescent="0.35">
      <c r="A928" s="1">
        <v>44062</v>
      </c>
      <c r="B928" s="6">
        <v>6971760</v>
      </c>
      <c r="C928" s="6">
        <v>4676159</v>
      </c>
      <c r="D928" s="6">
        <v>0</v>
      </c>
      <c r="E928" s="6">
        <v>2821853</v>
      </c>
      <c r="F928" s="6">
        <v>1636393</v>
      </c>
      <c r="G928" s="6">
        <v>16610</v>
      </c>
      <c r="H928" s="6">
        <v>201304</v>
      </c>
      <c r="I928" s="6">
        <v>211342</v>
      </c>
      <c r="J928" s="6">
        <v>1960808</v>
      </c>
      <c r="K928" s="6">
        <v>291</v>
      </c>
      <c r="L928" s="6">
        <v>114000</v>
      </c>
      <c r="M928" s="6">
        <v>9160</v>
      </c>
      <c r="N928" s="6">
        <v>32052</v>
      </c>
      <c r="O928" s="6">
        <v>6825</v>
      </c>
      <c r="P928" s="6">
        <v>0</v>
      </c>
      <c r="Q928" s="6">
        <v>38877</v>
      </c>
    </row>
    <row r="929" spans="1:17" x14ac:dyDescent="0.35">
      <c r="A929" s="1">
        <v>44069</v>
      </c>
      <c r="B929" s="6">
        <v>6951487</v>
      </c>
      <c r="C929" s="6">
        <v>4652207</v>
      </c>
      <c r="D929" s="6">
        <v>0</v>
      </c>
      <c r="E929" s="6">
        <v>2875400</v>
      </c>
      <c r="F929" s="6">
        <v>1607449</v>
      </c>
      <c r="G929" s="6">
        <v>16614</v>
      </c>
      <c r="H929" s="6">
        <v>152743</v>
      </c>
      <c r="I929" s="6">
        <v>213075</v>
      </c>
      <c r="J929" s="6">
        <v>1965113</v>
      </c>
      <c r="K929" s="6">
        <v>371</v>
      </c>
      <c r="L929" s="6">
        <v>114000</v>
      </c>
      <c r="M929" s="6">
        <v>6722</v>
      </c>
      <c r="N929" s="6">
        <v>32106</v>
      </c>
      <c r="O929" s="6">
        <v>6825</v>
      </c>
      <c r="P929" s="6">
        <v>0</v>
      </c>
      <c r="Q929" s="6">
        <v>38931</v>
      </c>
    </row>
    <row r="930" spans="1:17" x14ac:dyDescent="0.35">
      <c r="A930" s="1">
        <v>44076</v>
      </c>
      <c r="B930" s="6">
        <v>6978411</v>
      </c>
      <c r="C930" s="6">
        <v>4668116</v>
      </c>
      <c r="D930" s="6">
        <v>0</v>
      </c>
      <c r="E930" s="6">
        <v>2850600</v>
      </c>
      <c r="F930" s="6">
        <v>1651823</v>
      </c>
      <c r="G930" s="6">
        <v>16619</v>
      </c>
      <c r="H930" s="6">
        <v>149074</v>
      </c>
      <c r="I930" s="6">
        <v>212664</v>
      </c>
      <c r="J930" s="6">
        <v>1972952</v>
      </c>
      <c r="K930" s="6">
        <v>860</v>
      </c>
      <c r="L930" s="6">
        <v>114000</v>
      </c>
      <c r="M930" s="6">
        <v>9820</v>
      </c>
      <c r="N930" s="6">
        <v>32256</v>
      </c>
      <c r="O930" s="6">
        <v>6825</v>
      </c>
      <c r="P930" s="6">
        <v>0</v>
      </c>
      <c r="Q930" s="6">
        <v>39081</v>
      </c>
    </row>
    <row r="931" spans="1:17" x14ac:dyDescent="0.35">
      <c r="A931" s="1">
        <v>44083</v>
      </c>
      <c r="B931" s="6">
        <v>6971522</v>
      </c>
      <c r="C931" s="6">
        <v>4661235</v>
      </c>
      <c r="D931" s="6">
        <v>0</v>
      </c>
      <c r="E931" s="6">
        <v>2906854</v>
      </c>
      <c r="F931" s="6">
        <v>1570533</v>
      </c>
      <c r="G931" s="6">
        <v>16774</v>
      </c>
      <c r="H931" s="6">
        <v>167073</v>
      </c>
      <c r="I931" s="6">
        <v>203965</v>
      </c>
      <c r="J931" s="6">
        <v>1981271</v>
      </c>
      <c r="K931" s="6">
        <v>336</v>
      </c>
      <c r="L931" s="6">
        <v>114000</v>
      </c>
      <c r="M931" s="6">
        <v>10715</v>
      </c>
      <c r="N931" s="6">
        <v>32267</v>
      </c>
      <c r="O931" s="6">
        <v>6825</v>
      </c>
      <c r="P931" s="6">
        <v>0</v>
      </c>
      <c r="Q931" s="6">
        <v>39092</v>
      </c>
    </row>
    <row r="932" spans="1:17" x14ac:dyDescent="0.35">
      <c r="A932" s="1">
        <v>44090</v>
      </c>
      <c r="B932" s="6">
        <v>7025375</v>
      </c>
      <c r="C932" s="6">
        <v>4723233</v>
      </c>
      <c r="D932" s="6">
        <v>0</v>
      </c>
      <c r="E932" s="6">
        <v>2869311</v>
      </c>
      <c r="F932" s="6">
        <v>1692809</v>
      </c>
      <c r="G932" s="6">
        <v>18866</v>
      </c>
      <c r="H932" s="6">
        <v>142247</v>
      </c>
      <c r="I932" s="6">
        <v>198482</v>
      </c>
      <c r="J932" s="6">
        <v>1980305</v>
      </c>
      <c r="K932" s="6">
        <v>274</v>
      </c>
      <c r="L932" s="6">
        <v>114000</v>
      </c>
      <c r="M932" s="6">
        <v>9081</v>
      </c>
      <c r="N932" s="6">
        <v>32275</v>
      </c>
      <c r="O932" s="6">
        <v>6825</v>
      </c>
      <c r="P932" s="6">
        <v>0</v>
      </c>
      <c r="Q932" s="6">
        <v>39100</v>
      </c>
    </row>
    <row r="933" spans="1:17" x14ac:dyDescent="0.35">
      <c r="A933" s="1">
        <v>44097</v>
      </c>
      <c r="B933" s="6">
        <v>7054053</v>
      </c>
      <c r="C933" s="6">
        <v>4746445</v>
      </c>
      <c r="D933" s="6">
        <v>0</v>
      </c>
      <c r="E933" s="6">
        <v>2848085</v>
      </c>
      <c r="F933" s="6">
        <v>1661732</v>
      </c>
      <c r="G933" s="6">
        <v>18871</v>
      </c>
      <c r="H933" s="6">
        <v>217757</v>
      </c>
      <c r="I933" s="6">
        <v>204352</v>
      </c>
      <c r="J933" s="6">
        <v>1980207</v>
      </c>
      <c r="K933" s="6">
        <v>505</v>
      </c>
      <c r="L933" s="6">
        <v>114000</v>
      </c>
      <c r="M933" s="6">
        <v>8543</v>
      </c>
      <c r="N933" s="6">
        <v>32283</v>
      </c>
      <c r="O933" s="6">
        <v>6825</v>
      </c>
      <c r="P933" s="6">
        <v>0</v>
      </c>
      <c r="Q933" s="6">
        <v>39108</v>
      </c>
    </row>
    <row r="934" spans="1:17" x14ac:dyDescent="0.35">
      <c r="A934" s="1">
        <v>44104</v>
      </c>
      <c r="B934" s="6">
        <v>7016912</v>
      </c>
      <c r="C934" s="6">
        <v>4704319</v>
      </c>
      <c r="D934" s="6">
        <v>0</v>
      </c>
      <c r="E934" s="6">
        <v>2743246</v>
      </c>
      <c r="F934" s="6">
        <v>1781679</v>
      </c>
      <c r="G934" s="6">
        <v>18916</v>
      </c>
      <c r="H934" s="6">
        <v>160477</v>
      </c>
      <c r="I934" s="6">
        <v>205233</v>
      </c>
      <c r="J934" s="6">
        <v>1983630</v>
      </c>
      <c r="K934" s="6">
        <v>1402</v>
      </c>
      <c r="L934" s="6">
        <v>114000</v>
      </c>
      <c r="M934" s="6">
        <v>8328</v>
      </c>
      <c r="N934" s="6">
        <v>32392</v>
      </c>
      <c r="O934" s="6">
        <v>6825</v>
      </c>
      <c r="P934" s="6">
        <v>0</v>
      </c>
      <c r="Q934" s="6">
        <v>39217</v>
      </c>
    </row>
    <row r="935" spans="1:17" x14ac:dyDescent="0.35">
      <c r="A935" s="1">
        <v>44111</v>
      </c>
      <c r="B935" s="6">
        <v>7035431</v>
      </c>
      <c r="C935" s="6">
        <v>4732727</v>
      </c>
      <c r="D935" s="6">
        <v>0</v>
      </c>
      <c r="E935" s="6">
        <v>2863357</v>
      </c>
      <c r="F935" s="6">
        <v>1687434</v>
      </c>
      <c r="G935" s="6">
        <v>18897</v>
      </c>
      <c r="H935" s="6">
        <v>163039</v>
      </c>
      <c r="I935" s="6">
        <v>188543</v>
      </c>
      <c r="J935" s="6">
        <v>1989441</v>
      </c>
      <c r="K935" s="6">
        <v>465</v>
      </c>
      <c r="L935" s="6">
        <v>114000</v>
      </c>
      <c r="M935" s="6">
        <v>10254</v>
      </c>
      <c r="N935" s="6">
        <v>32394</v>
      </c>
      <c r="O935" s="6">
        <v>6825</v>
      </c>
      <c r="P935" s="6">
        <v>0</v>
      </c>
      <c r="Q935" s="6">
        <v>39219</v>
      </c>
    </row>
    <row r="936" spans="1:17" x14ac:dyDescent="0.35">
      <c r="A936" s="1">
        <v>44118</v>
      </c>
      <c r="B936" s="6">
        <v>7112204</v>
      </c>
      <c r="C936" s="6">
        <v>4791441</v>
      </c>
      <c r="D936" s="6">
        <v>0</v>
      </c>
      <c r="E936" s="6">
        <v>2907734</v>
      </c>
      <c r="F936" s="6">
        <v>1647937</v>
      </c>
      <c r="G936" s="6">
        <v>18902</v>
      </c>
      <c r="H936" s="6">
        <v>216868</v>
      </c>
      <c r="I936" s="6">
        <v>195828</v>
      </c>
      <c r="J936" s="6">
        <v>1993852</v>
      </c>
      <c r="K936" s="6">
        <v>603</v>
      </c>
      <c r="L936" s="6">
        <v>114000</v>
      </c>
      <c r="M936" s="6">
        <v>16479</v>
      </c>
      <c r="N936" s="6">
        <v>32397</v>
      </c>
      <c r="O936" s="6">
        <v>6825</v>
      </c>
      <c r="P936" s="6">
        <v>0</v>
      </c>
      <c r="Q936" s="6">
        <v>39222</v>
      </c>
    </row>
    <row r="937" spans="1:17" x14ac:dyDescent="0.35">
      <c r="A937" s="1">
        <v>44125</v>
      </c>
      <c r="B937" s="6">
        <v>7138042</v>
      </c>
      <c r="C937" s="6">
        <v>4831715</v>
      </c>
      <c r="D937" s="6">
        <v>0</v>
      </c>
      <c r="E937" s="6">
        <v>2890130</v>
      </c>
      <c r="F937" s="6">
        <v>1699497</v>
      </c>
      <c r="G937" s="6">
        <v>21247</v>
      </c>
      <c r="H937" s="6">
        <v>220841</v>
      </c>
      <c r="I937" s="6">
        <v>187435</v>
      </c>
      <c r="J937" s="6">
        <v>1993797</v>
      </c>
      <c r="K937" s="6">
        <v>373</v>
      </c>
      <c r="L937" s="6">
        <v>114000</v>
      </c>
      <c r="M937" s="6">
        <v>10722</v>
      </c>
      <c r="N937" s="6">
        <v>32398</v>
      </c>
      <c r="O937" s="6">
        <v>6825</v>
      </c>
      <c r="P937" s="6">
        <v>0</v>
      </c>
      <c r="Q937" s="6">
        <v>39223</v>
      </c>
    </row>
    <row r="938" spans="1:17" x14ac:dyDescent="0.35">
      <c r="A938" s="1">
        <v>44132</v>
      </c>
      <c r="B938" s="6">
        <v>7107082</v>
      </c>
      <c r="C938" s="6">
        <v>4786104</v>
      </c>
      <c r="D938" s="6">
        <v>0</v>
      </c>
      <c r="E938" s="6">
        <v>2947256</v>
      </c>
      <c r="F938" s="6">
        <v>1653039</v>
      </c>
      <c r="G938" s="6">
        <v>21251</v>
      </c>
      <c r="H938" s="6">
        <v>164558</v>
      </c>
      <c r="I938" s="6">
        <v>201893</v>
      </c>
      <c r="J938" s="6">
        <v>1996047</v>
      </c>
      <c r="K938" s="6">
        <v>816</v>
      </c>
      <c r="L938" s="6">
        <v>114000</v>
      </c>
      <c r="M938" s="6">
        <v>8222</v>
      </c>
      <c r="N938" s="6">
        <v>32399</v>
      </c>
      <c r="O938" s="6">
        <v>6825</v>
      </c>
      <c r="P938" s="6">
        <v>0</v>
      </c>
      <c r="Q938" s="6">
        <v>39224</v>
      </c>
    </row>
    <row r="939" spans="1:17" x14ac:dyDescent="0.35">
      <c r="A939" s="1">
        <v>44139</v>
      </c>
      <c r="B939" s="6">
        <v>7118258</v>
      </c>
      <c r="C939" s="6">
        <v>4799036</v>
      </c>
      <c r="D939" s="6">
        <v>0</v>
      </c>
      <c r="E939" s="6">
        <v>2979537</v>
      </c>
      <c r="F939" s="6">
        <v>1618568</v>
      </c>
      <c r="G939" s="6">
        <v>21264</v>
      </c>
      <c r="H939" s="6">
        <v>179666</v>
      </c>
      <c r="I939" s="6">
        <v>193037</v>
      </c>
      <c r="J939" s="6">
        <v>2001134</v>
      </c>
      <c r="K939" s="6">
        <v>155</v>
      </c>
      <c r="L939" s="6">
        <v>114000</v>
      </c>
      <c r="M939" s="6">
        <v>10895</v>
      </c>
      <c r="N939" s="6">
        <v>32396</v>
      </c>
      <c r="O939" s="6">
        <v>6825</v>
      </c>
      <c r="P939" s="6">
        <v>0</v>
      </c>
      <c r="Q939" s="6">
        <v>39221</v>
      </c>
    </row>
    <row r="940" spans="1:17" x14ac:dyDescent="0.35">
      <c r="A940" s="1">
        <v>44146</v>
      </c>
      <c r="B940" s="6">
        <v>7136194</v>
      </c>
      <c r="C940" s="6">
        <v>4803757</v>
      </c>
      <c r="D940" s="6">
        <v>0</v>
      </c>
      <c r="E940" s="6">
        <v>2992099</v>
      </c>
      <c r="F940" s="6">
        <v>1570768</v>
      </c>
      <c r="G940" s="6">
        <v>21267</v>
      </c>
      <c r="H940" s="6">
        <v>219623</v>
      </c>
      <c r="I940" s="6">
        <v>195811</v>
      </c>
      <c r="J940" s="6">
        <v>2009168</v>
      </c>
      <c r="K940" s="6">
        <v>206</v>
      </c>
      <c r="L940" s="6">
        <v>114000</v>
      </c>
      <c r="M940" s="6">
        <v>13253</v>
      </c>
      <c r="N940" s="6">
        <v>32398</v>
      </c>
      <c r="O940" s="6">
        <v>6825</v>
      </c>
      <c r="P940" s="6">
        <v>0</v>
      </c>
      <c r="Q940" s="6">
        <v>39223</v>
      </c>
    </row>
    <row r="941" spans="1:17" x14ac:dyDescent="0.35">
      <c r="A941" s="1">
        <v>44153</v>
      </c>
      <c r="B941" s="6">
        <v>7203855</v>
      </c>
      <c r="C941" s="6">
        <v>4877570</v>
      </c>
      <c r="D941" s="6">
        <v>0</v>
      </c>
      <c r="E941" s="6">
        <v>3033229</v>
      </c>
      <c r="F941" s="6">
        <v>1546924</v>
      </c>
      <c r="G941" s="6">
        <v>21274</v>
      </c>
      <c r="H941" s="6">
        <v>276143</v>
      </c>
      <c r="I941" s="6">
        <v>190237</v>
      </c>
      <c r="J941" s="6">
        <v>2011389</v>
      </c>
      <c r="K941" s="6">
        <v>133</v>
      </c>
      <c r="L941" s="6">
        <v>114000</v>
      </c>
      <c r="M941" s="6">
        <v>10527</v>
      </c>
      <c r="N941" s="6">
        <v>32400</v>
      </c>
      <c r="O941" s="6">
        <v>6825</v>
      </c>
      <c r="P941" s="6">
        <v>0</v>
      </c>
      <c r="Q941" s="6">
        <v>39225</v>
      </c>
    </row>
    <row r="942" spans="1:17" x14ac:dyDescent="0.35">
      <c r="A942" s="1">
        <v>44160</v>
      </c>
      <c r="B942" s="6">
        <v>7177256</v>
      </c>
      <c r="C942" s="6">
        <v>4837954</v>
      </c>
      <c r="D942" s="6">
        <v>0</v>
      </c>
      <c r="E942" s="6">
        <v>3143863</v>
      </c>
      <c r="F942" s="6">
        <v>1484036</v>
      </c>
      <c r="G942" s="6">
        <v>21274</v>
      </c>
      <c r="H942" s="6">
        <v>188781</v>
      </c>
      <c r="I942" s="6">
        <v>197904</v>
      </c>
      <c r="J942" s="6">
        <v>2017078</v>
      </c>
      <c r="K942" s="6">
        <v>320</v>
      </c>
      <c r="L942" s="6">
        <v>114000</v>
      </c>
      <c r="M942" s="6">
        <v>10000</v>
      </c>
      <c r="N942" s="6">
        <v>32400</v>
      </c>
      <c r="O942" s="6">
        <v>6825</v>
      </c>
      <c r="P942" s="6">
        <v>0</v>
      </c>
      <c r="Q942" s="6">
        <v>39225</v>
      </c>
    </row>
    <row r="943" spans="1:17" x14ac:dyDescent="0.35">
      <c r="A943" s="1">
        <v>44167</v>
      </c>
      <c r="B943" s="6">
        <v>7183187</v>
      </c>
      <c r="C943" s="6">
        <v>4852730</v>
      </c>
      <c r="D943" s="6">
        <v>0</v>
      </c>
      <c r="E943" s="6">
        <v>3101235</v>
      </c>
      <c r="F943" s="6">
        <v>1557239</v>
      </c>
      <c r="G943" s="6">
        <v>21288</v>
      </c>
      <c r="H943" s="6">
        <v>172967</v>
      </c>
      <c r="I943" s="6">
        <v>185537</v>
      </c>
      <c r="J943" s="6">
        <v>2018824</v>
      </c>
      <c r="K943" s="6">
        <v>658</v>
      </c>
      <c r="L943" s="6">
        <v>114000</v>
      </c>
      <c r="M943" s="6">
        <v>11438</v>
      </c>
      <c r="N943" s="6">
        <v>32403</v>
      </c>
      <c r="O943" s="6">
        <v>6825</v>
      </c>
      <c r="P943" s="6">
        <v>0</v>
      </c>
      <c r="Q943" s="6">
        <v>39228</v>
      </c>
    </row>
    <row r="944" spans="1:17" x14ac:dyDescent="0.35">
      <c r="A944" s="1">
        <v>44174</v>
      </c>
      <c r="B944" s="6">
        <v>7203428</v>
      </c>
      <c r="C944" s="6">
        <v>4866547</v>
      </c>
      <c r="D944" s="6">
        <v>0</v>
      </c>
      <c r="E944" s="6">
        <v>3147656</v>
      </c>
      <c r="F944" s="6">
        <v>1502361</v>
      </c>
      <c r="G944" s="6">
        <v>21823</v>
      </c>
      <c r="H944" s="6">
        <v>194708</v>
      </c>
      <c r="I944" s="6">
        <v>192257</v>
      </c>
      <c r="J944" s="6">
        <v>2017822</v>
      </c>
      <c r="K944" s="6">
        <v>173</v>
      </c>
      <c r="L944" s="6">
        <v>114000</v>
      </c>
      <c r="M944" s="6">
        <v>12630</v>
      </c>
      <c r="N944" s="6">
        <v>32404</v>
      </c>
      <c r="O944" s="6">
        <v>6825</v>
      </c>
      <c r="P944" s="6">
        <v>0</v>
      </c>
      <c r="Q944" s="6">
        <v>39229</v>
      </c>
    </row>
    <row r="945" spans="1:17" x14ac:dyDescent="0.35">
      <c r="A945" s="1">
        <v>44181</v>
      </c>
      <c r="B945" s="6">
        <v>7323353</v>
      </c>
      <c r="C945" s="6">
        <v>4982652</v>
      </c>
      <c r="D945" s="6">
        <v>0</v>
      </c>
      <c r="E945" s="6">
        <v>3168826</v>
      </c>
      <c r="F945" s="6">
        <v>1615873</v>
      </c>
      <c r="G945" s="6">
        <v>21825</v>
      </c>
      <c r="H945" s="6">
        <v>176128</v>
      </c>
      <c r="I945" s="6">
        <v>190860</v>
      </c>
      <c r="J945" s="6">
        <v>2019149</v>
      </c>
      <c r="K945" s="6">
        <v>184</v>
      </c>
      <c r="L945" s="6">
        <v>114000</v>
      </c>
      <c r="M945" s="6">
        <v>16508</v>
      </c>
      <c r="N945" s="6">
        <v>32414</v>
      </c>
      <c r="O945" s="6">
        <v>6825</v>
      </c>
      <c r="P945" s="6">
        <v>0</v>
      </c>
      <c r="Q945" s="6">
        <v>39239</v>
      </c>
    </row>
    <row r="946" spans="1:17" x14ac:dyDescent="0.35">
      <c r="A946" s="1">
        <v>44188</v>
      </c>
      <c r="B946" s="6">
        <v>7364800</v>
      </c>
      <c r="C946" s="6">
        <v>5013524</v>
      </c>
      <c r="D946" s="6">
        <v>0</v>
      </c>
      <c r="E946" s="6">
        <v>3177310</v>
      </c>
      <c r="F946" s="6">
        <v>1583308</v>
      </c>
      <c r="G946" s="6">
        <v>21826</v>
      </c>
      <c r="H946" s="6">
        <v>231079</v>
      </c>
      <c r="I946" s="6">
        <v>198524</v>
      </c>
      <c r="J946" s="6">
        <v>2028219</v>
      </c>
      <c r="K946" s="6">
        <v>263</v>
      </c>
      <c r="L946" s="6">
        <v>114000</v>
      </c>
      <c r="M946" s="6">
        <v>10269</v>
      </c>
      <c r="N946" s="6">
        <v>32414</v>
      </c>
      <c r="O946" s="6">
        <v>6825</v>
      </c>
      <c r="P946" s="6">
        <v>0</v>
      </c>
      <c r="Q946" s="6">
        <v>39239</v>
      </c>
    </row>
    <row r="947" spans="1:17" x14ac:dyDescent="0.35">
      <c r="A947" s="1">
        <v>44195</v>
      </c>
      <c r="B947" s="6">
        <v>7324150</v>
      </c>
      <c r="C947" s="6">
        <v>4951367</v>
      </c>
      <c r="D947" s="6">
        <v>0</v>
      </c>
      <c r="E947" s="6">
        <v>3142977</v>
      </c>
      <c r="F947" s="6">
        <v>1613514</v>
      </c>
      <c r="G947" s="6">
        <v>21831</v>
      </c>
      <c r="H947" s="6">
        <v>173045</v>
      </c>
      <c r="I947" s="6">
        <v>209763</v>
      </c>
      <c r="J947" s="6">
        <v>2037973</v>
      </c>
      <c r="K947" s="6">
        <v>843</v>
      </c>
      <c r="L947" s="6">
        <v>114000</v>
      </c>
      <c r="M947" s="6">
        <v>10203</v>
      </c>
      <c r="N947" s="6">
        <v>32376</v>
      </c>
      <c r="O947" s="6">
        <v>6825</v>
      </c>
      <c r="P947" s="6">
        <v>0</v>
      </c>
      <c r="Q947" s="6">
        <v>39201</v>
      </c>
    </row>
    <row r="948" spans="1:17" x14ac:dyDescent="0.35">
      <c r="A948" s="1">
        <v>44202</v>
      </c>
      <c r="B948" s="6">
        <v>7295604</v>
      </c>
      <c r="C948" s="6">
        <v>4961246</v>
      </c>
      <c r="D948" s="6">
        <v>0</v>
      </c>
      <c r="E948" s="6">
        <v>3163779</v>
      </c>
      <c r="F948" s="6">
        <v>1607396</v>
      </c>
      <c r="G948" s="6">
        <v>21839</v>
      </c>
      <c r="H948" s="6">
        <v>168232</v>
      </c>
      <c r="I948" s="6">
        <v>206335</v>
      </c>
      <c r="J948" s="6">
        <v>2043442</v>
      </c>
      <c r="K948" s="6">
        <v>177</v>
      </c>
      <c r="L948" s="6">
        <v>72706</v>
      </c>
      <c r="M948" s="6">
        <v>11699</v>
      </c>
      <c r="N948" s="6">
        <v>32380</v>
      </c>
      <c r="O948" s="6">
        <v>6825</v>
      </c>
      <c r="P948" s="6">
        <v>0</v>
      </c>
      <c r="Q948" s="6">
        <v>39205</v>
      </c>
    </row>
    <row r="949" spans="1:17" x14ac:dyDescent="0.35">
      <c r="A949" s="1">
        <v>44209</v>
      </c>
      <c r="B949" s="6">
        <v>7294763</v>
      </c>
      <c r="C949" s="6">
        <v>4974486</v>
      </c>
      <c r="D949" s="6">
        <v>0</v>
      </c>
      <c r="E949" s="6">
        <v>3200869</v>
      </c>
      <c r="F949" s="6">
        <v>1575875</v>
      </c>
      <c r="G949" s="6">
        <v>21842</v>
      </c>
      <c r="H949" s="6">
        <v>175900</v>
      </c>
      <c r="I949" s="6">
        <v>214173</v>
      </c>
      <c r="J949" s="6">
        <v>2043387</v>
      </c>
      <c r="K949" s="6">
        <v>187</v>
      </c>
      <c r="L949" s="6">
        <v>51778</v>
      </c>
      <c r="M949" s="6">
        <v>10752</v>
      </c>
      <c r="N949" s="6">
        <v>32380</v>
      </c>
      <c r="O949" s="6">
        <v>6825</v>
      </c>
      <c r="P949" s="6">
        <v>0</v>
      </c>
      <c r="Q949" s="6">
        <v>39205</v>
      </c>
    </row>
    <row r="950" spans="1:17" x14ac:dyDescent="0.35">
      <c r="A950" s="1">
        <v>44216</v>
      </c>
      <c r="B950" s="6">
        <v>7375737</v>
      </c>
      <c r="C950" s="6">
        <v>5059481</v>
      </c>
      <c r="D950" s="6">
        <v>0</v>
      </c>
      <c r="E950" s="6">
        <v>3149807</v>
      </c>
      <c r="F950" s="6">
        <v>1638331</v>
      </c>
      <c r="G950" s="6">
        <v>23467</v>
      </c>
      <c r="H950" s="6">
        <v>247875</v>
      </c>
      <c r="I950" s="6">
        <v>206632</v>
      </c>
      <c r="J950" s="6">
        <v>2048650</v>
      </c>
      <c r="K950" s="6">
        <v>188</v>
      </c>
      <c r="L950" s="6">
        <v>51778</v>
      </c>
      <c r="M950" s="6">
        <v>9007</v>
      </c>
      <c r="N950" s="6">
        <v>32380</v>
      </c>
      <c r="O950" s="6">
        <v>6825</v>
      </c>
      <c r="P950" s="6">
        <v>0</v>
      </c>
      <c r="Q950" s="6">
        <v>39205</v>
      </c>
    </row>
    <row r="951" spans="1:17" x14ac:dyDescent="0.35">
      <c r="A951" s="1">
        <v>44223</v>
      </c>
      <c r="B951" s="6">
        <v>7365721</v>
      </c>
      <c r="C951" s="6">
        <v>5045187</v>
      </c>
      <c r="D951" s="6">
        <v>0</v>
      </c>
      <c r="E951" s="6">
        <v>3228751</v>
      </c>
      <c r="F951" s="6">
        <v>1613377</v>
      </c>
      <c r="G951" s="6">
        <v>21836</v>
      </c>
      <c r="H951" s="6">
        <v>181223</v>
      </c>
      <c r="I951" s="6">
        <v>210578</v>
      </c>
      <c r="J951" s="6">
        <v>2048517</v>
      </c>
      <c r="K951" s="6">
        <v>619</v>
      </c>
      <c r="L951" s="6">
        <v>51778</v>
      </c>
      <c r="M951" s="6">
        <v>9042</v>
      </c>
      <c r="N951" s="6">
        <v>32380</v>
      </c>
      <c r="O951" s="6">
        <v>6825</v>
      </c>
      <c r="P951" s="6">
        <v>0</v>
      </c>
      <c r="Q951" s="6">
        <v>39205</v>
      </c>
    </row>
    <row r="952" spans="1:17" x14ac:dyDescent="0.35">
      <c r="A952" s="1">
        <v>44230</v>
      </c>
      <c r="B952" s="6">
        <v>7371395</v>
      </c>
      <c r="C952" s="6">
        <v>5049194</v>
      </c>
      <c r="D952" s="6">
        <v>0</v>
      </c>
      <c r="E952" s="6">
        <v>3202722</v>
      </c>
      <c r="F952" s="6">
        <v>1629729</v>
      </c>
      <c r="G952" s="6">
        <v>21854</v>
      </c>
      <c r="H952" s="6">
        <v>194889</v>
      </c>
      <c r="I952" s="6">
        <v>208933</v>
      </c>
      <c r="J952" s="6">
        <v>2050306</v>
      </c>
      <c r="K952" s="6">
        <v>138</v>
      </c>
      <c r="L952" s="6">
        <v>51778</v>
      </c>
      <c r="M952" s="6">
        <v>11045</v>
      </c>
      <c r="N952" s="6">
        <v>32378</v>
      </c>
      <c r="O952" s="6">
        <v>6825</v>
      </c>
      <c r="P952" s="6">
        <v>0</v>
      </c>
      <c r="Q952" s="6">
        <v>39203</v>
      </c>
    </row>
    <row r="953" spans="1:17" x14ac:dyDescent="0.35">
      <c r="A953" s="1">
        <v>44237</v>
      </c>
      <c r="B953" s="6">
        <v>7403043</v>
      </c>
      <c r="C953" s="6">
        <v>5073751</v>
      </c>
      <c r="D953" s="6">
        <v>0</v>
      </c>
      <c r="E953" s="6">
        <v>3298639</v>
      </c>
      <c r="F953" s="6">
        <v>1576744</v>
      </c>
      <c r="G953" s="6">
        <v>22121</v>
      </c>
      <c r="H953" s="6">
        <v>176248</v>
      </c>
      <c r="I953" s="6">
        <v>212031</v>
      </c>
      <c r="J953" s="6">
        <v>2051775</v>
      </c>
      <c r="K953" s="6">
        <v>171</v>
      </c>
      <c r="L953" s="6">
        <v>51778</v>
      </c>
      <c r="M953" s="6">
        <v>13536</v>
      </c>
      <c r="N953" s="6">
        <v>32396</v>
      </c>
      <c r="O953" s="6">
        <v>6785</v>
      </c>
      <c r="P953" s="6">
        <v>0</v>
      </c>
      <c r="Q953" s="6">
        <v>39181</v>
      </c>
    </row>
    <row r="954" spans="1:17" x14ac:dyDescent="0.35">
      <c r="A954" s="1">
        <v>44244</v>
      </c>
      <c r="B954" s="6">
        <v>7518205</v>
      </c>
      <c r="C954" s="6">
        <v>5201005</v>
      </c>
      <c r="D954" s="6">
        <v>0</v>
      </c>
      <c r="E954" s="6">
        <v>3407871</v>
      </c>
      <c r="F954" s="6">
        <v>1568893</v>
      </c>
      <c r="G954" s="6">
        <v>23052</v>
      </c>
      <c r="H954" s="6">
        <v>201188</v>
      </c>
      <c r="I954" s="6">
        <v>201719</v>
      </c>
      <c r="J954" s="6">
        <v>2053339</v>
      </c>
      <c r="K954" s="6">
        <v>181</v>
      </c>
      <c r="L954" s="6">
        <v>51778</v>
      </c>
      <c r="M954" s="6">
        <v>10182</v>
      </c>
      <c r="N954" s="6">
        <v>32412</v>
      </c>
      <c r="O954" s="6">
        <v>6785</v>
      </c>
      <c r="P954" s="6">
        <v>0</v>
      </c>
      <c r="Q954" s="6">
        <v>39197</v>
      </c>
    </row>
    <row r="955" spans="1:17" x14ac:dyDescent="0.35">
      <c r="A955" s="1">
        <v>44251</v>
      </c>
      <c r="B955" s="6">
        <v>7550917</v>
      </c>
      <c r="C955" s="6">
        <v>5233359</v>
      </c>
      <c r="D955" s="6">
        <v>0</v>
      </c>
      <c r="E955" s="6">
        <v>3384262</v>
      </c>
      <c r="F955" s="6">
        <v>1439646</v>
      </c>
      <c r="G955" s="6">
        <v>22393</v>
      </c>
      <c r="H955" s="6">
        <v>387057</v>
      </c>
      <c r="I955" s="6">
        <v>205373</v>
      </c>
      <c r="J955" s="6">
        <v>2053711</v>
      </c>
      <c r="K955" s="6">
        <v>186</v>
      </c>
      <c r="L955" s="6">
        <v>51778</v>
      </c>
      <c r="M955" s="6">
        <v>6509</v>
      </c>
      <c r="N955" s="6">
        <v>32410</v>
      </c>
      <c r="O955" s="6">
        <v>6785</v>
      </c>
      <c r="P955" s="6">
        <v>0</v>
      </c>
      <c r="Q955" s="6">
        <v>39195</v>
      </c>
    </row>
    <row r="956" spans="1:17" x14ac:dyDescent="0.35">
      <c r="A956" s="1">
        <v>44258</v>
      </c>
      <c r="B956" s="6">
        <v>7518323</v>
      </c>
      <c r="C956" s="6">
        <v>5201560</v>
      </c>
      <c r="D956" s="6">
        <v>0</v>
      </c>
      <c r="E956" s="6">
        <v>3564850</v>
      </c>
      <c r="F956" s="6">
        <v>1420238</v>
      </c>
      <c r="G956" s="6">
        <v>21873</v>
      </c>
      <c r="H956" s="6">
        <v>194600</v>
      </c>
      <c r="I956" s="6">
        <v>203339</v>
      </c>
      <c r="J956" s="6">
        <v>2054415</v>
      </c>
      <c r="K956" s="6">
        <v>358</v>
      </c>
      <c r="L956" s="6">
        <v>51778</v>
      </c>
      <c r="M956" s="6">
        <v>6872</v>
      </c>
      <c r="N956" s="6">
        <v>32416</v>
      </c>
      <c r="O956" s="6">
        <v>6785</v>
      </c>
      <c r="P956" s="6">
        <v>0</v>
      </c>
      <c r="Q956" s="6">
        <v>39201</v>
      </c>
    </row>
    <row r="957" spans="1:17" x14ac:dyDescent="0.35">
      <c r="A957" s="1">
        <v>44265</v>
      </c>
      <c r="B957" s="6">
        <v>7540693</v>
      </c>
      <c r="C957" s="6">
        <v>5229161</v>
      </c>
      <c r="D957" s="6">
        <v>0</v>
      </c>
      <c r="E957" s="6">
        <v>3646732</v>
      </c>
      <c r="F957" s="6">
        <v>1310273</v>
      </c>
      <c r="G957" s="6">
        <v>23474</v>
      </c>
      <c r="H957" s="6">
        <v>248682</v>
      </c>
      <c r="I957" s="6">
        <v>193750</v>
      </c>
      <c r="J957" s="6">
        <v>2057619</v>
      </c>
      <c r="K957" s="6">
        <v>174</v>
      </c>
      <c r="L957" s="6">
        <v>51778</v>
      </c>
      <c r="M957" s="6">
        <v>8210</v>
      </c>
      <c r="N957" s="6">
        <v>32424</v>
      </c>
      <c r="O957" s="6">
        <v>6785</v>
      </c>
      <c r="P957" s="6">
        <v>0</v>
      </c>
      <c r="Q957" s="6">
        <v>39209</v>
      </c>
    </row>
    <row r="958" spans="1:17" x14ac:dyDescent="0.35">
      <c r="A958" s="1">
        <v>44272</v>
      </c>
      <c r="B958" s="6">
        <v>7654287</v>
      </c>
      <c r="C958" s="6">
        <v>5322496</v>
      </c>
      <c r="D958" s="6">
        <v>0</v>
      </c>
      <c r="E958" s="6">
        <v>3873323</v>
      </c>
      <c r="F958" s="6">
        <v>1089501</v>
      </c>
      <c r="G958" s="6">
        <v>30202</v>
      </c>
      <c r="H958" s="6">
        <v>329470</v>
      </c>
      <c r="I958" s="6">
        <v>205516</v>
      </c>
      <c r="J958" s="6">
        <v>2065369</v>
      </c>
      <c r="K958" s="6">
        <v>142</v>
      </c>
      <c r="L958" s="6">
        <v>51778</v>
      </c>
      <c r="M958" s="6">
        <v>8985</v>
      </c>
      <c r="N958" s="6">
        <v>32434</v>
      </c>
      <c r="O958" s="6">
        <v>6785</v>
      </c>
      <c r="P958" s="6">
        <v>0</v>
      </c>
      <c r="Q958" s="6">
        <v>39219</v>
      </c>
    </row>
    <row r="959" spans="1:17" x14ac:dyDescent="0.35">
      <c r="A959" s="1">
        <v>44279</v>
      </c>
      <c r="B959" s="6">
        <v>7680400</v>
      </c>
      <c r="C959" s="6">
        <v>5302702</v>
      </c>
      <c r="D959" s="6">
        <v>0</v>
      </c>
      <c r="E959" s="6">
        <v>3809139</v>
      </c>
      <c r="F959" s="6">
        <v>1031908</v>
      </c>
      <c r="G959" s="6">
        <v>30598</v>
      </c>
      <c r="H959" s="6">
        <v>431056</v>
      </c>
      <c r="I959" s="6">
        <v>234444</v>
      </c>
      <c r="J959" s="6">
        <v>2082985</v>
      </c>
      <c r="K959" s="6">
        <v>236</v>
      </c>
      <c r="L959" s="6">
        <v>51778</v>
      </c>
      <c r="M959" s="6">
        <v>8255</v>
      </c>
      <c r="N959" s="6">
        <v>32437</v>
      </c>
      <c r="O959" s="6">
        <v>6785</v>
      </c>
      <c r="P959" s="6">
        <v>0</v>
      </c>
      <c r="Q959" s="6">
        <v>39222</v>
      </c>
    </row>
    <row r="960" spans="1:17" x14ac:dyDescent="0.35">
      <c r="A960" s="1">
        <v>44286</v>
      </c>
      <c r="B960" s="6">
        <v>7649734</v>
      </c>
      <c r="C960" s="6">
        <v>5142984</v>
      </c>
      <c r="D960" s="6">
        <v>0</v>
      </c>
      <c r="E960" s="6">
        <v>3672702</v>
      </c>
      <c r="F960" s="6">
        <v>1121951</v>
      </c>
      <c r="G960" s="6">
        <v>33209</v>
      </c>
      <c r="H960" s="6">
        <v>315122</v>
      </c>
      <c r="I960" s="6">
        <v>352177</v>
      </c>
      <c r="J960" s="6">
        <v>2095105</v>
      </c>
      <c r="K960" s="6">
        <v>1107</v>
      </c>
      <c r="L960" s="6">
        <v>51778</v>
      </c>
      <c r="M960" s="6">
        <v>6583</v>
      </c>
      <c r="N960" s="6">
        <v>32469</v>
      </c>
      <c r="O960" s="6">
        <v>6785</v>
      </c>
      <c r="P960" s="6">
        <v>0</v>
      </c>
      <c r="Q960" s="6">
        <v>39254</v>
      </c>
    </row>
    <row r="961" spans="1:17" x14ac:dyDescent="0.35">
      <c r="A961" s="1">
        <v>44293</v>
      </c>
      <c r="B961" s="6">
        <v>7669616</v>
      </c>
      <c r="C961" s="6">
        <v>5234015</v>
      </c>
      <c r="D961" s="6">
        <v>0</v>
      </c>
      <c r="E961" s="6">
        <v>3944055</v>
      </c>
      <c r="F961" s="6">
        <v>954968</v>
      </c>
      <c r="G961" s="6">
        <v>32249</v>
      </c>
      <c r="H961" s="6">
        <v>302744</v>
      </c>
      <c r="I961" s="6">
        <v>272073</v>
      </c>
      <c r="J961" s="6">
        <v>2101194</v>
      </c>
      <c r="K961" s="6">
        <v>151</v>
      </c>
      <c r="L961" s="6">
        <v>51778</v>
      </c>
      <c r="M961" s="6">
        <v>10404</v>
      </c>
      <c r="N961" s="6">
        <v>32482</v>
      </c>
      <c r="O961" s="6">
        <v>6785</v>
      </c>
      <c r="P961" s="6">
        <v>0</v>
      </c>
      <c r="Q961" s="6">
        <v>39267</v>
      </c>
    </row>
    <row r="962" spans="1:17" x14ac:dyDescent="0.35">
      <c r="A962" s="1">
        <v>44300</v>
      </c>
      <c r="B962" s="6">
        <v>7753836</v>
      </c>
      <c r="C962" s="6">
        <v>5299502</v>
      </c>
      <c r="D962" s="6">
        <v>0</v>
      </c>
      <c r="E962" s="6">
        <v>3936454</v>
      </c>
      <c r="F962" s="6">
        <v>921685</v>
      </c>
      <c r="G962" s="6">
        <v>31075</v>
      </c>
      <c r="H962" s="6">
        <v>410288</v>
      </c>
      <c r="I962" s="6">
        <v>281853</v>
      </c>
      <c r="J962" s="6">
        <v>2107251</v>
      </c>
      <c r="K962" s="6">
        <v>274</v>
      </c>
      <c r="L962" s="6">
        <v>50278</v>
      </c>
      <c r="M962" s="6">
        <v>14678</v>
      </c>
      <c r="N962" s="6">
        <v>32482</v>
      </c>
      <c r="O962" s="6">
        <v>6785</v>
      </c>
      <c r="P962" s="6">
        <v>0</v>
      </c>
      <c r="Q962" s="6">
        <v>39267</v>
      </c>
    </row>
    <row r="963" spans="1:17" x14ac:dyDescent="0.35">
      <c r="A963" s="1">
        <v>44307</v>
      </c>
      <c r="B963" s="6">
        <v>7781679</v>
      </c>
      <c r="C963" s="6">
        <v>5305775</v>
      </c>
      <c r="D963" s="6">
        <v>0</v>
      </c>
      <c r="E963" s="6">
        <v>3767454</v>
      </c>
      <c r="F963" s="6">
        <v>1003443</v>
      </c>
      <c r="G963" s="6">
        <v>29864</v>
      </c>
      <c r="H963" s="6">
        <v>505013</v>
      </c>
      <c r="I963" s="6">
        <v>302790</v>
      </c>
      <c r="J963" s="6">
        <v>2111178</v>
      </c>
      <c r="K963" s="6">
        <v>163</v>
      </c>
      <c r="L963" s="6">
        <v>50278</v>
      </c>
      <c r="M963" s="6">
        <v>11495</v>
      </c>
      <c r="N963" s="6">
        <v>32484</v>
      </c>
      <c r="O963" s="6">
        <v>6785</v>
      </c>
      <c r="P963" s="6">
        <v>0</v>
      </c>
      <c r="Q963" s="6">
        <v>39269</v>
      </c>
    </row>
    <row r="964" spans="1:17" x14ac:dyDescent="0.35">
      <c r="A964" s="1">
        <v>44314</v>
      </c>
      <c r="B964" s="6">
        <v>7741693</v>
      </c>
      <c r="C964" s="6">
        <v>5184223</v>
      </c>
      <c r="D964" s="6">
        <v>0</v>
      </c>
      <c r="E964" s="6">
        <v>3889018</v>
      </c>
      <c r="F964" s="6">
        <v>932287</v>
      </c>
      <c r="G964" s="6">
        <v>29092</v>
      </c>
      <c r="H964" s="6">
        <v>333827</v>
      </c>
      <c r="I964" s="6">
        <v>382891</v>
      </c>
      <c r="J964" s="6">
        <v>2114276</v>
      </c>
      <c r="K964" s="6">
        <v>908</v>
      </c>
      <c r="L964" s="6">
        <v>50278</v>
      </c>
      <c r="M964" s="6">
        <v>9116</v>
      </c>
      <c r="N964" s="6">
        <v>32484</v>
      </c>
      <c r="O964" s="6">
        <v>6785</v>
      </c>
      <c r="P964" s="6">
        <v>0</v>
      </c>
      <c r="Q964" s="6">
        <v>39269</v>
      </c>
    </row>
    <row r="965" spans="1:17" x14ac:dyDescent="0.35">
      <c r="A965" s="1">
        <v>44321</v>
      </c>
      <c r="B965" s="6">
        <v>7771213</v>
      </c>
      <c r="C965" s="6">
        <v>5201990</v>
      </c>
      <c r="D965" s="6">
        <v>0</v>
      </c>
      <c r="E965" s="6">
        <v>3900803</v>
      </c>
      <c r="F965" s="6">
        <v>946134</v>
      </c>
      <c r="G965" s="6">
        <v>28087</v>
      </c>
      <c r="H965" s="6">
        <v>326966</v>
      </c>
      <c r="I965" s="6">
        <v>388304</v>
      </c>
      <c r="J965" s="6">
        <v>2118376</v>
      </c>
      <c r="K965" s="6">
        <v>166</v>
      </c>
      <c r="L965" s="6">
        <v>50278</v>
      </c>
      <c r="M965" s="6">
        <v>12100</v>
      </c>
      <c r="N965" s="6">
        <v>32488</v>
      </c>
      <c r="O965" s="6">
        <v>6785</v>
      </c>
      <c r="P965" s="6">
        <v>0</v>
      </c>
      <c r="Q965" s="6">
        <v>39273</v>
      </c>
    </row>
    <row r="966" spans="1:17" x14ac:dyDescent="0.35">
      <c r="A966" s="1">
        <v>44328</v>
      </c>
      <c r="B966" s="6">
        <v>7791272</v>
      </c>
      <c r="C966" s="6">
        <v>5178501</v>
      </c>
      <c r="D966" s="6">
        <v>0</v>
      </c>
      <c r="E966" s="6">
        <v>3955864</v>
      </c>
      <c r="F966" s="6">
        <v>864253</v>
      </c>
      <c r="G966" s="6">
        <v>28126</v>
      </c>
      <c r="H966" s="6">
        <v>330258</v>
      </c>
      <c r="I966" s="6">
        <v>428832</v>
      </c>
      <c r="J966" s="6">
        <v>2120094</v>
      </c>
      <c r="K966" s="6">
        <v>165</v>
      </c>
      <c r="L966" s="6">
        <v>50278</v>
      </c>
      <c r="M966" s="6">
        <v>13401</v>
      </c>
      <c r="N966" s="6">
        <v>32607</v>
      </c>
      <c r="O966" s="6">
        <v>6785</v>
      </c>
      <c r="P966" s="6">
        <v>0</v>
      </c>
      <c r="Q966" s="6">
        <v>39392</v>
      </c>
    </row>
    <row r="967" spans="1:17" x14ac:dyDescent="0.35">
      <c r="A967" s="1">
        <v>44335</v>
      </c>
      <c r="B967" s="6">
        <v>7883462</v>
      </c>
      <c r="C967" s="6">
        <v>5180180</v>
      </c>
      <c r="D967" s="6">
        <v>0</v>
      </c>
      <c r="E967" s="6">
        <v>3823981</v>
      </c>
      <c r="F967" s="6">
        <v>860833</v>
      </c>
      <c r="G967" s="6">
        <v>27750</v>
      </c>
      <c r="H967" s="6">
        <v>467616</v>
      </c>
      <c r="I967" s="6">
        <v>522156</v>
      </c>
      <c r="J967" s="6">
        <v>2119844</v>
      </c>
      <c r="K967" s="6">
        <v>161</v>
      </c>
      <c r="L967" s="6">
        <v>50278</v>
      </c>
      <c r="M967" s="6">
        <v>10842</v>
      </c>
      <c r="N967" s="6">
        <v>32637</v>
      </c>
      <c r="O967" s="6">
        <v>6785</v>
      </c>
      <c r="P967" s="6">
        <v>0</v>
      </c>
      <c r="Q967" s="6">
        <v>39422</v>
      </c>
    </row>
    <row r="968" spans="1:17" x14ac:dyDescent="0.35">
      <c r="A968" s="1">
        <v>44342</v>
      </c>
      <c r="B968" s="6">
        <v>7864034</v>
      </c>
      <c r="C968" s="6">
        <v>5010847</v>
      </c>
      <c r="D968" s="6">
        <v>0</v>
      </c>
      <c r="E968" s="6">
        <v>3851623</v>
      </c>
      <c r="F968" s="6">
        <v>778912</v>
      </c>
      <c r="G968" s="6">
        <v>27076</v>
      </c>
      <c r="H968" s="6">
        <v>353237</v>
      </c>
      <c r="I968" s="6">
        <v>670433</v>
      </c>
      <c r="J968" s="6">
        <v>2123575</v>
      </c>
      <c r="K968" s="6">
        <v>232</v>
      </c>
      <c r="L968" s="6">
        <v>50278</v>
      </c>
      <c r="M968" s="6">
        <v>8667</v>
      </c>
      <c r="N968" s="6">
        <v>32723</v>
      </c>
      <c r="O968" s="6">
        <v>6785</v>
      </c>
      <c r="P968" s="6">
        <v>0</v>
      </c>
      <c r="Q968" s="6">
        <v>39508</v>
      </c>
    </row>
    <row r="969" spans="1:17" x14ac:dyDescent="0.35">
      <c r="A969" s="1">
        <v>44349</v>
      </c>
      <c r="B969" s="6">
        <v>7896195</v>
      </c>
      <c r="C969" s="6">
        <v>5031882</v>
      </c>
      <c r="D969" s="6">
        <v>0</v>
      </c>
      <c r="E969" s="6">
        <v>3848262</v>
      </c>
      <c r="F969" s="6">
        <v>812087</v>
      </c>
      <c r="G969" s="6">
        <v>26748</v>
      </c>
      <c r="H969" s="6">
        <v>344785</v>
      </c>
      <c r="I969" s="6">
        <v>672906</v>
      </c>
      <c r="J969" s="6">
        <v>2129739</v>
      </c>
      <c r="K969" s="6">
        <v>774</v>
      </c>
      <c r="L969" s="6">
        <v>50278</v>
      </c>
      <c r="M969" s="6">
        <v>10615</v>
      </c>
      <c r="N969" s="6">
        <v>32724</v>
      </c>
      <c r="O969" s="6">
        <v>6785</v>
      </c>
      <c r="P969" s="6">
        <v>0</v>
      </c>
      <c r="Q969" s="6">
        <v>39509</v>
      </c>
    </row>
    <row r="970" spans="1:17" x14ac:dyDescent="0.35">
      <c r="A970" s="1">
        <v>44356</v>
      </c>
      <c r="B970" s="6">
        <v>7912815</v>
      </c>
      <c r="C970" s="6">
        <v>4998620</v>
      </c>
      <c r="D970" s="6">
        <v>0</v>
      </c>
      <c r="E970" s="6">
        <v>3916725</v>
      </c>
      <c r="F970" s="6">
        <v>673555</v>
      </c>
      <c r="G970" s="6">
        <v>27493</v>
      </c>
      <c r="H970" s="6">
        <v>380848</v>
      </c>
      <c r="I970" s="6">
        <v>720936</v>
      </c>
      <c r="J970" s="6">
        <v>2130778</v>
      </c>
      <c r="K970" s="6">
        <v>182</v>
      </c>
      <c r="L970" s="6">
        <v>50278</v>
      </c>
      <c r="M970" s="6">
        <v>12020</v>
      </c>
      <c r="N970" s="6">
        <v>32727</v>
      </c>
      <c r="O970" s="6">
        <v>6785</v>
      </c>
      <c r="P970" s="6">
        <v>0</v>
      </c>
      <c r="Q970" s="6">
        <v>39512</v>
      </c>
    </row>
    <row r="971" spans="1:17" x14ac:dyDescent="0.35">
      <c r="A971" s="1">
        <v>44363</v>
      </c>
      <c r="B971" s="6">
        <v>8024654</v>
      </c>
      <c r="C971" s="6">
        <v>5089778</v>
      </c>
      <c r="D971" s="6">
        <v>0</v>
      </c>
      <c r="E971" s="6">
        <v>3905736</v>
      </c>
      <c r="F971" s="6">
        <v>765114</v>
      </c>
      <c r="G971" s="6">
        <v>26955</v>
      </c>
      <c r="H971" s="6">
        <v>391972</v>
      </c>
      <c r="I971" s="6">
        <v>743760</v>
      </c>
      <c r="J971" s="6">
        <v>2129545</v>
      </c>
      <c r="K971" s="6">
        <v>158</v>
      </c>
      <c r="L971" s="6">
        <v>50278</v>
      </c>
      <c r="M971" s="6">
        <v>11135</v>
      </c>
      <c r="N971" s="6">
        <v>32818</v>
      </c>
      <c r="O971" s="6">
        <v>6785</v>
      </c>
      <c r="P971" s="6">
        <v>0</v>
      </c>
      <c r="Q971" s="6">
        <v>39603</v>
      </c>
    </row>
    <row r="972" spans="1:17" x14ac:dyDescent="0.35">
      <c r="A972" s="1">
        <v>44370</v>
      </c>
      <c r="B972" s="6">
        <v>8062341</v>
      </c>
      <c r="C972" s="6">
        <v>4817038</v>
      </c>
      <c r="D972" s="6">
        <v>0</v>
      </c>
      <c r="E972" s="6">
        <v>3765714</v>
      </c>
      <c r="F972" s="6">
        <v>733877</v>
      </c>
      <c r="G972" s="6">
        <v>6769</v>
      </c>
      <c r="H972" s="6">
        <v>310679</v>
      </c>
      <c r="I972" s="6">
        <v>1055931</v>
      </c>
      <c r="J972" s="6">
        <v>2130133</v>
      </c>
      <c r="K972" s="6">
        <v>223</v>
      </c>
      <c r="L972" s="6">
        <v>50278</v>
      </c>
      <c r="M972" s="6">
        <v>8738</v>
      </c>
      <c r="N972" s="6">
        <v>32819</v>
      </c>
      <c r="O972" s="6">
        <v>6785</v>
      </c>
      <c r="P972" s="6">
        <v>0</v>
      </c>
      <c r="Q972" s="6">
        <v>39604</v>
      </c>
    </row>
    <row r="973" spans="1:17" x14ac:dyDescent="0.35">
      <c r="A973" s="1">
        <v>44377</v>
      </c>
      <c r="B973" s="6">
        <v>8038940</v>
      </c>
      <c r="C973" s="6">
        <v>4593815</v>
      </c>
      <c r="D973" s="6">
        <v>0</v>
      </c>
      <c r="E973" s="6">
        <v>3511630</v>
      </c>
      <c r="F973" s="6">
        <v>851929</v>
      </c>
      <c r="G973" s="6">
        <v>5255</v>
      </c>
      <c r="H973" s="6">
        <v>225002</v>
      </c>
      <c r="I973" s="6">
        <v>1260925</v>
      </c>
      <c r="J973" s="6">
        <v>2134139</v>
      </c>
      <c r="K973" s="6">
        <v>1128</v>
      </c>
      <c r="L973" s="6">
        <v>40278</v>
      </c>
      <c r="M973" s="6">
        <v>8654</v>
      </c>
      <c r="N973" s="6">
        <v>32819</v>
      </c>
      <c r="O973" s="6">
        <v>6785</v>
      </c>
      <c r="P973" s="6">
        <v>0</v>
      </c>
      <c r="Q973" s="6">
        <v>39604</v>
      </c>
    </row>
    <row r="974" spans="1:17" x14ac:dyDescent="0.35">
      <c r="A974" s="1">
        <v>44384</v>
      </c>
      <c r="B974" s="6">
        <v>8058170</v>
      </c>
      <c r="C974" s="6">
        <v>4818079</v>
      </c>
      <c r="D974" s="6">
        <v>0</v>
      </c>
      <c r="E974" s="6">
        <v>3856203</v>
      </c>
      <c r="F974" s="6">
        <v>724898</v>
      </c>
      <c r="G974" s="6">
        <v>5230</v>
      </c>
      <c r="H974" s="6">
        <v>231748</v>
      </c>
      <c r="I974" s="6">
        <v>1049332</v>
      </c>
      <c r="J974" s="6">
        <v>2139402</v>
      </c>
      <c r="K974" s="6">
        <v>213</v>
      </c>
      <c r="L974" s="6">
        <v>40278</v>
      </c>
      <c r="M974" s="6">
        <v>10865</v>
      </c>
      <c r="N974" s="6">
        <v>32818</v>
      </c>
      <c r="O974" s="6">
        <v>6785</v>
      </c>
      <c r="P974" s="6">
        <v>0</v>
      </c>
      <c r="Q974" s="6">
        <v>39603</v>
      </c>
    </row>
    <row r="975" spans="1:17" x14ac:dyDescent="0.35">
      <c r="A975" s="1">
        <v>44391</v>
      </c>
      <c r="B975" s="6">
        <v>8162047</v>
      </c>
      <c r="C975" s="6">
        <v>4857339</v>
      </c>
      <c r="D975" s="6">
        <v>0</v>
      </c>
      <c r="E975" s="6">
        <v>3944700</v>
      </c>
      <c r="F975" s="6">
        <v>657542</v>
      </c>
      <c r="G975" s="6">
        <v>5250</v>
      </c>
      <c r="H975" s="6">
        <v>249847</v>
      </c>
      <c r="I975" s="6">
        <v>1110967</v>
      </c>
      <c r="J975" s="6">
        <v>2137519</v>
      </c>
      <c r="K975" s="6">
        <v>169</v>
      </c>
      <c r="L975" s="6">
        <v>40278</v>
      </c>
      <c r="M975" s="6">
        <v>15775</v>
      </c>
      <c r="N975" s="6">
        <v>32819</v>
      </c>
      <c r="O975" s="6">
        <v>6785</v>
      </c>
      <c r="P975" s="6">
        <v>0</v>
      </c>
      <c r="Q975" s="6">
        <v>39604</v>
      </c>
    </row>
    <row r="976" spans="1:17" x14ac:dyDescent="0.35">
      <c r="A976" s="1">
        <v>44398</v>
      </c>
      <c r="B976" s="6">
        <v>8200924</v>
      </c>
      <c r="C976" s="6">
        <v>4877216</v>
      </c>
      <c r="D976" s="6">
        <v>0</v>
      </c>
      <c r="E976" s="6">
        <v>3974547</v>
      </c>
      <c r="F976" s="6">
        <v>616294</v>
      </c>
      <c r="G976" s="6">
        <v>5837</v>
      </c>
      <c r="H976" s="6">
        <v>280539</v>
      </c>
      <c r="I976" s="6">
        <v>1136878</v>
      </c>
      <c r="J976" s="6">
        <v>2135757</v>
      </c>
      <c r="K976" s="6">
        <v>162</v>
      </c>
      <c r="L976" s="6">
        <v>40278</v>
      </c>
      <c r="M976" s="6">
        <v>10633</v>
      </c>
      <c r="N976" s="6">
        <v>32820</v>
      </c>
      <c r="O976" s="6">
        <v>6785</v>
      </c>
      <c r="P976" s="6">
        <v>0</v>
      </c>
      <c r="Q976" s="6">
        <v>39605</v>
      </c>
    </row>
    <row r="977" spans="1:17" x14ac:dyDescent="0.35">
      <c r="A977" s="1">
        <v>44405</v>
      </c>
      <c r="B977" s="6">
        <v>8181875</v>
      </c>
      <c r="C977" s="6">
        <v>4775315</v>
      </c>
      <c r="D977" s="6">
        <v>0</v>
      </c>
      <c r="E977" s="6">
        <v>4001061</v>
      </c>
      <c r="F977" s="6">
        <v>536966</v>
      </c>
      <c r="G977" s="6">
        <v>6194</v>
      </c>
      <c r="H977" s="6">
        <v>231094</v>
      </c>
      <c r="I977" s="6">
        <v>1220133</v>
      </c>
      <c r="J977" s="6">
        <v>2136883</v>
      </c>
      <c r="K977" s="6">
        <v>891</v>
      </c>
      <c r="L977" s="6">
        <v>40278</v>
      </c>
      <c r="M977" s="6">
        <v>8374</v>
      </c>
      <c r="N977" s="6">
        <v>32814</v>
      </c>
      <c r="O977" s="6">
        <v>6785</v>
      </c>
      <c r="P977" s="6">
        <v>0</v>
      </c>
      <c r="Q977" s="6">
        <v>39599</v>
      </c>
    </row>
    <row r="978" spans="1:17" x14ac:dyDescent="0.35">
      <c r="A978" s="1">
        <v>44412</v>
      </c>
      <c r="B978" s="6">
        <v>8195376</v>
      </c>
      <c r="C978" s="6">
        <v>4788865</v>
      </c>
      <c r="D978" s="6">
        <v>0</v>
      </c>
      <c r="E978" s="6">
        <v>4045893</v>
      </c>
      <c r="F978" s="6">
        <v>505871</v>
      </c>
      <c r="G978" s="6">
        <v>7176</v>
      </c>
      <c r="H978" s="6">
        <v>229925</v>
      </c>
      <c r="I978" s="6">
        <v>1216357</v>
      </c>
      <c r="J978" s="6">
        <v>2139117</v>
      </c>
      <c r="K978" s="6">
        <v>204</v>
      </c>
      <c r="L978" s="6">
        <v>40278</v>
      </c>
      <c r="M978" s="6">
        <v>10555</v>
      </c>
      <c r="N978" s="6">
        <v>32912</v>
      </c>
      <c r="O978" s="6">
        <v>6785</v>
      </c>
      <c r="P978" s="6">
        <v>0</v>
      </c>
      <c r="Q978" s="6">
        <v>39697</v>
      </c>
    </row>
    <row r="979" spans="1:17" x14ac:dyDescent="0.35">
      <c r="A979" s="1">
        <v>44419</v>
      </c>
      <c r="B979" s="6">
        <v>8217425</v>
      </c>
      <c r="C979" s="6">
        <v>4758820</v>
      </c>
      <c r="D979" s="6">
        <v>0</v>
      </c>
      <c r="E979" s="6">
        <v>4127290</v>
      </c>
      <c r="F979" s="6">
        <v>389747</v>
      </c>
      <c r="G979" s="6">
        <v>7631</v>
      </c>
      <c r="H979" s="6">
        <v>234151</v>
      </c>
      <c r="I979" s="6">
        <v>1267998</v>
      </c>
      <c r="J979" s="6">
        <v>2139815</v>
      </c>
      <c r="K979" s="6">
        <v>231</v>
      </c>
      <c r="L979" s="6">
        <v>40278</v>
      </c>
      <c r="M979" s="6">
        <v>10282</v>
      </c>
      <c r="N979" s="6">
        <v>32949</v>
      </c>
      <c r="O979" s="6">
        <v>6785</v>
      </c>
      <c r="P979" s="6">
        <v>0</v>
      </c>
      <c r="Q979" s="6">
        <v>39734</v>
      </c>
    </row>
    <row r="980" spans="1:17" x14ac:dyDescent="0.35">
      <c r="A980" s="1">
        <v>44426</v>
      </c>
      <c r="B980" s="6">
        <v>8302856</v>
      </c>
      <c r="C980" s="6">
        <v>4729785</v>
      </c>
      <c r="D980" s="6">
        <v>0</v>
      </c>
      <c r="E980" s="6">
        <v>4162165</v>
      </c>
      <c r="F980" s="6">
        <v>313651</v>
      </c>
      <c r="G980" s="6">
        <v>7232</v>
      </c>
      <c r="H980" s="6">
        <v>246737</v>
      </c>
      <c r="I980" s="6">
        <v>1385401</v>
      </c>
      <c r="J980" s="6">
        <v>2138568</v>
      </c>
      <c r="K980" s="6">
        <v>199</v>
      </c>
      <c r="L980" s="6">
        <v>40278</v>
      </c>
      <c r="M980" s="6">
        <v>8626</v>
      </c>
      <c r="N980" s="6">
        <v>32957</v>
      </c>
      <c r="O980" s="6">
        <v>6785</v>
      </c>
      <c r="P980" s="6">
        <v>0</v>
      </c>
      <c r="Q980" s="6">
        <v>39742</v>
      </c>
    </row>
    <row r="981" spans="1:17" x14ac:dyDescent="0.35">
      <c r="A981" s="1">
        <v>44433</v>
      </c>
      <c r="B981" s="6">
        <v>8292978</v>
      </c>
      <c r="C981" s="6">
        <v>4701260</v>
      </c>
      <c r="D981" s="6">
        <v>0</v>
      </c>
      <c r="E981" s="6">
        <v>4203478</v>
      </c>
      <c r="F981" s="6">
        <v>258200</v>
      </c>
      <c r="G981" s="6">
        <v>8324</v>
      </c>
      <c r="H981" s="6">
        <v>231258</v>
      </c>
      <c r="I981" s="6">
        <v>1405110</v>
      </c>
      <c r="J981" s="6">
        <v>2139155</v>
      </c>
      <c r="K981" s="6">
        <v>215</v>
      </c>
      <c r="L981" s="6">
        <v>40278</v>
      </c>
      <c r="M981" s="6">
        <v>6960</v>
      </c>
      <c r="N981" s="6">
        <v>32980</v>
      </c>
      <c r="O981" s="6">
        <v>6785</v>
      </c>
      <c r="P981" s="6">
        <v>0</v>
      </c>
      <c r="Q981" s="6">
        <v>39765</v>
      </c>
    </row>
    <row r="982" spans="1:17" x14ac:dyDescent="0.35">
      <c r="A982" s="1">
        <v>44440</v>
      </c>
      <c r="B982" s="6">
        <v>8309378</v>
      </c>
      <c r="C982" s="6">
        <v>4739976</v>
      </c>
      <c r="D982" s="6">
        <v>0</v>
      </c>
      <c r="E982" s="6">
        <v>4206449</v>
      </c>
      <c r="F982" s="6">
        <v>296934</v>
      </c>
      <c r="G982" s="6">
        <v>5476</v>
      </c>
      <c r="H982" s="6">
        <v>231117</v>
      </c>
      <c r="I982" s="6">
        <v>1376296</v>
      </c>
      <c r="J982" s="6">
        <v>2142848</v>
      </c>
      <c r="K982" s="6">
        <v>714</v>
      </c>
      <c r="L982" s="6">
        <v>40278</v>
      </c>
      <c r="M982" s="6">
        <v>9265</v>
      </c>
      <c r="N982" s="6">
        <v>33011</v>
      </c>
      <c r="O982" s="6">
        <v>6785</v>
      </c>
      <c r="P982" s="6">
        <v>0</v>
      </c>
      <c r="Q982" s="6">
        <v>39796</v>
      </c>
    </row>
    <row r="983" spans="1:17" x14ac:dyDescent="0.35">
      <c r="A983" s="1">
        <v>44447</v>
      </c>
      <c r="B983" s="6">
        <v>8317428</v>
      </c>
      <c r="C983" s="6">
        <v>4708119</v>
      </c>
      <c r="D983" s="6">
        <v>0</v>
      </c>
      <c r="E983" s="6">
        <v>4259603</v>
      </c>
      <c r="F983" s="6">
        <v>200702</v>
      </c>
      <c r="G983" s="6">
        <v>7436</v>
      </c>
      <c r="H983" s="6">
        <v>240377</v>
      </c>
      <c r="I983" s="6">
        <v>1410538</v>
      </c>
      <c r="J983" s="6">
        <v>2148965</v>
      </c>
      <c r="K983" s="6">
        <v>226</v>
      </c>
      <c r="L983" s="6">
        <v>40278</v>
      </c>
      <c r="M983" s="6">
        <v>9302</v>
      </c>
      <c r="N983" s="6">
        <v>33101</v>
      </c>
      <c r="O983" s="6">
        <v>6785</v>
      </c>
      <c r="P983" s="6">
        <v>0</v>
      </c>
      <c r="Q983" s="6">
        <v>39886</v>
      </c>
    </row>
    <row r="984" spans="1:17" x14ac:dyDescent="0.35">
      <c r="A984" s="1">
        <v>44454</v>
      </c>
      <c r="B984" s="6">
        <v>8408907</v>
      </c>
      <c r="C984" s="6">
        <v>4836747</v>
      </c>
      <c r="D984" s="6">
        <v>0</v>
      </c>
      <c r="E984" s="6">
        <v>4244677</v>
      </c>
      <c r="F984" s="6">
        <v>344668</v>
      </c>
      <c r="G984" s="6">
        <v>5265</v>
      </c>
      <c r="H984" s="6">
        <v>242136</v>
      </c>
      <c r="I984" s="6">
        <v>1375676</v>
      </c>
      <c r="J984" s="6">
        <v>2147543</v>
      </c>
      <c r="K984" s="6">
        <v>179</v>
      </c>
      <c r="L984" s="6">
        <v>40278</v>
      </c>
      <c r="M984" s="6">
        <v>8484</v>
      </c>
      <c r="N984" s="6">
        <v>33078</v>
      </c>
      <c r="O984" s="6">
        <v>6785</v>
      </c>
      <c r="P984" s="6">
        <v>0</v>
      </c>
      <c r="Q984" s="6">
        <v>39863</v>
      </c>
    </row>
    <row r="985" spans="1:17" x14ac:dyDescent="0.35">
      <c r="A985" s="1">
        <v>44461</v>
      </c>
      <c r="B985" s="6">
        <v>8449956</v>
      </c>
      <c r="C985" s="6">
        <v>4690764</v>
      </c>
      <c r="D985" s="6">
        <v>0</v>
      </c>
      <c r="E985" s="6">
        <v>4137919</v>
      </c>
      <c r="F985" s="6">
        <v>272679</v>
      </c>
      <c r="G985" s="6">
        <v>7909</v>
      </c>
      <c r="H985" s="6">
        <v>272257</v>
      </c>
      <c r="I985" s="6">
        <v>1564032</v>
      </c>
      <c r="J985" s="6">
        <v>2146776</v>
      </c>
      <c r="K985" s="6">
        <v>157</v>
      </c>
      <c r="L985" s="6">
        <v>40278</v>
      </c>
      <c r="M985" s="6">
        <v>7948</v>
      </c>
      <c r="N985" s="6">
        <v>33083</v>
      </c>
      <c r="O985" s="6">
        <v>6785</v>
      </c>
      <c r="P985" s="6">
        <v>0</v>
      </c>
      <c r="Q985" s="6">
        <v>39868</v>
      </c>
    </row>
    <row r="986" spans="1:17" x14ac:dyDescent="0.35">
      <c r="A986" s="1">
        <v>44468</v>
      </c>
      <c r="B986" s="6">
        <v>8408107</v>
      </c>
      <c r="C986" s="6">
        <v>4524351</v>
      </c>
      <c r="D986" s="6">
        <v>0</v>
      </c>
      <c r="E986" s="6">
        <v>4094810</v>
      </c>
      <c r="F986" s="6">
        <v>173745</v>
      </c>
      <c r="G986" s="6">
        <v>7216</v>
      </c>
      <c r="H986" s="6">
        <v>248580</v>
      </c>
      <c r="I986" s="6">
        <v>1702347</v>
      </c>
      <c r="J986" s="6">
        <v>2147797</v>
      </c>
      <c r="K986" s="6">
        <v>1225</v>
      </c>
      <c r="L986" s="6">
        <v>26397</v>
      </c>
      <c r="M986" s="6">
        <v>5990</v>
      </c>
      <c r="N986" s="6">
        <v>33089</v>
      </c>
      <c r="O986" s="6">
        <v>6785</v>
      </c>
      <c r="P986" s="6">
        <v>0</v>
      </c>
      <c r="Q986" s="6">
        <v>39874</v>
      </c>
    </row>
    <row r="987" spans="1:17" x14ac:dyDescent="0.35">
      <c r="A987" s="1">
        <v>44475</v>
      </c>
      <c r="B987" s="6">
        <v>8424180</v>
      </c>
      <c r="C987" s="6">
        <v>4500486</v>
      </c>
      <c r="D987" s="6">
        <v>0</v>
      </c>
      <c r="E987" s="6">
        <v>4167544</v>
      </c>
      <c r="F987" s="6">
        <v>95854</v>
      </c>
      <c r="G987" s="6">
        <v>6463</v>
      </c>
      <c r="H987" s="6">
        <v>230624</v>
      </c>
      <c r="I987" s="6">
        <v>1737790</v>
      </c>
      <c r="J987" s="6">
        <v>2151498</v>
      </c>
      <c r="K987" s="6">
        <v>172</v>
      </c>
      <c r="L987" s="6">
        <v>26397</v>
      </c>
      <c r="M987" s="6">
        <v>7837</v>
      </c>
      <c r="N987" s="6">
        <v>33067</v>
      </c>
      <c r="O987" s="6">
        <v>6785</v>
      </c>
      <c r="P987" s="6">
        <v>0</v>
      </c>
      <c r="Q987" s="6">
        <v>39852</v>
      </c>
    </row>
    <row r="988" spans="1:17" x14ac:dyDescent="0.35">
      <c r="A988" s="1">
        <v>44482</v>
      </c>
      <c r="B988" s="6">
        <v>8441079</v>
      </c>
      <c r="C988" s="6">
        <v>4593187</v>
      </c>
      <c r="D988" s="6">
        <v>0</v>
      </c>
      <c r="E988" s="6">
        <v>4204510</v>
      </c>
      <c r="F988" s="6">
        <v>72460</v>
      </c>
      <c r="G988" s="6">
        <v>5264</v>
      </c>
      <c r="H988" s="6">
        <v>310954</v>
      </c>
      <c r="I988" s="6">
        <v>1657622</v>
      </c>
      <c r="J988" s="6">
        <v>2155233</v>
      </c>
      <c r="K988" s="6">
        <v>240</v>
      </c>
      <c r="L988" s="6">
        <v>26397</v>
      </c>
      <c r="M988" s="6">
        <v>8401</v>
      </c>
      <c r="N988" s="6">
        <v>33078</v>
      </c>
      <c r="O988" s="6">
        <v>6785</v>
      </c>
      <c r="P988" s="6">
        <v>0</v>
      </c>
      <c r="Q988" s="6">
        <v>39863</v>
      </c>
    </row>
    <row r="989" spans="1:17" x14ac:dyDescent="0.35">
      <c r="A989" s="1">
        <v>44489</v>
      </c>
      <c r="B989" s="6">
        <v>8525083</v>
      </c>
      <c r="C989" s="6">
        <v>4550020</v>
      </c>
      <c r="D989" s="6">
        <v>0</v>
      </c>
      <c r="E989" s="6">
        <v>4050343</v>
      </c>
      <c r="F989" s="6">
        <v>117364</v>
      </c>
      <c r="G989" s="6">
        <v>8768</v>
      </c>
      <c r="H989" s="6">
        <v>373545</v>
      </c>
      <c r="I989" s="6">
        <v>1786368</v>
      </c>
      <c r="J989" s="6">
        <v>2154780</v>
      </c>
      <c r="K989" s="6">
        <v>181</v>
      </c>
      <c r="L989" s="6">
        <v>26397</v>
      </c>
      <c r="M989" s="6">
        <v>7337</v>
      </c>
      <c r="N989" s="6">
        <v>33074</v>
      </c>
      <c r="O989" s="6">
        <v>6785</v>
      </c>
      <c r="P989" s="6">
        <v>0</v>
      </c>
      <c r="Q989" s="6">
        <v>39859</v>
      </c>
    </row>
    <row r="990" spans="1:17" x14ac:dyDescent="0.35">
      <c r="A990" s="1">
        <v>44496</v>
      </c>
      <c r="B990" s="6">
        <v>8516318</v>
      </c>
      <c r="C990" s="6">
        <v>4605215</v>
      </c>
      <c r="D990" s="6">
        <v>0</v>
      </c>
      <c r="E990" s="6">
        <v>4123154</v>
      </c>
      <c r="F990" s="6">
        <v>236495</v>
      </c>
      <c r="G990" s="6">
        <v>5266</v>
      </c>
      <c r="H990" s="6">
        <v>240300</v>
      </c>
      <c r="I990" s="6">
        <v>1721484</v>
      </c>
      <c r="J990" s="6">
        <v>2155915</v>
      </c>
      <c r="K990" s="6">
        <v>648</v>
      </c>
      <c r="L990" s="6">
        <v>26397</v>
      </c>
      <c r="M990" s="6">
        <v>6659</v>
      </c>
      <c r="N990" s="6">
        <v>33077</v>
      </c>
      <c r="O990" s="6">
        <v>6785</v>
      </c>
      <c r="P990" s="6">
        <v>0</v>
      </c>
      <c r="Q990" s="6">
        <v>39862</v>
      </c>
    </row>
    <row r="991" spans="1:17" x14ac:dyDescent="0.35">
      <c r="A991" s="1">
        <v>44503</v>
      </c>
      <c r="B991" s="6">
        <v>8535005</v>
      </c>
      <c r="C991" s="6">
        <v>4684063</v>
      </c>
      <c r="D991" s="6">
        <v>0</v>
      </c>
      <c r="E991" s="6">
        <v>4149830</v>
      </c>
      <c r="F991" s="6">
        <v>286959</v>
      </c>
      <c r="G991" s="6">
        <v>5647</v>
      </c>
      <c r="H991" s="6">
        <v>241627</v>
      </c>
      <c r="I991" s="6">
        <v>1657066</v>
      </c>
      <c r="J991" s="6">
        <v>2158089</v>
      </c>
      <c r="K991" s="6">
        <v>188</v>
      </c>
      <c r="L991" s="6">
        <v>26397</v>
      </c>
      <c r="M991" s="6">
        <v>9200</v>
      </c>
      <c r="N991" s="6">
        <v>33081</v>
      </c>
      <c r="O991" s="6">
        <v>6785</v>
      </c>
      <c r="P991" s="6">
        <v>0</v>
      </c>
      <c r="Q991" s="6">
        <v>39866</v>
      </c>
    </row>
    <row r="992" spans="1:17" x14ac:dyDescent="0.35">
      <c r="A992" s="1">
        <v>44510</v>
      </c>
      <c r="B992" s="6">
        <v>8623208</v>
      </c>
      <c r="C992" s="6">
        <v>4662690</v>
      </c>
      <c r="D992" s="6">
        <v>0</v>
      </c>
      <c r="E992" s="6">
        <v>4178586</v>
      </c>
      <c r="F992" s="6">
        <v>231421</v>
      </c>
      <c r="G992" s="6">
        <v>6592</v>
      </c>
      <c r="H992" s="6">
        <v>246091</v>
      </c>
      <c r="I992" s="6">
        <v>1752977</v>
      </c>
      <c r="J992" s="6">
        <v>2164281</v>
      </c>
      <c r="K992" s="6">
        <v>271</v>
      </c>
      <c r="L992" s="6">
        <v>26397</v>
      </c>
      <c r="M992" s="6">
        <v>16592</v>
      </c>
      <c r="N992" s="6">
        <v>33123</v>
      </c>
      <c r="O992" s="6">
        <v>6785</v>
      </c>
      <c r="P992" s="6">
        <v>0</v>
      </c>
      <c r="Q992" s="6">
        <v>39908</v>
      </c>
    </row>
    <row r="993" spans="1:17" x14ac:dyDescent="0.35">
      <c r="A993" s="1">
        <v>44517</v>
      </c>
      <c r="B993" s="6">
        <v>8634330</v>
      </c>
      <c r="C993" s="6">
        <v>4619162</v>
      </c>
      <c r="D993" s="6">
        <v>0</v>
      </c>
      <c r="E993" s="6">
        <v>4188837</v>
      </c>
      <c r="F993" s="6">
        <v>178972</v>
      </c>
      <c r="G993" s="6">
        <v>7768</v>
      </c>
      <c r="H993" s="6">
        <v>243585</v>
      </c>
      <c r="I993" s="6">
        <v>1814292</v>
      </c>
      <c r="J993" s="6">
        <v>2165755</v>
      </c>
      <c r="K993" s="6">
        <v>183</v>
      </c>
      <c r="L993" s="6">
        <v>26397</v>
      </c>
      <c r="M993" s="6">
        <v>8540</v>
      </c>
      <c r="N993" s="6">
        <v>33855</v>
      </c>
      <c r="O993" s="6">
        <v>6785</v>
      </c>
      <c r="P993" s="6">
        <v>0</v>
      </c>
      <c r="Q993" s="6">
        <v>40640</v>
      </c>
    </row>
    <row r="994" spans="1:17" x14ac:dyDescent="0.35">
      <c r="A994" s="1">
        <v>44524</v>
      </c>
      <c r="B994" s="6">
        <v>8641125</v>
      </c>
      <c r="C994" s="6">
        <v>4683675</v>
      </c>
      <c r="D994" s="6">
        <v>0</v>
      </c>
      <c r="E994" s="6">
        <v>4172807</v>
      </c>
      <c r="F994" s="6">
        <v>141042</v>
      </c>
      <c r="G994" s="6">
        <v>7737</v>
      </c>
      <c r="H994" s="6">
        <v>362089</v>
      </c>
      <c r="I994" s="6">
        <v>1758815</v>
      </c>
      <c r="J994" s="6">
        <v>2169906</v>
      </c>
      <c r="K994" s="6">
        <v>308</v>
      </c>
      <c r="L994" s="6">
        <v>21258</v>
      </c>
      <c r="M994" s="6">
        <v>7162</v>
      </c>
      <c r="N994" s="6">
        <v>33861</v>
      </c>
      <c r="O994" s="6">
        <v>6785</v>
      </c>
      <c r="P994" s="6">
        <v>0</v>
      </c>
      <c r="Q994" s="6">
        <v>40646</v>
      </c>
    </row>
    <row r="995" spans="1:17" x14ac:dyDescent="0.35">
      <c r="A995" s="1">
        <v>44531</v>
      </c>
      <c r="B995" s="6">
        <v>8609749</v>
      </c>
      <c r="C995" s="6">
        <v>4679030</v>
      </c>
      <c r="D995" s="6">
        <v>0</v>
      </c>
      <c r="E995" s="6">
        <v>4266022</v>
      </c>
      <c r="F995" s="6">
        <v>159148</v>
      </c>
      <c r="G995" s="6">
        <v>5794</v>
      </c>
      <c r="H995" s="6">
        <v>248067</v>
      </c>
      <c r="I995" s="6">
        <v>1729277</v>
      </c>
      <c r="J995" s="6">
        <v>2172147</v>
      </c>
      <c r="K995" s="6">
        <v>640</v>
      </c>
      <c r="L995" s="6">
        <v>21258</v>
      </c>
      <c r="M995" s="6">
        <v>7396</v>
      </c>
      <c r="N995" s="6">
        <v>33868</v>
      </c>
      <c r="O995" s="6">
        <v>6785</v>
      </c>
      <c r="P995" s="6">
        <v>0</v>
      </c>
      <c r="Q995" s="6">
        <v>40653</v>
      </c>
    </row>
    <row r="996" spans="1:17" x14ac:dyDescent="0.35">
      <c r="A996" s="1">
        <v>44538</v>
      </c>
      <c r="B996" s="6">
        <v>8623868</v>
      </c>
      <c r="C996" s="6">
        <v>4635139</v>
      </c>
      <c r="D996" s="6">
        <v>0</v>
      </c>
      <c r="E996" s="6">
        <v>4255600</v>
      </c>
      <c r="F996" s="6">
        <v>125144</v>
      </c>
      <c r="G996" s="6">
        <v>7637</v>
      </c>
      <c r="H996" s="6">
        <v>246759</v>
      </c>
      <c r="I996" s="6">
        <v>1787227</v>
      </c>
      <c r="J996" s="6">
        <v>2170728</v>
      </c>
      <c r="K996" s="6">
        <v>169</v>
      </c>
      <c r="L996" s="6">
        <v>21258</v>
      </c>
      <c r="M996" s="6">
        <v>9346</v>
      </c>
      <c r="N996" s="6">
        <v>33872</v>
      </c>
      <c r="O996" s="6">
        <v>6785</v>
      </c>
      <c r="P996" s="6">
        <v>0</v>
      </c>
      <c r="Q996" s="6">
        <v>40657</v>
      </c>
    </row>
    <row r="997" spans="1:17" x14ac:dyDescent="0.35">
      <c r="A997" s="1">
        <v>44545</v>
      </c>
      <c r="B997" s="6">
        <v>8716001</v>
      </c>
      <c r="C997" s="6">
        <v>4586020</v>
      </c>
      <c r="D997" s="6">
        <v>0</v>
      </c>
      <c r="E997" s="6">
        <v>4273634</v>
      </c>
      <c r="F997" s="6">
        <v>58294</v>
      </c>
      <c r="G997" s="6">
        <v>5189</v>
      </c>
      <c r="H997" s="6">
        <v>248903</v>
      </c>
      <c r="I997" s="6">
        <v>1927879</v>
      </c>
      <c r="J997" s="6">
        <v>2171739</v>
      </c>
      <c r="K997" s="6">
        <v>174</v>
      </c>
      <c r="L997" s="6">
        <v>21258</v>
      </c>
      <c r="M997" s="6">
        <v>8931</v>
      </c>
      <c r="N997" s="6">
        <v>33880</v>
      </c>
      <c r="O997" s="6">
        <v>6785</v>
      </c>
      <c r="P997" s="6">
        <v>0</v>
      </c>
      <c r="Q997" s="6">
        <v>40665</v>
      </c>
    </row>
    <row r="998" spans="1:17" x14ac:dyDescent="0.35">
      <c r="A998" s="1">
        <v>44552</v>
      </c>
      <c r="B998" s="6">
        <v>8749834</v>
      </c>
      <c r="C998" s="6">
        <v>4556184</v>
      </c>
      <c r="D998" s="6">
        <v>0</v>
      </c>
      <c r="E998" s="6">
        <v>4104926</v>
      </c>
      <c r="F998" s="6">
        <v>197516</v>
      </c>
      <c r="G998" s="6">
        <v>5189</v>
      </c>
      <c r="H998" s="6">
        <v>248553</v>
      </c>
      <c r="I998" s="6">
        <v>1982915</v>
      </c>
      <c r="J998" s="6">
        <v>2181183</v>
      </c>
      <c r="K998" s="6">
        <v>260</v>
      </c>
      <c r="L998" s="6">
        <v>21258</v>
      </c>
      <c r="M998" s="6">
        <v>8034</v>
      </c>
      <c r="N998" s="6">
        <v>33876</v>
      </c>
      <c r="O998" s="6">
        <v>6785</v>
      </c>
      <c r="P998" s="6">
        <v>0</v>
      </c>
      <c r="Q998" s="6">
        <v>40661</v>
      </c>
    </row>
    <row r="999" spans="1:17" x14ac:dyDescent="0.35">
      <c r="A999" s="1">
        <v>44559</v>
      </c>
      <c r="B999" s="6">
        <v>8716799</v>
      </c>
      <c r="C999" s="6">
        <v>4579506</v>
      </c>
      <c r="D999" s="6">
        <v>0</v>
      </c>
      <c r="E999" s="6">
        <v>4039860</v>
      </c>
      <c r="F999" s="6">
        <v>283995</v>
      </c>
      <c r="G999" s="6">
        <v>9672</v>
      </c>
      <c r="H999" s="6">
        <v>245980</v>
      </c>
      <c r="I999" s="6">
        <v>1920789</v>
      </c>
      <c r="J999" s="6">
        <v>2186877</v>
      </c>
      <c r="K999" s="6">
        <v>599</v>
      </c>
      <c r="L999" s="6">
        <v>21258</v>
      </c>
      <c r="M999" s="6">
        <v>7769</v>
      </c>
      <c r="N999" s="6">
        <v>33876</v>
      </c>
      <c r="O999" s="6">
        <v>6785</v>
      </c>
      <c r="P999" s="6">
        <v>0</v>
      </c>
      <c r="Q999" s="6">
        <v>40661</v>
      </c>
    </row>
    <row r="1000" spans="1:17" x14ac:dyDescent="0.35">
      <c r="A1000" s="1">
        <v>44566</v>
      </c>
      <c r="B1000" s="6">
        <v>8725223</v>
      </c>
      <c r="C1000" s="6">
        <v>4713933</v>
      </c>
      <c r="D1000" s="6">
        <v>0</v>
      </c>
      <c r="E1000" s="6">
        <v>4028460</v>
      </c>
      <c r="F1000" s="6">
        <v>434757</v>
      </c>
      <c r="G1000" s="6">
        <v>5374</v>
      </c>
      <c r="H1000" s="6">
        <v>245341</v>
      </c>
      <c r="I1000" s="6">
        <v>1795618</v>
      </c>
      <c r="J1000" s="6">
        <v>2187539</v>
      </c>
      <c r="K1000" s="6">
        <v>217</v>
      </c>
      <c r="L1000" s="6">
        <v>21258</v>
      </c>
      <c r="M1000" s="6">
        <v>6659</v>
      </c>
      <c r="N1000" s="6">
        <v>33713</v>
      </c>
      <c r="O1000" s="6">
        <v>6785</v>
      </c>
      <c r="P1000" s="6">
        <v>0</v>
      </c>
      <c r="Q1000" s="6">
        <v>40498</v>
      </c>
    </row>
    <row r="1001" spans="1:17" x14ac:dyDescent="0.35">
      <c r="A1001" s="1">
        <v>44573</v>
      </c>
      <c r="B1001" s="6">
        <v>8747781</v>
      </c>
      <c r="C1001" s="6">
        <v>4673082</v>
      </c>
      <c r="D1001" s="6">
        <v>0</v>
      </c>
      <c r="E1001" s="6">
        <v>3928933</v>
      </c>
      <c r="F1001" s="6">
        <v>489679</v>
      </c>
      <c r="G1001" s="6">
        <v>5190</v>
      </c>
      <c r="H1001" s="6">
        <v>249280</v>
      </c>
      <c r="I1001" s="6">
        <v>1862045</v>
      </c>
      <c r="J1001" s="6">
        <v>2183300</v>
      </c>
      <c r="K1001" s="6">
        <v>181</v>
      </c>
      <c r="L1001" s="6">
        <v>21258</v>
      </c>
      <c r="M1001" s="6">
        <v>7914</v>
      </c>
      <c r="N1001" s="6">
        <v>33712</v>
      </c>
      <c r="O1001" s="6">
        <v>6785</v>
      </c>
      <c r="P1001" s="6">
        <v>0</v>
      </c>
      <c r="Q1001" s="6">
        <v>40497</v>
      </c>
    </row>
    <row r="1002" spans="1:17" x14ac:dyDescent="0.35">
      <c r="A1002" s="1">
        <v>44580</v>
      </c>
      <c r="B1002" s="6">
        <v>8827335</v>
      </c>
      <c r="C1002" s="6">
        <v>4651800</v>
      </c>
      <c r="D1002" s="6">
        <v>0</v>
      </c>
      <c r="E1002" s="6">
        <v>3821743</v>
      </c>
      <c r="F1002" s="6">
        <v>580171</v>
      </c>
      <c r="G1002" s="6">
        <v>7407</v>
      </c>
      <c r="H1002" s="6">
        <v>242478</v>
      </c>
      <c r="I1002" s="6">
        <v>1963799</v>
      </c>
      <c r="J1002" s="6">
        <v>2183281</v>
      </c>
      <c r="K1002" s="6">
        <v>224</v>
      </c>
      <c r="L1002" s="6">
        <v>21258</v>
      </c>
      <c r="M1002" s="6">
        <v>6974</v>
      </c>
      <c r="N1002" s="6">
        <v>33714</v>
      </c>
      <c r="O1002" s="6">
        <v>6785</v>
      </c>
      <c r="P1002" s="6">
        <v>0</v>
      </c>
      <c r="Q1002" s="6">
        <v>40499</v>
      </c>
    </row>
    <row r="1003" spans="1:17" x14ac:dyDescent="0.35">
      <c r="A1003" s="1">
        <v>44587</v>
      </c>
      <c r="B1003" s="6">
        <v>8819978</v>
      </c>
      <c r="C1003" s="6">
        <v>4720894</v>
      </c>
      <c r="D1003" s="6">
        <v>0</v>
      </c>
      <c r="E1003" s="6">
        <v>3825076</v>
      </c>
      <c r="F1003" s="6">
        <v>639620</v>
      </c>
      <c r="G1003" s="6">
        <v>6670</v>
      </c>
      <c r="H1003" s="6">
        <v>249528</v>
      </c>
      <c r="I1003" s="6">
        <v>1891190</v>
      </c>
      <c r="J1003" s="6">
        <v>2180271</v>
      </c>
      <c r="K1003" s="6">
        <v>571</v>
      </c>
      <c r="L1003" s="6">
        <v>21258</v>
      </c>
      <c r="M1003" s="6">
        <v>5794</v>
      </c>
      <c r="N1003" s="6">
        <v>33722</v>
      </c>
      <c r="O1003" s="6">
        <v>6785</v>
      </c>
      <c r="P1003" s="6">
        <v>0</v>
      </c>
      <c r="Q1003" s="6">
        <v>40507</v>
      </c>
    </row>
    <row r="1004" spans="1:17" x14ac:dyDescent="0.35">
      <c r="A1004" s="1">
        <v>44594</v>
      </c>
      <c r="B1004" s="6">
        <v>8832656</v>
      </c>
      <c r="C1004" s="6">
        <v>4716593</v>
      </c>
      <c r="D1004" s="6">
        <v>0</v>
      </c>
      <c r="E1004" s="6">
        <v>3756617</v>
      </c>
      <c r="F1004" s="6">
        <v>710267</v>
      </c>
      <c r="G1004" s="6">
        <v>5621</v>
      </c>
      <c r="H1004" s="6">
        <v>244088</v>
      </c>
      <c r="I1004" s="6">
        <v>1906571</v>
      </c>
      <c r="J1004" s="6">
        <v>2180362</v>
      </c>
      <c r="K1004" s="6">
        <v>200</v>
      </c>
      <c r="L1004" s="6">
        <v>21258</v>
      </c>
      <c r="M1004" s="6">
        <v>7671</v>
      </c>
      <c r="N1004" s="6">
        <v>33770</v>
      </c>
      <c r="O1004" s="6">
        <v>6785</v>
      </c>
      <c r="P1004" s="6">
        <v>0</v>
      </c>
      <c r="Q1004" s="6">
        <v>40555</v>
      </c>
    </row>
    <row r="1005" spans="1:17" x14ac:dyDescent="0.35">
      <c r="A1005" s="1">
        <v>44601</v>
      </c>
      <c r="B1005" s="6">
        <v>8837472</v>
      </c>
      <c r="C1005" s="6">
        <v>4719970</v>
      </c>
      <c r="D1005" s="6">
        <v>0</v>
      </c>
      <c r="E1005" s="6">
        <v>3794977</v>
      </c>
      <c r="F1005" s="6">
        <v>679019</v>
      </c>
      <c r="G1005" s="6">
        <v>5190</v>
      </c>
      <c r="H1005" s="6">
        <v>240784</v>
      </c>
      <c r="I1005" s="6">
        <v>1907891</v>
      </c>
      <c r="J1005" s="6">
        <v>2181755</v>
      </c>
      <c r="K1005" s="6">
        <v>208</v>
      </c>
      <c r="L1005" s="6">
        <v>21258</v>
      </c>
      <c r="M1005" s="6">
        <v>6390</v>
      </c>
      <c r="N1005" s="6">
        <v>33752</v>
      </c>
      <c r="O1005" s="6">
        <v>6785</v>
      </c>
      <c r="P1005" s="6">
        <v>0</v>
      </c>
      <c r="Q1005" s="6">
        <v>40537</v>
      </c>
    </row>
    <row r="1006" spans="1:17" x14ac:dyDescent="0.35">
      <c r="A1006" s="1">
        <v>44608</v>
      </c>
      <c r="B1006" s="6">
        <v>8870572</v>
      </c>
      <c r="C1006" s="6">
        <v>4757374</v>
      </c>
      <c r="D1006" s="6">
        <v>0</v>
      </c>
      <c r="E1006" s="6">
        <v>3796720</v>
      </c>
      <c r="F1006" s="6">
        <v>709261</v>
      </c>
      <c r="G1006" s="6">
        <v>7251</v>
      </c>
      <c r="H1006" s="6">
        <v>244141</v>
      </c>
      <c r="I1006" s="6">
        <v>1901462</v>
      </c>
      <c r="J1006" s="6">
        <v>2184708</v>
      </c>
      <c r="K1006" s="6">
        <v>220</v>
      </c>
      <c r="L1006" s="6">
        <v>21258</v>
      </c>
      <c r="M1006" s="6">
        <v>5549</v>
      </c>
      <c r="N1006" s="6">
        <v>33676</v>
      </c>
      <c r="O1006" s="6">
        <v>6785</v>
      </c>
      <c r="P1006" s="6">
        <v>0</v>
      </c>
      <c r="Q1006" s="6">
        <v>40461</v>
      </c>
    </row>
    <row r="1007" spans="1:17" x14ac:dyDescent="0.35">
      <c r="A1007" s="1">
        <v>44615</v>
      </c>
      <c r="B1007" s="6">
        <v>8887596</v>
      </c>
      <c r="C1007" s="6">
        <v>4676010</v>
      </c>
      <c r="D1007" s="6">
        <v>0</v>
      </c>
      <c r="E1007" s="6">
        <v>3745976</v>
      </c>
      <c r="F1007" s="6">
        <v>674797</v>
      </c>
      <c r="G1007" s="6">
        <v>6536</v>
      </c>
      <c r="H1007" s="6">
        <v>248702</v>
      </c>
      <c r="I1007" s="6">
        <v>1993111</v>
      </c>
      <c r="J1007" s="6">
        <v>2190870</v>
      </c>
      <c r="K1007" s="6">
        <v>247</v>
      </c>
      <c r="L1007" s="6">
        <v>21258</v>
      </c>
      <c r="M1007" s="6">
        <v>6100</v>
      </c>
      <c r="N1007" s="6">
        <v>33748</v>
      </c>
      <c r="O1007" s="6">
        <v>6785</v>
      </c>
      <c r="P1007" s="6">
        <v>0</v>
      </c>
      <c r="Q1007" s="6">
        <v>40533</v>
      </c>
    </row>
    <row r="1008" spans="1:17" x14ac:dyDescent="0.35">
      <c r="A1008" s="1">
        <v>44622</v>
      </c>
      <c r="B1008" s="6">
        <v>8863346</v>
      </c>
      <c r="C1008" s="6">
        <v>4860175</v>
      </c>
      <c r="D1008" s="6">
        <v>0</v>
      </c>
      <c r="E1008" s="6">
        <v>3919484</v>
      </c>
      <c r="F1008" s="6">
        <v>685491</v>
      </c>
      <c r="G1008" s="6">
        <v>6284</v>
      </c>
      <c r="H1008" s="6">
        <v>248916</v>
      </c>
      <c r="I1008" s="6">
        <v>1775652</v>
      </c>
      <c r="J1008" s="6">
        <v>2198936</v>
      </c>
      <c r="K1008" s="6">
        <v>707</v>
      </c>
      <c r="L1008" s="6">
        <v>21258</v>
      </c>
      <c r="M1008" s="6">
        <v>6618</v>
      </c>
      <c r="N1008" s="6">
        <v>34324</v>
      </c>
      <c r="O1008" s="6">
        <v>6785</v>
      </c>
      <c r="P1008" s="6">
        <v>0</v>
      </c>
      <c r="Q1008" s="6">
        <v>41109</v>
      </c>
    </row>
    <row r="1009" spans="1:17" x14ac:dyDescent="0.35">
      <c r="A1009" s="1">
        <v>44629</v>
      </c>
      <c r="B1009" s="6">
        <v>8869639</v>
      </c>
      <c r="C1009" s="6">
        <v>4844986</v>
      </c>
      <c r="D1009" s="6">
        <v>0</v>
      </c>
      <c r="E1009" s="6">
        <v>3953651</v>
      </c>
      <c r="F1009" s="6">
        <v>609369</v>
      </c>
      <c r="G1009" s="6">
        <v>7606</v>
      </c>
      <c r="H1009" s="6">
        <v>274362</v>
      </c>
      <c r="I1009" s="6">
        <v>1786246</v>
      </c>
      <c r="J1009" s="6">
        <v>2209407</v>
      </c>
      <c r="K1009" s="6">
        <v>308</v>
      </c>
      <c r="L1009" s="6">
        <v>21258</v>
      </c>
      <c r="M1009" s="6">
        <v>7434</v>
      </c>
      <c r="N1009" s="6">
        <v>34324</v>
      </c>
      <c r="O1009" s="6">
        <v>6785</v>
      </c>
      <c r="P1009" s="6">
        <v>0</v>
      </c>
      <c r="Q1009" s="6">
        <v>41109</v>
      </c>
    </row>
    <row r="1010" spans="1:17" x14ac:dyDescent="0.35">
      <c r="A1010" s="1">
        <v>44636</v>
      </c>
      <c r="B1010" s="6">
        <v>8913198</v>
      </c>
      <c r="C1010" s="6">
        <v>4806630</v>
      </c>
      <c r="D1010" s="6">
        <v>0</v>
      </c>
      <c r="E1010" s="6">
        <v>3893412</v>
      </c>
      <c r="F1010" s="6">
        <v>621527</v>
      </c>
      <c r="G1010" s="6">
        <v>6433</v>
      </c>
      <c r="H1010" s="6">
        <v>285257</v>
      </c>
      <c r="I1010" s="6">
        <v>1864637</v>
      </c>
      <c r="J1010" s="6">
        <v>2214221</v>
      </c>
      <c r="K1010" s="6">
        <v>211</v>
      </c>
      <c r="L1010" s="6">
        <v>21258</v>
      </c>
      <c r="M1010" s="6">
        <v>6241</v>
      </c>
      <c r="N1010" s="6">
        <v>34324</v>
      </c>
      <c r="O1010" s="6">
        <v>6785</v>
      </c>
      <c r="P1010" s="6">
        <v>0</v>
      </c>
      <c r="Q1010" s="6">
        <v>41109</v>
      </c>
    </row>
    <row r="1011" spans="1:17" x14ac:dyDescent="0.35">
      <c r="A1011" s="1">
        <v>44643</v>
      </c>
      <c r="B1011" s="6">
        <v>8921365</v>
      </c>
      <c r="C1011" s="6">
        <v>4623732</v>
      </c>
      <c r="D1011" s="6">
        <v>0</v>
      </c>
      <c r="E1011" s="6">
        <v>3769046</v>
      </c>
      <c r="F1011" s="6">
        <v>576442</v>
      </c>
      <c r="G1011" s="6">
        <v>7573</v>
      </c>
      <c r="H1011" s="6">
        <v>270671</v>
      </c>
      <c r="I1011" s="6">
        <v>2054582</v>
      </c>
      <c r="J1011" s="6">
        <v>2216134</v>
      </c>
      <c r="K1011" s="6">
        <v>209</v>
      </c>
      <c r="L1011" s="6">
        <v>21258</v>
      </c>
      <c r="M1011" s="6">
        <v>5451</v>
      </c>
      <c r="N1011" s="6">
        <v>34324</v>
      </c>
      <c r="O1011" s="6">
        <v>6785</v>
      </c>
      <c r="P1011" s="6">
        <v>0</v>
      </c>
      <c r="Q1011" s="6">
        <v>41109</v>
      </c>
    </row>
    <row r="1012" spans="1:17" x14ac:dyDescent="0.35">
      <c r="A1012" s="1">
        <v>44650</v>
      </c>
      <c r="B1012" s="6">
        <v>8896034</v>
      </c>
      <c r="C1012" s="6">
        <v>4608766</v>
      </c>
      <c r="D1012" s="6">
        <v>0</v>
      </c>
      <c r="E1012" s="6">
        <v>3773466</v>
      </c>
      <c r="F1012" s="6">
        <v>556791</v>
      </c>
      <c r="G1012" s="6">
        <v>8124</v>
      </c>
      <c r="H1012" s="6">
        <v>270384</v>
      </c>
      <c r="I1012" s="6">
        <v>2040783</v>
      </c>
      <c r="J1012" s="6">
        <v>2218660</v>
      </c>
      <c r="K1012" s="6">
        <v>1197</v>
      </c>
      <c r="L1012" s="6">
        <v>21258</v>
      </c>
      <c r="M1012" s="6">
        <v>5369</v>
      </c>
      <c r="N1012" s="6">
        <v>34324</v>
      </c>
      <c r="O1012" s="6">
        <v>6785</v>
      </c>
      <c r="P1012" s="6">
        <v>0</v>
      </c>
      <c r="Q1012" s="6">
        <v>41109</v>
      </c>
    </row>
    <row r="1013" spans="1:17" x14ac:dyDescent="0.35">
      <c r="A1013" s="1">
        <v>44657</v>
      </c>
      <c r="B1013" s="6">
        <v>8896432</v>
      </c>
      <c r="C1013" s="6">
        <v>4672560</v>
      </c>
      <c r="D1013" s="6">
        <v>0</v>
      </c>
      <c r="E1013" s="6">
        <v>3849872</v>
      </c>
      <c r="F1013" s="6">
        <v>545584</v>
      </c>
      <c r="G1013" s="6">
        <v>7434</v>
      </c>
      <c r="H1013" s="6">
        <v>269669</v>
      </c>
      <c r="I1013" s="6">
        <v>1975638</v>
      </c>
      <c r="J1013" s="6">
        <v>2221338</v>
      </c>
      <c r="K1013" s="6">
        <v>237</v>
      </c>
      <c r="L1013" s="6">
        <v>21258</v>
      </c>
      <c r="M1013" s="6">
        <v>5401</v>
      </c>
      <c r="N1013" s="6">
        <v>34376</v>
      </c>
      <c r="O1013" s="6">
        <v>6785</v>
      </c>
      <c r="P1013" s="6">
        <v>0</v>
      </c>
      <c r="Q1013" s="6">
        <v>41161</v>
      </c>
    </row>
    <row r="1014" spans="1:17" x14ac:dyDescent="0.35">
      <c r="A1014" s="1">
        <v>44664</v>
      </c>
      <c r="B1014" s="6">
        <v>8924269</v>
      </c>
      <c r="C1014" s="6">
        <v>4603149</v>
      </c>
      <c r="D1014" s="6">
        <v>0</v>
      </c>
      <c r="E1014" s="6">
        <v>3793319</v>
      </c>
      <c r="F1014" s="6">
        <v>543536</v>
      </c>
      <c r="G1014" s="6">
        <v>9172</v>
      </c>
      <c r="H1014" s="6">
        <v>257122</v>
      </c>
      <c r="I1014" s="6">
        <v>2070332</v>
      </c>
      <c r="J1014" s="6">
        <v>2221637</v>
      </c>
      <c r="K1014" s="6">
        <v>270</v>
      </c>
      <c r="L1014" s="6">
        <v>21258</v>
      </c>
      <c r="M1014" s="6">
        <v>7622</v>
      </c>
      <c r="N1014" s="6">
        <v>34433</v>
      </c>
      <c r="O1014" s="6">
        <v>6785</v>
      </c>
      <c r="P1014" s="6">
        <v>0</v>
      </c>
      <c r="Q1014" s="6">
        <v>41218</v>
      </c>
    </row>
    <row r="1015" spans="1:17" x14ac:dyDescent="0.35">
      <c r="A1015" s="1">
        <v>44671</v>
      </c>
      <c r="B1015" s="6">
        <v>8914606</v>
      </c>
      <c r="C1015" s="6">
        <v>4502201</v>
      </c>
      <c r="D1015" s="6">
        <v>0</v>
      </c>
      <c r="E1015" s="6">
        <v>3326857</v>
      </c>
      <c r="F1015" s="6">
        <v>907526</v>
      </c>
      <c r="G1015" s="6">
        <v>10077</v>
      </c>
      <c r="H1015" s="6">
        <v>257741</v>
      </c>
      <c r="I1015" s="6">
        <v>2164277</v>
      </c>
      <c r="J1015" s="6">
        <v>2220817</v>
      </c>
      <c r="K1015" s="6">
        <v>218</v>
      </c>
      <c r="L1015" s="6">
        <v>21258</v>
      </c>
      <c r="M1015" s="6">
        <v>5835</v>
      </c>
      <c r="N1015" s="6">
        <v>34460</v>
      </c>
      <c r="O1015" s="6">
        <v>6785</v>
      </c>
      <c r="P1015" s="6">
        <v>0</v>
      </c>
      <c r="Q1015" s="6">
        <v>41245</v>
      </c>
    </row>
    <row r="1016" spans="1:17" x14ac:dyDescent="0.35">
      <c r="A1016" s="1">
        <v>44678</v>
      </c>
      <c r="B1016" s="6">
        <v>8897939</v>
      </c>
      <c r="C1016" s="6">
        <v>4557884</v>
      </c>
      <c r="D1016" s="6">
        <v>0</v>
      </c>
      <c r="E1016" s="6">
        <v>3327551</v>
      </c>
      <c r="F1016" s="6">
        <v>957419</v>
      </c>
      <c r="G1016" s="6">
        <v>9905</v>
      </c>
      <c r="H1016" s="6">
        <v>263010</v>
      </c>
      <c r="I1016" s="6">
        <v>2091563</v>
      </c>
      <c r="J1016" s="6">
        <v>2220968</v>
      </c>
      <c r="K1016" s="6">
        <v>727</v>
      </c>
      <c r="L1016" s="6">
        <v>21258</v>
      </c>
      <c r="M1016" s="6">
        <v>5539</v>
      </c>
      <c r="N1016" s="6">
        <v>34474</v>
      </c>
      <c r="O1016" s="6">
        <v>6785</v>
      </c>
      <c r="P1016" s="6">
        <v>0</v>
      </c>
      <c r="Q1016" s="6">
        <v>41259</v>
      </c>
    </row>
    <row r="1017" spans="1:17" x14ac:dyDescent="0.35">
      <c r="A1017" s="1">
        <v>44685</v>
      </c>
      <c r="B1017" s="6">
        <v>8898713</v>
      </c>
      <c r="C1017" s="6">
        <v>4548595</v>
      </c>
      <c r="D1017" s="6">
        <v>0</v>
      </c>
      <c r="E1017" s="6">
        <v>3313995</v>
      </c>
      <c r="F1017" s="6">
        <v>964412</v>
      </c>
      <c r="G1017" s="6">
        <v>7434</v>
      </c>
      <c r="H1017" s="6">
        <v>262754</v>
      </c>
      <c r="I1017" s="6">
        <v>2098553</v>
      </c>
      <c r="J1017" s="6">
        <v>2222991</v>
      </c>
      <c r="K1017" s="6">
        <v>255</v>
      </c>
      <c r="L1017" s="6">
        <v>21258</v>
      </c>
      <c r="M1017" s="6">
        <v>7060</v>
      </c>
      <c r="N1017" s="6">
        <v>34475</v>
      </c>
      <c r="O1017" s="6">
        <v>6785</v>
      </c>
      <c r="P1017" s="6">
        <v>0</v>
      </c>
      <c r="Q1017" s="6">
        <v>41260</v>
      </c>
    </row>
    <row r="1018" spans="1:17" x14ac:dyDescent="0.35">
      <c r="A1018" s="1">
        <v>44692</v>
      </c>
      <c r="B1018" s="6">
        <v>8900394</v>
      </c>
      <c r="C1018" s="6">
        <v>4472627</v>
      </c>
      <c r="D1018" s="6">
        <v>0</v>
      </c>
      <c r="E1018" s="6">
        <v>3295681</v>
      </c>
      <c r="F1018" s="6">
        <v>919331</v>
      </c>
      <c r="G1018" s="6">
        <v>7435</v>
      </c>
      <c r="H1018" s="6">
        <v>250180</v>
      </c>
      <c r="I1018" s="6">
        <v>2174763</v>
      </c>
      <c r="J1018" s="6">
        <v>2224033</v>
      </c>
      <c r="K1018" s="6">
        <v>242</v>
      </c>
      <c r="L1018" s="6">
        <v>21258</v>
      </c>
      <c r="M1018" s="6">
        <v>7472</v>
      </c>
      <c r="N1018" s="6">
        <v>34829</v>
      </c>
      <c r="O1018" s="6">
        <v>6785</v>
      </c>
      <c r="P1018" s="6">
        <v>0</v>
      </c>
      <c r="Q1018" s="6">
        <v>41614</v>
      </c>
    </row>
    <row r="1019" spans="1:17" x14ac:dyDescent="0.35">
      <c r="A1019" s="1">
        <v>44699</v>
      </c>
      <c r="B1019" s="6">
        <v>8904284</v>
      </c>
      <c r="C1019" s="6">
        <v>4409721</v>
      </c>
      <c r="D1019" s="6">
        <v>0</v>
      </c>
      <c r="E1019" s="6">
        <v>3297142</v>
      </c>
      <c r="F1019" s="6">
        <v>866726</v>
      </c>
      <c r="G1019" s="6">
        <v>7436</v>
      </c>
      <c r="H1019" s="6">
        <v>238417</v>
      </c>
      <c r="I1019" s="6">
        <v>2241622</v>
      </c>
      <c r="J1019" s="6">
        <v>2223294</v>
      </c>
      <c r="K1019" s="6">
        <v>199</v>
      </c>
      <c r="L1019" s="6">
        <v>21258</v>
      </c>
      <c r="M1019" s="6">
        <v>8189</v>
      </c>
      <c r="N1019" s="6">
        <v>34829</v>
      </c>
      <c r="O1019" s="6">
        <v>6785</v>
      </c>
      <c r="P1019" s="6">
        <v>0</v>
      </c>
      <c r="Q1019" s="6">
        <v>41614</v>
      </c>
    </row>
    <row r="1020" spans="1:17" x14ac:dyDescent="0.35">
      <c r="A1020" s="1">
        <v>44706</v>
      </c>
      <c r="B1020" s="6">
        <v>8872668</v>
      </c>
      <c r="C1020" s="6">
        <v>4362599</v>
      </c>
      <c r="D1020" s="6">
        <v>0</v>
      </c>
      <c r="E1020" s="6">
        <v>3315018</v>
      </c>
      <c r="F1020" s="6">
        <v>801714</v>
      </c>
      <c r="G1020" s="6">
        <v>7435</v>
      </c>
      <c r="H1020" s="6">
        <v>238433</v>
      </c>
      <c r="I1020" s="6">
        <v>2258221</v>
      </c>
      <c r="J1020" s="6">
        <v>2226174</v>
      </c>
      <c r="K1020" s="6">
        <v>301</v>
      </c>
      <c r="L1020" s="6">
        <v>17940</v>
      </c>
      <c r="M1020" s="6">
        <v>7433</v>
      </c>
      <c r="N1020" s="6">
        <v>34829</v>
      </c>
      <c r="O1020" s="6">
        <v>6785</v>
      </c>
      <c r="P1020" s="6">
        <v>0</v>
      </c>
      <c r="Q1020" s="6">
        <v>41614</v>
      </c>
    </row>
    <row r="1021" spans="1:17" x14ac:dyDescent="0.35">
      <c r="A1021" s="1">
        <v>44713</v>
      </c>
      <c r="B1021" s="6">
        <v>8873436</v>
      </c>
      <c r="C1021" s="6">
        <v>4385825</v>
      </c>
      <c r="D1021" s="6">
        <v>0</v>
      </c>
      <c r="E1021" s="6">
        <v>3357395</v>
      </c>
      <c r="F1021" s="6">
        <v>780575</v>
      </c>
      <c r="G1021" s="6">
        <v>7707</v>
      </c>
      <c r="H1021" s="6">
        <v>240149</v>
      </c>
      <c r="I1021" s="6">
        <v>2230540</v>
      </c>
      <c r="J1021" s="6">
        <v>2230448</v>
      </c>
      <c r="K1021" s="6">
        <v>285</v>
      </c>
      <c r="L1021" s="6">
        <v>17940</v>
      </c>
      <c r="M1021" s="6">
        <v>8398</v>
      </c>
      <c r="N1021" s="6">
        <v>34829</v>
      </c>
      <c r="O1021" s="6">
        <v>6785</v>
      </c>
      <c r="P1021" s="6">
        <v>0</v>
      </c>
      <c r="Q1021" s="6">
        <v>41614</v>
      </c>
    </row>
    <row r="1022" spans="1:17" x14ac:dyDescent="0.35">
      <c r="A1022" s="1">
        <v>44720</v>
      </c>
      <c r="B1022" s="6">
        <v>8876586</v>
      </c>
      <c r="C1022" s="6">
        <v>4217728</v>
      </c>
      <c r="D1022" s="6">
        <v>0</v>
      </c>
      <c r="E1022" s="6">
        <v>3292602</v>
      </c>
      <c r="F1022" s="6">
        <v>683892</v>
      </c>
      <c r="G1022" s="6">
        <v>8734</v>
      </c>
      <c r="H1022" s="6">
        <v>232501</v>
      </c>
      <c r="I1022" s="6">
        <v>2404314</v>
      </c>
      <c r="J1022" s="6">
        <v>2229086</v>
      </c>
      <c r="K1022" s="6">
        <v>201</v>
      </c>
      <c r="L1022" s="6">
        <v>17940</v>
      </c>
      <c r="M1022" s="6">
        <v>7317</v>
      </c>
      <c r="N1022" s="6">
        <v>34883</v>
      </c>
      <c r="O1022" s="6">
        <v>6785</v>
      </c>
      <c r="P1022" s="6">
        <v>0</v>
      </c>
      <c r="Q1022" s="6">
        <v>41668</v>
      </c>
    </row>
    <row r="1023" spans="1:17" x14ac:dyDescent="0.35">
      <c r="A1023" s="1">
        <v>44727</v>
      </c>
      <c r="B1023" s="6">
        <v>8890747</v>
      </c>
      <c r="C1023" s="6">
        <v>4217365</v>
      </c>
      <c r="D1023" s="6">
        <v>0</v>
      </c>
      <c r="E1023" s="6">
        <v>3189605</v>
      </c>
      <c r="F1023" s="6">
        <v>769937</v>
      </c>
      <c r="G1023" s="6">
        <v>7435</v>
      </c>
      <c r="H1023" s="6">
        <v>250388</v>
      </c>
      <c r="I1023" s="6">
        <v>2421604</v>
      </c>
      <c r="J1023" s="6">
        <v>2227101</v>
      </c>
      <c r="K1023" s="6">
        <v>229</v>
      </c>
      <c r="L1023" s="6">
        <v>17940</v>
      </c>
      <c r="M1023" s="6">
        <v>6508</v>
      </c>
      <c r="N1023" s="6">
        <v>34887</v>
      </c>
      <c r="O1023" s="6">
        <v>6785</v>
      </c>
      <c r="P1023" s="6">
        <v>0</v>
      </c>
      <c r="Q1023" s="6">
        <v>41672</v>
      </c>
    </row>
    <row r="1024" spans="1:17" x14ac:dyDescent="0.35">
      <c r="A1024" s="1">
        <v>44734</v>
      </c>
      <c r="B1024" s="6">
        <v>8892673</v>
      </c>
      <c r="C1024" s="6">
        <v>4123153</v>
      </c>
      <c r="D1024" s="6">
        <v>0</v>
      </c>
      <c r="E1024" s="6">
        <v>3115594</v>
      </c>
      <c r="F1024" s="6">
        <v>745052</v>
      </c>
      <c r="G1024" s="6">
        <v>7434</v>
      </c>
      <c r="H1024" s="6">
        <v>255073</v>
      </c>
      <c r="I1024" s="6">
        <v>2516146</v>
      </c>
      <c r="J1024" s="6">
        <v>2228812</v>
      </c>
      <c r="K1024" s="6">
        <v>269</v>
      </c>
      <c r="L1024" s="6">
        <v>17940</v>
      </c>
      <c r="M1024" s="6">
        <v>6353</v>
      </c>
      <c r="N1024" s="6">
        <v>34888</v>
      </c>
      <c r="O1024" s="6">
        <v>6785</v>
      </c>
      <c r="P1024" s="6">
        <v>0</v>
      </c>
      <c r="Q1024" s="6">
        <v>41673</v>
      </c>
    </row>
    <row r="1025" spans="1:17" x14ac:dyDescent="0.35">
      <c r="A1025" s="1">
        <v>44741</v>
      </c>
      <c r="B1025" s="6">
        <v>8871849</v>
      </c>
      <c r="C1025" s="6">
        <v>4126514</v>
      </c>
      <c r="D1025" s="6">
        <v>0</v>
      </c>
      <c r="E1025" s="6">
        <v>3118614</v>
      </c>
      <c r="F1025" s="6">
        <v>759845</v>
      </c>
      <c r="G1025" s="6">
        <v>7434</v>
      </c>
      <c r="H1025" s="6">
        <v>240622</v>
      </c>
      <c r="I1025" s="6">
        <v>2488247</v>
      </c>
      <c r="J1025" s="6">
        <v>2231322</v>
      </c>
      <c r="K1025" s="6">
        <v>1237</v>
      </c>
      <c r="L1025" s="6">
        <v>17940</v>
      </c>
      <c r="M1025" s="6">
        <v>6590</v>
      </c>
      <c r="N1025" s="6">
        <v>34919</v>
      </c>
      <c r="O1025" s="6">
        <v>6785</v>
      </c>
      <c r="P1025" s="6">
        <v>0</v>
      </c>
      <c r="Q1025" s="6">
        <v>41704</v>
      </c>
    </row>
    <row r="1026" spans="1:17" x14ac:dyDescent="0.35">
      <c r="A1026" s="1">
        <v>44748</v>
      </c>
      <c r="B1026" s="6">
        <v>8850147</v>
      </c>
      <c r="C1026" s="6">
        <v>4149540</v>
      </c>
      <c r="D1026" s="6">
        <v>0</v>
      </c>
      <c r="E1026" s="6">
        <v>3222931</v>
      </c>
      <c r="F1026" s="6">
        <v>687943</v>
      </c>
      <c r="G1026" s="6">
        <v>8462</v>
      </c>
      <c r="H1026" s="6">
        <v>230204</v>
      </c>
      <c r="I1026" s="6">
        <v>2440650</v>
      </c>
      <c r="J1026" s="6">
        <v>2235081</v>
      </c>
      <c r="K1026" s="6">
        <v>301</v>
      </c>
      <c r="L1026" s="6">
        <v>17940</v>
      </c>
      <c r="M1026" s="6">
        <v>6636</v>
      </c>
      <c r="N1026" s="6">
        <v>34919</v>
      </c>
      <c r="O1026" s="6">
        <v>6785</v>
      </c>
      <c r="P1026" s="6">
        <v>0</v>
      </c>
      <c r="Q1026" s="6">
        <v>41704</v>
      </c>
    </row>
    <row r="1027" spans="1:17" x14ac:dyDescent="0.35">
      <c r="A1027" s="1">
        <v>44755</v>
      </c>
      <c r="B1027" s="6">
        <v>8854161</v>
      </c>
      <c r="C1027" s="6">
        <v>4155116</v>
      </c>
      <c r="D1027" s="6">
        <v>0</v>
      </c>
      <c r="E1027" s="6">
        <v>3306521</v>
      </c>
      <c r="F1027" s="6">
        <v>618740</v>
      </c>
      <c r="G1027" s="6">
        <v>10075</v>
      </c>
      <c r="H1027" s="6">
        <v>219780</v>
      </c>
      <c r="I1027" s="6">
        <v>2442840</v>
      </c>
      <c r="J1027" s="6">
        <v>2229980</v>
      </c>
      <c r="K1027" s="6">
        <v>236</v>
      </c>
      <c r="L1027" s="6">
        <v>17940</v>
      </c>
      <c r="M1027" s="6">
        <v>8050</v>
      </c>
      <c r="N1027" s="6">
        <v>34922</v>
      </c>
      <c r="O1027" s="6">
        <v>6785</v>
      </c>
      <c r="P1027" s="6">
        <v>0</v>
      </c>
      <c r="Q1027" s="6">
        <v>41707</v>
      </c>
    </row>
    <row r="1028" spans="1:17" x14ac:dyDescent="0.35">
      <c r="A1028" s="1">
        <v>44762</v>
      </c>
      <c r="B1028" s="6">
        <v>8857506</v>
      </c>
      <c r="C1028" s="6">
        <v>4072184</v>
      </c>
      <c r="D1028" s="6">
        <v>0</v>
      </c>
      <c r="E1028" s="6">
        <v>3235172</v>
      </c>
      <c r="F1028" s="6">
        <v>616348</v>
      </c>
      <c r="G1028" s="6">
        <v>10752</v>
      </c>
      <c r="H1028" s="6">
        <v>209911</v>
      </c>
      <c r="I1028" s="6">
        <v>2534475</v>
      </c>
      <c r="J1028" s="6">
        <v>2226065</v>
      </c>
      <c r="K1028" s="6">
        <v>206</v>
      </c>
      <c r="L1028" s="6">
        <v>17940</v>
      </c>
      <c r="M1028" s="6">
        <v>6637</v>
      </c>
      <c r="N1028" s="6">
        <v>34922</v>
      </c>
      <c r="O1028" s="6">
        <v>6785</v>
      </c>
      <c r="P1028" s="6">
        <v>0</v>
      </c>
      <c r="Q1028" s="6">
        <v>41707</v>
      </c>
    </row>
    <row r="1029" spans="1:17" x14ac:dyDescent="0.35">
      <c r="A1029" s="1">
        <v>44769</v>
      </c>
      <c r="B1029" s="6">
        <v>8848295</v>
      </c>
      <c r="C1029" s="6">
        <v>4113295</v>
      </c>
      <c r="D1029" s="6">
        <v>0</v>
      </c>
      <c r="E1029" s="6">
        <v>3275609</v>
      </c>
      <c r="F1029" s="6">
        <v>615515</v>
      </c>
      <c r="G1029" s="6">
        <v>9601</v>
      </c>
      <c r="H1029" s="6">
        <v>212570</v>
      </c>
      <c r="I1029" s="6">
        <v>2484253</v>
      </c>
      <c r="J1029" s="6">
        <v>2224973</v>
      </c>
      <c r="K1029" s="6">
        <v>633</v>
      </c>
      <c r="L1029" s="6">
        <v>17940</v>
      </c>
      <c r="M1029" s="6">
        <v>7201</v>
      </c>
      <c r="N1029" s="6">
        <v>34924</v>
      </c>
      <c r="O1029" s="6">
        <v>6785</v>
      </c>
      <c r="P1029" s="6">
        <v>0</v>
      </c>
      <c r="Q1029" s="6">
        <v>41709</v>
      </c>
    </row>
    <row r="1030" spans="1:17" x14ac:dyDescent="0.35">
      <c r="A1030" s="1">
        <v>44776</v>
      </c>
      <c r="B1030" s="6">
        <v>8832909</v>
      </c>
      <c r="C1030" s="6">
        <v>4134254</v>
      </c>
      <c r="D1030" s="6">
        <v>0</v>
      </c>
      <c r="E1030" s="6">
        <v>3342519</v>
      </c>
      <c r="F1030" s="6">
        <v>566577</v>
      </c>
      <c r="G1030" s="6">
        <v>9695</v>
      </c>
      <c r="H1030" s="6">
        <v>215464</v>
      </c>
      <c r="I1030" s="6">
        <v>2447840</v>
      </c>
      <c r="J1030" s="6">
        <v>2225950</v>
      </c>
      <c r="K1030" s="6">
        <v>224</v>
      </c>
      <c r="L1030" s="6">
        <v>17940</v>
      </c>
      <c r="M1030" s="6">
        <v>6701</v>
      </c>
      <c r="N1030" s="6">
        <v>34926</v>
      </c>
      <c r="O1030" s="6">
        <v>6785</v>
      </c>
      <c r="P1030" s="6">
        <v>0</v>
      </c>
      <c r="Q1030" s="6">
        <v>41711</v>
      </c>
    </row>
    <row r="1031" spans="1:17" x14ac:dyDescent="0.35">
      <c r="A1031" s="1">
        <v>44783</v>
      </c>
      <c r="B1031" s="6">
        <v>8837343</v>
      </c>
      <c r="C1031" s="6">
        <v>4137948</v>
      </c>
      <c r="D1031" s="6">
        <v>0</v>
      </c>
      <c r="E1031" s="6">
        <v>3357494</v>
      </c>
      <c r="F1031" s="6">
        <v>561140</v>
      </c>
      <c r="G1031" s="6">
        <v>8945</v>
      </c>
      <c r="H1031" s="6">
        <v>210370</v>
      </c>
      <c r="I1031" s="6">
        <v>2445699</v>
      </c>
      <c r="J1031" s="6">
        <v>2226628</v>
      </c>
      <c r="K1031" s="6">
        <v>205</v>
      </c>
      <c r="L1031" s="6">
        <v>17940</v>
      </c>
      <c r="M1031" s="6">
        <v>8922</v>
      </c>
      <c r="N1031" s="6">
        <v>35010</v>
      </c>
      <c r="O1031" s="6">
        <v>6785</v>
      </c>
      <c r="P1031" s="6">
        <v>0</v>
      </c>
      <c r="Q1031" s="6">
        <v>41795</v>
      </c>
    </row>
    <row r="1032" spans="1:17" x14ac:dyDescent="0.35">
      <c r="A1032" s="1">
        <v>44790</v>
      </c>
      <c r="B1032" s="6">
        <v>8807966</v>
      </c>
      <c r="C1032" s="6">
        <v>4089108</v>
      </c>
      <c r="D1032" s="6">
        <v>0</v>
      </c>
      <c r="E1032" s="6">
        <v>3333700</v>
      </c>
      <c r="F1032" s="6">
        <v>539278</v>
      </c>
      <c r="G1032" s="6">
        <v>7435</v>
      </c>
      <c r="H1032" s="6">
        <v>208695</v>
      </c>
      <c r="I1032" s="6">
        <v>2467848</v>
      </c>
      <c r="J1032" s="6">
        <v>2226527</v>
      </c>
      <c r="K1032" s="6">
        <v>210</v>
      </c>
      <c r="L1032" s="6">
        <v>17940</v>
      </c>
      <c r="M1032" s="6">
        <v>6333</v>
      </c>
      <c r="N1032" s="6">
        <v>35011</v>
      </c>
      <c r="O1032" s="6">
        <v>6785</v>
      </c>
      <c r="P1032" s="6">
        <v>0</v>
      </c>
      <c r="Q1032" s="6">
        <v>41796</v>
      </c>
    </row>
    <row r="1033" spans="1:17" x14ac:dyDescent="0.35">
      <c r="A1033" s="1">
        <v>44797</v>
      </c>
      <c r="B1033" s="6">
        <v>8809639</v>
      </c>
      <c r="C1033" s="6">
        <v>4063051</v>
      </c>
      <c r="D1033" s="6">
        <v>0</v>
      </c>
      <c r="E1033" s="6">
        <v>3270913</v>
      </c>
      <c r="F1033" s="6">
        <v>530196</v>
      </c>
      <c r="G1033" s="6">
        <v>7435</v>
      </c>
      <c r="H1033" s="6">
        <v>254507</v>
      </c>
      <c r="I1033" s="6">
        <v>2494360</v>
      </c>
      <c r="J1033" s="6">
        <v>2226320</v>
      </c>
      <c r="K1033" s="6">
        <v>204</v>
      </c>
      <c r="L1033" s="6">
        <v>17940</v>
      </c>
      <c r="M1033" s="6">
        <v>7763</v>
      </c>
      <c r="N1033" s="6">
        <v>35011</v>
      </c>
      <c r="O1033" s="6">
        <v>6785</v>
      </c>
      <c r="P1033" s="6">
        <v>0</v>
      </c>
      <c r="Q1033" s="6">
        <v>41796</v>
      </c>
    </row>
    <row r="1034" spans="1:17" x14ac:dyDescent="0.35">
      <c r="A1034" s="1">
        <v>44804</v>
      </c>
      <c r="B1034" s="6">
        <v>8784292</v>
      </c>
      <c r="C1034" s="6">
        <v>4002133</v>
      </c>
      <c r="D1034" s="6">
        <v>0</v>
      </c>
      <c r="E1034" s="6">
        <v>3115849</v>
      </c>
      <c r="F1034" s="6">
        <v>669911</v>
      </c>
      <c r="G1034" s="6">
        <v>8117</v>
      </c>
      <c r="H1034" s="6">
        <v>208256</v>
      </c>
      <c r="I1034" s="6">
        <v>2528284</v>
      </c>
      <c r="J1034" s="6">
        <v>2228832</v>
      </c>
      <c r="K1034" s="6">
        <v>1150</v>
      </c>
      <c r="L1034" s="6">
        <v>17940</v>
      </c>
      <c r="M1034" s="6">
        <v>5952</v>
      </c>
      <c r="N1034" s="6">
        <v>35016</v>
      </c>
      <c r="O1034" s="6">
        <v>6785</v>
      </c>
      <c r="P1034" s="6">
        <v>0</v>
      </c>
      <c r="Q1034" s="6">
        <v>41801</v>
      </c>
    </row>
    <row r="1035" spans="1:17" x14ac:dyDescent="0.35">
      <c r="A1035" s="1">
        <v>44811</v>
      </c>
      <c r="B1035" s="6">
        <v>8780566</v>
      </c>
      <c r="C1035" s="6">
        <v>4061695</v>
      </c>
      <c r="D1035" s="6">
        <v>0</v>
      </c>
      <c r="E1035" s="6">
        <v>3271336</v>
      </c>
      <c r="F1035" s="6">
        <v>582921</v>
      </c>
      <c r="G1035" s="6">
        <v>7435</v>
      </c>
      <c r="H1035" s="6">
        <v>200002</v>
      </c>
      <c r="I1035" s="6">
        <v>2459898</v>
      </c>
      <c r="J1035" s="6">
        <v>2234344</v>
      </c>
      <c r="K1035" s="6">
        <v>263</v>
      </c>
      <c r="L1035" s="6">
        <v>17940</v>
      </c>
      <c r="M1035" s="6">
        <v>6428</v>
      </c>
      <c r="N1035" s="6">
        <v>35049</v>
      </c>
      <c r="O1035" s="6">
        <v>6785</v>
      </c>
      <c r="P1035" s="6">
        <v>0</v>
      </c>
      <c r="Q1035" s="6">
        <v>41834</v>
      </c>
    </row>
    <row r="1036" spans="1:17" x14ac:dyDescent="0.35">
      <c r="A1036" s="1">
        <v>44818</v>
      </c>
      <c r="B1036" s="6">
        <v>8790925</v>
      </c>
      <c r="C1036" s="6">
        <v>4009804</v>
      </c>
      <c r="D1036" s="6">
        <v>0</v>
      </c>
      <c r="E1036" s="6">
        <v>3158697</v>
      </c>
      <c r="F1036" s="6">
        <v>617997</v>
      </c>
      <c r="G1036" s="6">
        <v>7435</v>
      </c>
      <c r="H1036" s="6">
        <v>225675</v>
      </c>
      <c r="I1036" s="6">
        <v>2526689</v>
      </c>
      <c r="J1036" s="6">
        <v>2230831</v>
      </c>
      <c r="K1036" s="6">
        <v>212</v>
      </c>
      <c r="L1036" s="6">
        <v>17940</v>
      </c>
      <c r="M1036" s="6">
        <v>5451</v>
      </c>
      <c r="N1036" s="6">
        <v>35049</v>
      </c>
      <c r="O1036" s="6">
        <v>6785</v>
      </c>
      <c r="P1036" s="6">
        <v>0</v>
      </c>
      <c r="Q1036" s="6">
        <v>41834</v>
      </c>
    </row>
    <row r="1037" spans="1:17" x14ac:dyDescent="0.35">
      <c r="A1037" s="1">
        <v>44825</v>
      </c>
      <c r="B1037" s="6">
        <v>8774954</v>
      </c>
      <c r="C1037" s="6">
        <v>3911699</v>
      </c>
      <c r="D1037" s="6">
        <v>0</v>
      </c>
      <c r="E1037" s="6">
        <v>3003741</v>
      </c>
      <c r="F1037" s="6">
        <v>690286</v>
      </c>
      <c r="G1037" s="6">
        <v>7439</v>
      </c>
      <c r="H1037" s="6">
        <v>210232</v>
      </c>
      <c r="I1037" s="6">
        <v>2611368</v>
      </c>
      <c r="J1037" s="6">
        <v>2227492</v>
      </c>
      <c r="K1037" s="6">
        <v>203</v>
      </c>
      <c r="L1037" s="6">
        <v>17940</v>
      </c>
      <c r="M1037" s="6">
        <v>6253</v>
      </c>
      <c r="N1037" s="6">
        <v>35062</v>
      </c>
      <c r="O1037" s="6">
        <v>6785</v>
      </c>
      <c r="P1037" s="6">
        <v>0</v>
      </c>
      <c r="Q1037" s="6">
        <v>41847</v>
      </c>
    </row>
    <row r="1038" spans="1:17" x14ac:dyDescent="0.35">
      <c r="A1038" s="1">
        <v>44832</v>
      </c>
      <c r="B1038" s="6">
        <v>8753720</v>
      </c>
      <c r="C1038" s="6">
        <v>3864744</v>
      </c>
      <c r="D1038" s="6">
        <v>0</v>
      </c>
      <c r="E1038" s="6">
        <v>2983208</v>
      </c>
      <c r="F1038" s="6">
        <v>661920</v>
      </c>
      <c r="G1038" s="6">
        <v>7436</v>
      </c>
      <c r="H1038" s="6">
        <v>212180</v>
      </c>
      <c r="I1038" s="6">
        <v>2638289</v>
      </c>
      <c r="J1038" s="6">
        <v>2228649</v>
      </c>
      <c r="K1038" s="6">
        <v>774</v>
      </c>
      <c r="L1038" s="6">
        <v>17940</v>
      </c>
      <c r="M1038" s="6">
        <v>3324</v>
      </c>
      <c r="N1038" s="6">
        <v>35062</v>
      </c>
      <c r="O1038" s="6">
        <v>6785</v>
      </c>
      <c r="P1038" s="6">
        <v>0</v>
      </c>
      <c r="Q1038" s="6">
        <v>41847</v>
      </c>
    </row>
    <row r="1039" spans="1:17" x14ac:dyDescent="0.35">
      <c r="A1039" s="1">
        <v>44839</v>
      </c>
      <c r="B1039" s="6">
        <v>8717194</v>
      </c>
      <c r="C1039" s="6">
        <v>3916332</v>
      </c>
      <c r="D1039" s="6">
        <v>0</v>
      </c>
      <c r="E1039" s="6">
        <v>3076450</v>
      </c>
      <c r="F1039" s="6">
        <v>622131</v>
      </c>
      <c r="G1039" s="6">
        <v>7434</v>
      </c>
      <c r="H1039" s="6">
        <v>210316</v>
      </c>
      <c r="I1039" s="6">
        <v>2544845</v>
      </c>
      <c r="J1039" s="6">
        <v>2233344</v>
      </c>
      <c r="K1039" s="6">
        <v>318</v>
      </c>
      <c r="L1039" s="6">
        <v>17940</v>
      </c>
      <c r="M1039" s="6">
        <v>4416</v>
      </c>
      <c r="N1039" s="6">
        <v>35073</v>
      </c>
      <c r="O1039" s="6">
        <v>6785</v>
      </c>
      <c r="P1039" s="6">
        <v>0</v>
      </c>
      <c r="Q1039" s="6">
        <v>41858</v>
      </c>
    </row>
    <row r="1040" spans="1:17" x14ac:dyDescent="0.35">
      <c r="A1040" s="1">
        <v>44846</v>
      </c>
      <c r="B1040" s="6">
        <v>8717098</v>
      </c>
      <c r="C1040" s="6">
        <v>3879184</v>
      </c>
      <c r="D1040" s="6">
        <v>0</v>
      </c>
      <c r="E1040" s="6">
        <v>3090308</v>
      </c>
      <c r="F1040" s="6">
        <v>583513</v>
      </c>
      <c r="G1040" s="6">
        <v>7435</v>
      </c>
      <c r="H1040" s="6">
        <v>197928</v>
      </c>
      <c r="I1040" s="6">
        <v>2580347</v>
      </c>
      <c r="J1040" s="6">
        <v>2237778</v>
      </c>
      <c r="K1040" s="6">
        <v>322</v>
      </c>
      <c r="L1040" s="6">
        <v>17940</v>
      </c>
      <c r="M1040" s="6">
        <v>1528</v>
      </c>
      <c r="N1040" s="6">
        <v>35086</v>
      </c>
      <c r="O1040" s="6">
        <v>6785</v>
      </c>
      <c r="P1040" s="6">
        <v>0</v>
      </c>
      <c r="Q1040" s="6">
        <v>41871</v>
      </c>
    </row>
    <row r="1041" spans="1:17" x14ac:dyDescent="0.35">
      <c r="A1041" s="1">
        <v>44853</v>
      </c>
      <c r="B1041" s="6">
        <v>8702050</v>
      </c>
      <c r="C1041" s="6">
        <v>3875722</v>
      </c>
      <c r="D1041" s="6">
        <v>0</v>
      </c>
      <c r="E1041" s="6">
        <v>3040778</v>
      </c>
      <c r="F1041" s="6">
        <v>640613</v>
      </c>
      <c r="G1041" s="6">
        <v>7435</v>
      </c>
      <c r="H1041" s="6">
        <v>186896</v>
      </c>
      <c r="I1041" s="6">
        <v>2571659</v>
      </c>
      <c r="J1041" s="6">
        <v>2234202</v>
      </c>
      <c r="K1041" s="6">
        <v>247</v>
      </c>
      <c r="L1041" s="6">
        <v>17940</v>
      </c>
      <c r="M1041" s="6">
        <v>2279</v>
      </c>
      <c r="N1041" s="6">
        <v>35087</v>
      </c>
      <c r="O1041" s="6">
        <v>6785</v>
      </c>
      <c r="P1041" s="6">
        <v>0</v>
      </c>
      <c r="Q1041" s="6">
        <v>41872</v>
      </c>
    </row>
    <row r="1042" spans="1:17" x14ac:dyDescent="0.35">
      <c r="A1042" s="1">
        <v>44860</v>
      </c>
      <c r="B1042" s="6">
        <v>8681216</v>
      </c>
      <c r="C1042" s="6">
        <v>3939326</v>
      </c>
      <c r="D1042" s="6">
        <v>0</v>
      </c>
      <c r="E1042" s="6">
        <v>3108147</v>
      </c>
      <c r="F1042" s="6">
        <v>636327</v>
      </c>
      <c r="G1042" s="6">
        <v>7436</v>
      </c>
      <c r="H1042" s="6">
        <v>187417</v>
      </c>
      <c r="I1042" s="6">
        <v>2489364</v>
      </c>
      <c r="J1042" s="6">
        <v>2234457</v>
      </c>
      <c r="K1042" s="6">
        <v>649</v>
      </c>
      <c r="L1042" s="6">
        <v>17940</v>
      </c>
      <c r="M1042" s="6">
        <v>-521</v>
      </c>
      <c r="N1042" s="6">
        <v>35089</v>
      </c>
      <c r="O1042" s="6">
        <v>6785</v>
      </c>
      <c r="P1042" s="6">
        <v>0</v>
      </c>
      <c r="Q1042" s="6">
        <v>41874</v>
      </c>
    </row>
    <row r="1043" spans="1:17" x14ac:dyDescent="0.35">
      <c r="A1043" s="1">
        <v>44867</v>
      </c>
      <c r="B1043" s="6">
        <v>8634995</v>
      </c>
      <c r="C1043" s="6">
        <v>3798843</v>
      </c>
      <c r="D1043" s="6">
        <v>0</v>
      </c>
      <c r="E1043" s="6">
        <v>3046980</v>
      </c>
      <c r="F1043" s="6">
        <v>552089</v>
      </c>
      <c r="G1043" s="6">
        <v>7436</v>
      </c>
      <c r="H1043" s="6">
        <v>192339</v>
      </c>
      <c r="I1043" s="6">
        <v>2580600</v>
      </c>
      <c r="J1043" s="6">
        <v>2236573</v>
      </c>
      <c r="K1043" s="6">
        <v>290</v>
      </c>
      <c r="L1043" s="6">
        <v>17940</v>
      </c>
      <c r="M1043" s="6">
        <v>750</v>
      </c>
      <c r="N1043" s="6">
        <v>35090</v>
      </c>
      <c r="O1043" s="6">
        <v>6785</v>
      </c>
      <c r="P1043" s="6">
        <v>0</v>
      </c>
      <c r="Q1043" s="6">
        <v>41875</v>
      </c>
    </row>
    <row r="1044" spans="1:17" x14ac:dyDescent="0.35">
      <c r="A1044" s="1">
        <v>44874</v>
      </c>
      <c r="B1044" s="6">
        <v>8637300</v>
      </c>
      <c r="C1044" s="6">
        <v>3786654</v>
      </c>
      <c r="D1044" s="6">
        <v>0</v>
      </c>
      <c r="E1044" s="6">
        <v>3071230</v>
      </c>
      <c r="F1044" s="6">
        <v>517340</v>
      </c>
      <c r="G1044" s="6">
        <v>7436</v>
      </c>
      <c r="H1044" s="6">
        <v>190649</v>
      </c>
      <c r="I1044" s="6">
        <v>2592090</v>
      </c>
      <c r="J1044" s="6">
        <v>2242141</v>
      </c>
      <c r="K1044" s="6">
        <v>303</v>
      </c>
      <c r="L1044" s="6">
        <v>17940</v>
      </c>
      <c r="M1044" s="6">
        <v>-1827</v>
      </c>
      <c r="N1044" s="6">
        <v>34801</v>
      </c>
      <c r="O1044" s="6">
        <v>6785</v>
      </c>
      <c r="P1044" s="6">
        <v>0</v>
      </c>
      <c r="Q1044" s="6">
        <v>41586</v>
      </c>
    </row>
    <row r="1045" spans="1:17" x14ac:dyDescent="0.35">
      <c r="A1045" s="1">
        <v>44881</v>
      </c>
      <c r="B1045" s="6">
        <v>8584035</v>
      </c>
      <c r="C1045" s="6">
        <v>3846479</v>
      </c>
      <c r="D1045" s="6">
        <v>0</v>
      </c>
      <c r="E1045" s="6">
        <v>3176799</v>
      </c>
      <c r="F1045" s="6">
        <v>472185</v>
      </c>
      <c r="G1045" s="6">
        <v>7436</v>
      </c>
      <c r="H1045" s="6">
        <v>190060</v>
      </c>
      <c r="I1045" s="6">
        <v>2476091</v>
      </c>
      <c r="J1045" s="6">
        <v>2243291</v>
      </c>
      <c r="K1045" s="6">
        <v>269</v>
      </c>
      <c r="L1045" s="6">
        <v>17940</v>
      </c>
      <c r="M1045" s="6">
        <v>-36</v>
      </c>
      <c r="N1045" s="6">
        <v>34801</v>
      </c>
      <c r="O1045" s="6">
        <v>6785</v>
      </c>
      <c r="P1045" s="6">
        <v>0</v>
      </c>
      <c r="Q1045" s="6">
        <v>41586</v>
      </c>
    </row>
    <row r="1046" spans="1:17" x14ac:dyDescent="0.35">
      <c r="A1046" s="1">
        <v>44888</v>
      </c>
      <c r="B1046" s="6">
        <v>8579805</v>
      </c>
      <c r="C1046" s="6">
        <v>3890947</v>
      </c>
      <c r="D1046" s="6">
        <v>0</v>
      </c>
      <c r="E1046" s="6">
        <v>3168849</v>
      </c>
      <c r="F1046" s="6">
        <v>492754</v>
      </c>
      <c r="G1046" s="6">
        <v>7435</v>
      </c>
      <c r="H1046" s="6">
        <v>221910</v>
      </c>
      <c r="I1046" s="6">
        <v>2430204</v>
      </c>
      <c r="J1046" s="6">
        <v>2246419</v>
      </c>
      <c r="K1046" s="6">
        <v>448</v>
      </c>
      <c r="L1046" s="6">
        <v>15347</v>
      </c>
      <c r="M1046" s="6">
        <v>-3561</v>
      </c>
      <c r="N1046" s="6">
        <v>34801</v>
      </c>
      <c r="O1046" s="6">
        <v>6785</v>
      </c>
      <c r="P1046" s="6">
        <v>0</v>
      </c>
      <c r="Q1046" s="6">
        <v>41586</v>
      </c>
    </row>
    <row r="1047" spans="1:17" x14ac:dyDescent="0.35">
      <c r="A1047" s="1">
        <v>44895</v>
      </c>
      <c r="B1047" s="6">
        <v>8542991</v>
      </c>
      <c r="C1047" s="6">
        <v>3785380</v>
      </c>
      <c r="D1047" s="6">
        <v>0</v>
      </c>
      <c r="E1047" s="6">
        <v>3052235</v>
      </c>
      <c r="F1047" s="6">
        <v>532791</v>
      </c>
      <c r="G1047" s="6">
        <v>7437</v>
      </c>
      <c r="H1047" s="6">
        <v>192918</v>
      </c>
      <c r="I1047" s="6">
        <v>2496506</v>
      </c>
      <c r="J1047" s="6">
        <v>2247656</v>
      </c>
      <c r="K1047" s="6">
        <v>1175</v>
      </c>
      <c r="L1047" s="6">
        <v>15347</v>
      </c>
      <c r="M1047" s="6">
        <v>-3074</v>
      </c>
      <c r="N1047" s="6">
        <v>34801</v>
      </c>
      <c r="O1047" s="6">
        <v>6785</v>
      </c>
      <c r="P1047" s="6">
        <v>0</v>
      </c>
      <c r="Q1047" s="6">
        <v>41586</v>
      </c>
    </row>
    <row r="1048" spans="1:17" x14ac:dyDescent="0.35">
      <c r="A1048" s="1">
        <v>44902</v>
      </c>
      <c r="B1048" s="6">
        <v>8540940</v>
      </c>
      <c r="C1048" s="6">
        <v>3766165</v>
      </c>
      <c r="D1048" s="6">
        <v>0</v>
      </c>
      <c r="E1048" s="6">
        <v>3149093</v>
      </c>
      <c r="F1048" s="6">
        <v>410853</v>
      </c>
      <c r="G1048" s="6">
        <v>8436</v>
      </c>
      <c r="H1048" s="6">
        <v>197784</v>
      </c>
      <c r="I1048" s="6">
        <v>2519549</v>
      </c>
      <c r="J1048" s="6">
        <v>2245879</v>
      </c>
      <c r="K1048" s="6">
        <v>269</v>
      </c>
      <c r="L1048" s="6">
        <v>15347</v>
      </c>
      <c r="M1048" s="6">
        <v>-6270</v>
      </c>
      <c r="N1048" s="6">
        <v>35010</v>
      </c>
      <c r="O1048" s="6">
        <v>6785</v>
      </c>
      <c r="P1048" s="6">
        <v>0</v>
      </c>
      <c r="Q1048" s="6">
        <v>41795</v>
      </c>
    </row>
    <row r="1049" spans="1:17" x14ac:dyDescent="0.35">
      <c r="A1049" s="1">
        <v>44909</v>
      </c>
      <c r="B1049" s="6">
        <v>8541615</v>
      </c>
      <c r="C1049" s="6">
        <v>3734699</v>
      </c>
      <c r="D1049" s="6">
        <v>0</v>
      </c>
      <c r="E1049" s="6">
        <v>3170807</v>
      </c>
      <c r="F1049" s="6">
        <v>342104</v>
      </c>
      <c r="G1049" s="6">
        <v>8436</v>
      </c>
      <c r="H1049" s="6">
        <v>213352</v>
      </c>
      <c r="I1049" s="6">
        <v>2551440</v>
      </c>
      <c r="J1049" s="6">
        <v>2244517</v>
      </c>
      <c r="K1049" s="6">
        <v>290</v>
      </c>
      <c r="L1049" s="6">
        <v>15347</v>
      </c>
      <c r="M1049" s="6">
        <v>-4678</v>
      </c>
      <c r="N1049" s="6">
        <v>35013</v>
      </c>
      <c r="O1049" s="6">
        <v>6785</v>
      </c>
      <c r="P1049" s="6">
        <v>0</v>
      </c>
      <c r="Q1049" s="6">
        <v>41798</v>
      </c>
    </row>
    <row r="1050" spans="1:17" x14ac:dyDescent="0.35">
      <c r="A1050" s="1">
        <v>44916</v>
      </c>
      <c r="B1050" s="6">
        <v>8522612</v>
      </c>
      <c r="C1050" s="6">
        <v>3704393</v>
      </c>
      <c r="D1050" s="6">
        <v>0</v>
      </c>
      <c r="E1050" s="6">
        <v>3049332</v>
      </c>
      <c r="F1050" s="6">
        <v>434922</v>
      </c>
      <c r="G1050" s="6">
        <v>8434</v>
      </c>
      <c r="H1050" s="6">
        <v>211706</v>
      </c>
      <c r="I1050" s="6">
        <v>2562362</v>
      </c>
      <c r="J1050" s="6">
        <v>2249145</v>
      </c>
      <c r="K1050" s="6">
        <v>255</v>
      </c>
      <c r="L1050" s="6">
        <v>15347</v>
      </c>
      <c r="M1050" s="6">
        <v>-8891</v>
      </c>
      <c r="N1050" s="6">
        <v>35014</v>
      </c>
      <c r="O1050" s="6">
        <v>6785</v>
      </c>
      <c r="P1050" s="6">
        <v>0</v>
      </c>
      <c r="Q1050" s="6">
        <v>41799</v>
      </c>
    </row>
    <row r="1051" spans="1:17" x14ac:dyDescent="0.35">
      <c r="A1051" s="1">
        <v>44923</v>
      </c>
      <c r="B1051" s="6">
        <v>8509370</v>
      </c>
      <c r="C1051" s="6">
        <v>3617052</v>
      </c>
      <c r="D1051" s="6">
        <v>0</v>
      </c>
      <c r="E1051" s="6">
        <v>2979742</v>
      </c>
      <c r="F1051" s="6">
        <v>409809</v>
      </c>
      <c r="G1051" s="6">
        <v>8434</v>
      </c>
      <c r="H1051" s="6">
        <v>219068</v>
      </c>
      <c r="I1051" s="6">
        <v>2627152</v>
      </c>
      <c r="J1051" s="6">
        <v>2257171</v>
      </c>
      <c r="K1051" s="6">
        <v>627</v>
      </c>
      <c r="L1051" s="6">
        <v>15347</v>
      </c>
      <c r="M1051" s="6">
        <v>-7980</v>
      </c>
      <c r="N1051" s="6">
        <v>35014</v>
      </c>
      <c r="O1051" s="6">
        <v>6785</v>
      </c>
      <c r="P1051" s="6">
        <v>0</v>
      </c>
      <c r="Q1051" s="6">
        <v>41799</v>
      </c>
    </row>
    <row r="1052" spans="1:17" x14ac:dyDescent="0.35">
      <c r="A1052" s="1">
        <v>44930</v>
      </c>
      <c r="B1052" s="6">
        <v>8465606</v>
      </c>
      <c r="C1052" s="6">
        <v>3644498</v>
      </c>
      <c r="D1052" s="6">
        <v>0</v>
      </c>
      <c r="E1052" s="6">
        <v>3041929</v>
      </c>
      <c r="F1052" s="6">
        <v>379620</v>
      </c>
      <c r="G1052" s="6">
        <v>8935</v>
      </c>
      <c r="H1052" s="6">
        <v>214014</v>
      </c>
      <c r="I1052" s="6">
        <v>2561883</v>
      </c>
      <c r="J1052" s="6">
        <v>2257632</v>
      </c>
      <c r="K1052" s="6">
        <v>315</v>
      </c>
      <c r="L1052" s="6">
        <v>15347</v>
      </c>
      <c r="M1052" s="6">
        <v>-14070</v>
      </c>
      <c r="N1052" s="6">
        <v>35038</v>
      </c>
      <c r="O1052" s="6">
        <v>6785</v>
      </c>
      <c r="P1052" s="6">
        <v>0</v>
      </c>
      <c r="Q1052" s="6">
        <v>41823</v>
      </c>
    </row>
    <row r="1053" spans="1:17" x14ac:dyDescent="0.35">
      <c r="A1053" s="1">
        <v>44937</v>
      </c>
      <c r="B1053" s="6">
        <v>8466761</v>
      </c>
      <c r="C1053" s="6">
        <v>3667709</v>
      </c>
      <c r="D1053" s="6">
        <v>0</v>
      </c>
      <c r="E1053" s="6">
        <v>3116831</v>
      </c>
      <c r="F1053" s="6">
        <v>346426</v>
      </c>
      <c r="G1053" s="6">
        <v>8935</v>
      </c>
      <c r="H1053" s="6">
        <v>195517</v>
      </c>
      <c r="I1053" s="6">
        <v>2547806</v>
      </c>
      <c r="J1053" s="6">
        <v>2248874</v>
      </c>
      <c r="K1053" s="6">
        <v>224</v>
      </c>
      <c r="L1053" s="6">
        <v>15347</v>
      </c>
      <c r="M1053" s="6">
        <v>-13198</v>
      </c>
      <c r="N1053" s="6">
        <v>35041</v>
      </c>
      <c r="O1053" s="6">
        <v>6785</v>
      </c>
      <c r="P1053" s="6">
        <v>0</v>
      </c>
      <c r="Q1053" s="6">
        <v>41826</v>
      </c>
    </row>
    <row r="1054" spans="1:17" x14ac:dyDescent="0.35">
      <c r="A1054" s="1">
        <v>44944</v>
      </c>
      <c r="B1054" s="6">
        <v>8447213</v>
      </c>
      <c r="C1054" s="6">
        <v>3701178</v>
      </c>
      <c r="D1054" s="6">
        <v>0</v>
      </c>
      <c r="E1054" s="6">
        <v>3118237</v>
      </c>
      <c r="F1054" s="6">
        <v>377500</v>
      </c>
      <c r="G1054" s="6">
        <v>8934</v>
      </c>
      <c r="H1054" s="6">
        <v>196508</v>
      </c>
      <c r="I1054" s="6">
        <v>2503262</v>
      </c>
      <c r="J1054" s="6">
        <v>2244869</v>
      </c>
      <c r="K1054" s="6">
        <v>293</v>
      </c>
      <c r="L1054" s="6">
        <v>15347</v>
      </c>
      <c r="M1054" s="6">
        <v>-17736</v>
      </c>
      <c r="N1054" s="6">
        <v>35041</v>
      </c>
      <c r="O1054" s="6">
        <v>6785</v>
      </c>
      <c r="P1054" s="6">
        <v>0</v>
      </c>
      <c r="Q1054" s="6">
        <v>41826</v>
      </c>
    </row>
    <row r="1055" spans="1:17" x14ac:dyDescent="0.35">
      <c r="A1055" s="1">
        <v>44951</v>
      </c>
      <c r="B1055" s="6">
        <v>8428731</v>
      </c>
      <c r="C1055" s="6">
        <v>3774224</v>
      </c>
      <c r="D1055" s="6">
        <v>0</v>
      </c>
      <c r="E1055" s="6">
        <v>3000542</v>
      </c>
      <c r="F1055" s="6">
        <v>572622</v>
      </c>
      <c r="G1055" s="6">
        <v>8933</v>
      </c>
      <c r="H1055" s="6">
        <v>192127</v>
      </c>
      <c r="I1055" s="6">
        <v>2415204</v>
      </c>
      <c r="J1055" s="6">
        <v>2241074</v>
      </c>
      <c r="K1055" s="6">
        <v>249</v>
      </c>
      <c r="L1055" s="6">
        <v>15347</v>
      </c>
      <c r="M1055" s="6">
        <v>-17369</v>
      </c>
      <c r="N1055" s="6">
        <v>35041</v>
      </c>
      <c r="O1055" s="6">
        <v>6785</v>
      </c>
      <c r="P1055" s="6">
        <v>0</v>
      </c>
      <c r="Q1055" s="6">
        <v>41826</v>
      </c>
    </row>
    <row r="1056" spans="1:17" x14ac:dyDescent="0.35">
      <c r="A1056" s="1">
        <v>44958</v>
      </c>
      <c r="B1056" s="6">
        <v>8391769</v>
      </c>
      <c r="C1056" s="6">
        <v>3735883</v>
      </c>
      <c r="D1056" s="6">
        <v>0</v>
      </c>
      <c r="E1056" s="6">
        <v>3030286</v>
      </c>
      <c r="F1056" s="6">
        <v>500852</v>
      </c>
      <c r="G1056" s="6">
        <v>9435</v>
      </c>
      <c r="H1056" s="6">
        <v>195310</v>
      </c>
      <c r="I1056" s="6">
        <v>2414345</v>
      </c>
      <c r="J1056" s="6">
        <v>2246607</v>
      </c>
      <c r="K1056" s="6">
        <v>667</v>
      </c>
      <c r="L1056" s="6">
        <v>15347</v>
      </c>
      <c r="M1056" s="6">
        <v>-21080</v>
      </c>
      <c r="N1056" s="6">
        <v>35056</v>
      </c>
      <c r="O1056" s="6">
        <v>6785</v>
      </c>
      <c r="P1056" s="6">
        <v>0</v>
      </c>
      <c r="Q1056" s="6">
        <v>41841</v>
      </c>
    </row>
    <row r="1057" spans="1:17" x14ac:dyDescent="0.35">
      <c r="A1057" s="1">
        <v>44965</v>
      </c>
      <c r="B1057" s="6">
        <v>8392837</v>
      </c>
      <c r="C1057" s="6">
        <v>3731240</v>
      </c>
      <c r="D1057" s="6">
        <v>0</v>
      </c>
      <c r="E1057" s="6">
        <v>3033560</v>
      </c>
      <c r="F1057" s="6">
        <v>495838</v>
      </c>
      <c r="G1057" s="6">
        <v>9434</v>
      </c>
      <c r="H1057" s="6">
        <v>192408</v>
      </c>
      <c r="I1057" s="6">
        <v>2418931</v>
      </c>
      <c r="J1057" s="6">
        <v>2248309</v>
      </c>
      <c r="K1057" s="6">
        <v>263</v>
      </c>
      <c r="L1057" s="6">
        <v>15347</v>
      </c>
      <c r="M1057" s="6">
        <v>-21253</v>
      </c>
      <c r="N1057" s="6">
        <v>35748</v>
      </c>
      <c r="O1057" s="6">
        <v>6785</v>
      </c>
      <c r="P1057" s="6">
        <v>0</v>
      </c>
      <c r="Q1057" s="6">
        <v>42533</v>
      </c>
    </row>
    <row r="1058" spans="1:17" x14ac:dyDescent="0.35">
      <c r="A1058" s="1">
        <v>44972</v>
      </c>
      <c r="B1058" s="6">
        <v>8342231</v>
      </c>
      <c r="C1058" s="6">
        <v>3742296</v>
      </c>
      <c r="D1058" s="6">
        <v>0</v>
      </c>
      <c r="E1058" s="6">
        <v>3107419</v>
      </c>
      <c r="F1058" s="6">
        <v>439703</v>
      </c>
      <c r="G1058" s="6">
        <v>9434</v>
      </c>
      <c r="H1058" s="6">
        <v>185740</v>
      </c>
      <c r="I1058" s="6">
        <v>2362504</v>
      </c>
      <c r="J1058" s="6">
        <v>2248727</v>
      </c>
      <c r="K1058" s="6">
        <v>198</v>
      </c>
      <c r="L1058" s="6">
        <v>15347</v>
      </c>
      <c r="M1058" s="6">
        <v>-26842</v>
      </c>
      <c r="N1058" s="6">
        <v>35751</v>
      </c>
      <c r="O1058" s="6">
        <v>6785</v>
      </c>
      <c r="P1058" s="6">
        <v>0</v>
      </c>
      <c r="Q1058" s="6">
        <v>42536</v>
      </c>
    </row>
    <row r="1059" spans="1:17" x14ac:dyDescent="0.35">
      <c r="A1059" s="1">
        <v>44979</v>
      </c>
      <c r="B1059" s="6">
        <v>8339653</v>
      </c>
      <c r="C1059" s="6">
        <v>3627386</v>
      </c>
      <c r="D1059" s="6">
        <v>0</v>
      </c>
      <c r="E1059" s="6">
        <v>2983558</v>
      </c>
      <c r="F1059" s="6">
        <v>451307</v>
      </c>
      <c r="G1059" s="6">
        <v>9435</v>
      </c>
      <c r="H1059" s="6">
        <v>183086</v>
      </c>
      <c r="I1059" s="6">
        <v>2471357</v>
      </c>
      <c r="J1059" s="6">
        <v>2251897</v>
      </c>
      <c r="K1059" s="6">
        <v>352</v>
      </c>
      <c r="L1059" s="6">
        <v>15347</v>
      </c>
      <c r="M1059" s="6">
        <v>-26686</v>
      </c>
      <c r="N1059" s="6">
        <v>35751</v>
      </c>
      <c r="O1059" s="6">
        <v>6785</v>
      </c>
      <c r="P1059" s="6">
        <v>0</v>
      </c>
      <c r="Q1059" s="6">
        <v>42536</v>
      </c>
    </row>
    <row r="1060" spans="1:17" x14ac:dyDescent="0.35">
      <c r="A1060" s="1">
        <v>44986</v>
      </c>
      <c r="B1060" s="6">
        <v>8297142</v>
      </c>
      <c r="C1060" s="6">
        <v>3558690</v>
      </c>
      <c r="D1060" s="6">
        <v>0</v>
      </c>
      <c r="E1060" s="6">
        <v>3027967</v>
      </c>
      <c r="F1060" s="6">
        <v>351015</v>
      </c>
      <c r="G1060" s="6">
        <v>9438</v>
      </c>
      <c r="H1060" s="6">
        <v>170270</v>
      </c>
      <c r="I1060" s="6">
        <v>2500611</v>
      </c>
      <c r="J1060" s="6">
        <v>2254181</v>
      </c>
      <c r="K1060" s="6">
        <v>223</v>
      </c>
      <c r="L1060" s="6">
        <v>15347</v>
      </c>
      <c r="M1060" s="6">
        <v>-31909</v>
      </c>
      <c r="N1060" s="6">
        <v>35757</v>
      </c>
      <c r="O1060" s="6">
        <v>6785</v>
      </c>
      <c r="P1060" s="6">
        <v>0</v>
      </c>
      <c r="Q1060" s="6">
        <v>42542</v>
      </c>
    </row>
    <row r="1061" spans="1:17" x14ac:dyDescent="0.35">
      <c r="A1061" s="1">
        <v>44993</v>
      </c>
      <c r="B1061" s="6">
        <v>8299785</v>
      </c>
      <c r="C1061" s="6">
        <v>3495954</v>
      </c>
      <c r="D1061" s="6">
        <v>0</v>
      </c>
      <c r="E1061" s="6">
        <v>3003676</v>
      </c>
      <c r="F1061" s="6">
        <v>311731</v>
      </c>
      <c r="G1061" s="6">
        <v>9434</v>
      </c>
      <c r="H1061" s="6">
        <v>171113</v>
      </c>
      <c r="I1061" s="6">
        <v>2560350</v>
      </c>
      <c r="J1061" s="6">
        <v>2257801</v>
      </c>
      <c r="K1061" s="6">
        <v>815</v>
      </c>
      <c r="L1061" s="6">
        <v>15347</v>
      </c>
      <c r="M1061" s="6">
        <v>-30482</v>
      </c>
      <c r="N1061" s="6">
        <v>35713</v>
      </c>
      <c r="O1061" s="6">
        <v>6785</v>
      </c>
      <c r="P1061" s="6">
        <v>0</v>
      </c>
      <c r="Q1061" s="6">
        <v>42498</v>
      </c>
    </row>
    <row r="1062" spans="1:17" x14ac:dyDescent="0.35">
      <c r="A1062" s="1">
        <v>45000</v>
      </c>
      <c r="B1062" s="6">
        <v>8596799</v>
      </c>
      <c r="C1062" s="6">
        <v>3932130</v>
      </c>
      <c r="D1062" s="6">
        <v>0</v>
      </c>
      <c r="E1062" s="6">
        <v>3444210</v>
      </c>
      <c r="F1062" s="6">
        <v>277643</v>
      </c>
      <c r="G1062" s="6">
        <v>11635</v>
      </c>
      <c r="H1062" s="6">
        <v>198642</v>
      </c>
      <c r="I1062" s="6">
        <v>2423126</v>
      </c>
      <c r="J1062" s="6">
        <v>2260367</v>
      </c>
      <c r="K1062" s="6">
        <v>241</v>
      </c>
      <c r="L1062" s="6">
        <v>15347</v>
      </c>
      <c r="M1062" s="6">
        <v>-34412</v>
      </c>
      <c r="N1062" s="6">
        <v>35716</v>
      </c>
      <c r="O1062" s="6">
        <v>6785</v>
      </c>
      <c r="P1062" s="6">
        <v>0</v>
      </c>
      <c r="Q1062" s="6">
        <v>42501</v>
      </c>
    </row>
    <row r="1063" spans="1:17" x14ac:dyDescent="0.35">
      <c r="A1063" s="1">
        <v>45007</v>
      </c>
      <c r="B1063" s="6">
        <v>8691286</v>
      </c>
      <c r="C1063" s="6">
        <v>3789069</v>
      </c>
      <c r="D1063" s="6">
        <v>0</v>
      </c>
      <c r="E1063" s="6">
        <v>3369986</v>
      </c>
      <c r="F1063" s="6">
        <v>199856</v>
      </c>
      <c r="G1063" s="6">
        <v>9437</v>
      </c>
      <c r="H1063" s="6">
        <v>209791</v>
      </c>
      <c r="I1063" s="6">
        <v>2649984</v>
      </c>
      <c r="J1063" s="6">
        <v>2268721</v>
      </c>
      <c r="K1063" s="6">
        <v>325</v>
      </c>
      <c r="L1063" s="6">
        <v>15347</v>
      </c>
      <c r="M1063" s="6">
        <v>-32160</v>
      </c>
      <c r="N1063" s="6">
        <v>35716</v>
      </c>
      <c r="O1063" s="6">
        <v>6785</v>
      </c>
      <c r="P1063" s="6">
        <v>0</v>
      </c>
      <c r="Q1063" s="6">
        <v>42501</v>
      </c>
    </row>
    <row r="1064" spans="1:17" x14ac:dyDescent="0.35">
      <c r="A1064" s="1">
        <v>45014</v>
      </c>
      <c r="B1064" s="6">
        <v>8663740</v>
      </c>
      <c r="C1064" s="6">
        <v>3778764</v>
      </c>
      <c r="D1064" s="6">
        <v>0</v>
      </c>
      <c r="E1064" s="6">
        <v>3401800</v>
      </c>
      <c r="F1064" s="6">
        <v>162758</v>
      </c>
      <c r="G1064" s="6">
        <v>9436</v>
      </c>
      <c r="H1064" s="6">
        <v>204770</v>
      </c>
      <c r="I1064" s="6">
        <v>2632542</v>
      </c>
      <c r="J1064" s="6">
        <v>2273392</v>
      </c>
      <c r="K1064" s="6">
        <v>524</v>
      </c>
      <c r="L1064" s="6">
        <v>15347</v>
      </c>
      <c r="M1064" s="6">
        <v>-36828</v>
      </c>
      <c r="N1064" s="6">
        <v>35417</v>
      </c>
      <c r="O1064" s="6">
        <v>6785</v>
      </c>
      <c r="P1064" s="6">
        <v>0</v>
      </c>
      <c r="Q1064" s="6">
        <v>42202</v>
      </c>
    </row>
    <row r="1065" spans="1:17" x14ac:dyDescent="0.35">
      <c r="A1065" s="1">
        <v>45021</v>
      </c>
      <c r="B1065" s="6">
        <v>8590182</v>
      </c>
      <c r="C1065" s="6">
        <v>3736322</v>
      </c>
      <c r="D1065" s="6">
        <v>0</v>
      </c>
      <c r="E1065" s="6">
        <v>3381351</v>
      </c>
      <c r="F1065" s="6">
        <v>140688</v>
      </c>
      <c r="G1065" s="6">
        <v>9681</v>
      </c>
      <c r="H1065" s="6">
        <v>204603</v>
      </c>
      <c r="I1065" s="6">
        <v>2599403</v>
      </c>
      <c r="J1065" s="6">
        <v>2274160</v>
      </c>
      <c r="K1065" s="6">
        <v>571</v>
      </c>
      <c r="L1065" s="6">
        <v>15347</v>
      </c>
      <c r="M1065" s="6">
        <v>-35622</v>
      </c>
      <c r="N1065" s="6">
        <v>35417</v>
      </c>
      <c r="O1065" s="6">
        <v>6785</v>
      </c>
      <c r="P1065" s="6">
        <v>0</v>
      </c>
      <c r="Q1065" s="6">
        <v>42202</v>
      </c>
    </row>
    <row r="1066" spans="1:17" x14ac:dyDescent="0.35">
      <c r="A1066" s="1">
        <v>45028</v>
      </c>
      <c r="B1066" s="6">
        <v>8572595</v>
      </c>
      <c r="C1066" s="6">
        <v>3647064</v>
      </c>
      <c r="D1066" s="6">
        <v>0</v>
      </c>
      <c r="E1066" s="6">
        <v>3347553</v>
      </c>
      <c r="F1066" s="6">
        <v>86554</v>
      </c>
      <c r="G1066" s="6">
        <v>9758</v>
      </c>
      <c r="H1066" s="6">
        <v>203199</v>
      </c>
      <c r="I1066" s="6">
        <v>2676727</v>
      </c>
      <c r="J1066" s="6">
        <v>2274081</v>
      </c>
      <c r="K1066" s="6">
        <v>308</v>
      </c>
      <c r="L1066" s="6">
        <v>15347</v>
      </c>
      <c r="M1066" s="6">
        <v>-40933</v>
      </c>
      <c r="N1066" s="6">
        <v>35417</v>
      </c>
      <c r="O1066" s="6">
        <v>6785</v>
      </c>
      <c r="P1066" s="6">
        <v>0</v>
      </c>
      <c r="Q1066" s="6">
        <v>42202</v>
      </c>
    </row>
    <row r="1067" spans="1:17" x14ac:dyDescent="0.35">
      <c r="A1067" s="1">
        <v>45035</v>
      </c>
      <c r="B1067" s="6">
        <v>8551061</v>
      </c>
      <c r="C1067" s="6">
        <v>3636015</v>
      </c>
      <c r="D1067" s="6">
        <v>0</v>
      </c>
      <c r="E1067" s="6">
        <v>3164891</v>
      </c>
      <c r="F1067" s="6">
        <v>265095</v>
      </c>
      <c r="G1067" s="6">
        <v>9684</v>
      </c>
      <c r="H1067" s="6">
        <v>196346</v>
      </c>
      <c r="I1067" s="6">
        <v>2666343</v>
      </c>
      <c r="J1067" s="6">
        <v>2272847</v>
      </c>
      <c r="K1067" s="6">
        <v>222</v>
      </c>
      <c r="L1067" s="6">
        <v>15347</v>
      </c>
      <c r="M1067" s="6">
        <v>-39713</v>
      </c>
      <c r="N1067" s="6">
        <v>35417</v>
      </c>
      <c r="O1067" s="6">
        <v>6785</v>
      </c>
      <c r="P1067" s="6">
        <v>0</v>
      </c>
      <c r="Q1067" s="6">
        <v>42202</v>
      </c>
    </row>
    <row r="1068" spans="1:17" x14ac:dyDescent="0.35">
      <c r="A1068" s="1">
        <v>45042</v>
      </c>
      <c r="B1068" s="6">
        <v>8520563</v>
      </c>
      <c r="C1068" s="6">
        <v>3637793</v>
      </c>
      <c r="D1068" s="6">
        <v>0</v>
      </c>
      <c r="E1068" s="6">
        <v>3132100</v>
      </c>
      <c r="F1068" s="6">
        <v>296209</v>
      </c>
      <c r="G1068" s="6">
        <v>9684</v>
      </c>
      <c r="H1068" s="6">
        <v>199801</v>
      </c>
      <c r="I1068" s="6">
        <v>2638805</v>
      </c>
      <c r="J1068" s="6">
        <v>2273532</v>
      </c>
      <c r="K1068" s="6">
        <v>347</v>
      </c>
      <c r="L1068" s="6">
        <v>15347</v>
      </c>
      <c r="M1068" s="6">
        <v>-45261</v>
      </c>
      <c r="N1068" s="6">
        <v>35420</v>
      </c>
      <c r="O1068" s="6">
        <v>6785</v>
      </c>
      <c r="P1068" s="6">
        <v>0</v>
      </c>
      <c r="Q1068" s="6">
        <v>42205</v>
      </c>
    </row>
    <row r="1069" spans="1:17" x14ac:dyDescent="0.35">
      <c r="A1069" s="1">
        <v>45049</v>
      </c>
      <c r="B1069" s="6">
        <v>8461789</v>
      </c>
      <c r="C1069" s="6">
        <v>3570735</v>
      </c>
      <c r="D1069" s="6">
        <v>0</v>
      </c>
      <c r="E1069" s="6">
        <v>3166236</v>
      </c>
      <c r="F1069" s="6">
        <v>188309</v>
      </c>
      <c r="G1069" s="6">
        <v>9676</v>
      </c>
      <c r="H1069" s="6">
        <v>206514</v>
      </c>
      <c r="I1069" s="6">
        <v>2640951</v>
      </c>
      <c r="J1069" s="6">
        <v>2278366</v>
      </c>
      <c r="K1069" s="6">
        <v>555</v>
      </c>
      <c r="L1069" s="6">
        <v>15347</v>
      </c>
      <c r="M1069" s="6">
        <v>-44165</v>
      </c>
      <c r="N1069" s="6">
        <v>35420</v>
      </c>
      <c r="O1069" s="6">
        <v>6785</v>
      </c>
      <c r="P1069" s="6">
        <v>0</v>
      </c>
      <c r="Q1069" s="6">
        <v>42205</v>
      </c>
    </row>
    <row r="1070" spans="1:17" x14ac:dyDescent="0.35">
      <c r="A1070" s="1">
        <v>45056</v>
      </c>
      <c r="B1070" s="6">
        <v>8460614</v>
      </c>
      <c r="C1070" s="6">
        <v>3593469</v>
      </c>
      <c r="D1070" s="6">
        <v>0</v>
      </c>
      <c r="E1070" s="6">
        <v>3225311</v>
      </c>
      <c r="F1070" s="6">
        <v>154808</v>
      </c>
      <c r="G1070" s="6">
        <v>9684</v>
      </c>
      <c r="H1070" s="6">
        <v>203666</v>
      </c>
      <c r="I1070" s="6">
        <v>2618178</v>
      </c>
      <c r="J1070" s="6">
        <v>2282686</v>
      </c>
      <c r="K1070" s="6">
        <v>247</v>
      </c>
      <c r="L1070" s="6">
        <v>15347</v>
      </c>
      <c r="M1070" s="6">
        <v>-49313</v>
      </c>
      <c r="N1070" s="6">
        <v>35618</v>
      </c>
      <c r="O1070" s="6">
        <v>6785</v>
      </c>
      <c r="P1070" s="6">
        <v>0</v>
      </c>
      <c r="Q1070" s="6">
        <v>42403</v>
      </c>
    </row>
    <row r="1071" spans="1:17" x14ac:dyDescent="0.35">
      <c r="A1071" s="1">
        <v>45063</v>
      </c>
      <c r="B1071" s="6">
        <v>8414358</v>
      </c>
      <c r="C1071" s="6">
        <v>3565383</v>
      </c>
      <c r="D1071" s="6">
        <v>0</v>
      </c>
      <c r="E1071" s="6">
        <v>3279987</v>
      </c>
      <c r="F1071" s="6">
        <v>68332</v>
      </c>
      <c r="G1071" s="6">
        <v>9685</v>
      </c>
      <c r="H1071" s="6">
        <v>207379</v>
      </c>
      <c r="I1071" s="6">
        <v>2598627</v>
      </c>
      <c r="J1071" s="6">
        <v>2283328</v>
      </c>
      <c r="K1071" s="6">
        <v>288</v>
      </c>
      <c r="L1071" s="6">
        <v>15347</v>
      </c>
      <c r="M1071" s="6">
        <v>-48615</v>
      </c>
      <c r="N1071" s="6">
        <v>35617</v>
      </c>
      <c r="O1071" s="6">
        <v>6785</v>
      </c>
      <c r="P1071" s="6">
        <v>0</v>
      </c>
      <c r="Q1071" s="6">
        <v>42402</v>
      </c>
    </row>
    <row r="1072" spans="1:17" x14ac:dyDescent="0.35">
      <c r="A1072" s="1">
        <v>45070</v>
      </c>
      <c r="B1072" s="6">
        <v>8393854</v>
      </c>
      <c r="C1072" s="6">
        <v>3536736</v>
      </c>
      <c r="D1072" s="6">
        <v>0</v>
      </c>
      <c r="E1072" s="6">
        <v>3250771</v>
      </c>
      <c r="F1072" s="6">
        <v>49473</v>
      </c>
      <c r="G1072" s="6">
        <v>9686</v>
      </c>
      <c r="H1072" s="6">
        <v>226807</v>
      </c>
      <c r="I1072" s="6">
        <v>2611006</v>
      </c>
      <c r="J1072" s="6">
        <v>2287233</v>
      </c>
      <c r="K1072" s="6">
        <v>235</v>
      </c>
      <c r="L1072" s="6">
        <v>13358</v>
      </c>
      <c r="M1072" s="6">
        <v>-54715</v>
      </c>
      <c r="N1072" s="6">
        <v>35617</v>
      </c>
      <c r="O1072" s="6">
        <v>6785</v>
      </c>
      <c r="P1072" s="6">
        <v>0</v>
      </c>
      <c r="Q1072" s="6">
        <v>42402</v>
      </c>
    </row>
    <row r="1073" spans="1:17" x14ac:dyDescent="0.35">
      <c r="A1073" s="1">
        <v>45077</v>
      </c>
      <c r="B1073" s="6">
        <v>8343446</v>
      </c>
      <c r="C1073" s="6">
        <v>3474001</v>
      </c>
      <c r="D1073" s="6">
        <v>0</v>
      </c>
      <c r="E1073" s="6">
        <v>3205526</v>
      </c>
      <c r="F1073" s="6">
        <v>48512</v>
      </c>
      <c r="G1073" s="6">
        <v>9755</v>
      </c>
      <c r="H1073" s="6">
        <v>210209</v>
      </c>
      <c r="I1073" s="6">
        <v>2615677</v>
      </c>
      <c r="J1073" s="6">
        <v>2293934</v>
      </c>
      <c r="K1073" s="6">
        <v>733</v>
      </c>
      <c r="L1073" s="6">
        <v>13358</v>
      </c>
      <c r="M1073" s="6">
        <v>-54257</v>
      </c>
      <c r="N1073" s="6">
        <v>35623</v>
      </c>
      <c r="O1073" s="6">
        <v>6785</v>
      </c>
      <c r="P1073" s="6">
        <v>0</v>
      </c>
      <c r="Q1073" s="6">
        <v>42408</v>
      </c>
    </row>
    <row r="1074" spans="1:17" x14ac:dyDescent="0.35">
      <c r="A1074" s="1">
        <v>45084</v>
      </c>
      <c r="B1074" s="6">
        <v>8346912</v>
      </c>
      <c r="C1074" s="6">
        <v>3591285</v>
      </c>
      <c r="D1074" s="6">
        <v>0</v>
      </c>
      <c r="E1074" s="6">
        <v>3306154</v>
      </c>
      <c r="F1074" s="6">
        <v>77500</v>
      </c>
      <c r="G1074" s="6">
        <v>9685</v>
      </c>
      <c r="H1074" s="6">
        <v>197946</v>
      </c>
      <c r="I1074" s="6">
        <v>2508076</v>
      </c>
      <c r="J1074" s="6">
        <v>2293468</v>
      </c>
      <c r="K1074" s="6">
        <v>543</v>
      </c>
      <c r="L1074" s="6">
        <v>13358</v>
      </c>
      <c r="M1074" s="6">
        <v>-59818</v>
      </c>
      <c r="N1074" s="6">
        <v>35628</v>
      </c>
      <c r="O1074" s="6">
        <v>6785</v>
      </c>
      <c r="P1074" s="6">
        <v>0</v>
      </c>
      <c r="Q1074" s="6">
        <v>42413</v>
      </c>
    </row>
    <row r="1075" spans="1:17" x14ac:dyDescent="0.35">
      <c r="A1075" s="1">
        <v>45091</v>
      </c>
      <c r="B1075" s="6">
        <v>8345910</v>
      </c>
      <c r="C1075" s="6">
        <v>3661032</v>
      </c>
      <c r="D1075" s="6">
        <v>0</v>
      </c>
      <c r="E1075" s="6">
        <v>3306311</v>
      </c>
      <c r="F1075" s="6">
        <v>134857</v>
      </c>
      <c r="G1075" s="6">
        <v>9685</v>
      </c>
      <c r="H1075" s="6">
        <v>210179</v>
      </c>
      <c r="I1075" s="6">
        <v>2437071</v>
      </c>
      <c r="J1075" s="6">
        <v>2292235</v>
      </c>
      <c r="K1075" s="6">
        <v>383</v>
      </c>
      <c r="L1075" s="6">
        <v>13358</v>
      </c>
      <c r="M1075" s="6">
        <v>-58168</v>
      </c>
      <c r="N1075" s="6">
        <v>35628</v>
      </c>
      <c r="O1075" s="6">
        <v>6785</v>
      </c>
      <c r="P1075" s="6">
        <v>0</v>
      </c>
      <c r="Q1075" s="6">
        <v>42413</v>
      </c>
    </row>
    <row r="1076" spans="1:17" x14ac:dyDescent="0.35">
      <c r="A1076" s="1">
        <v>45098</v>
      </c>
      <c r="B1076" s="6">
        <v>8319645</v>
      </c>
      <c r="C1076" s="6">
        <v>3707302</v>
      </c>
      <c r="D1076" s="6">
        <v>0</v>
      </c>
      <c r="E1076" s="6">
        <v>3203963</v>
      </c>
      <c r="F1076" s="6">
        <v>292106</v>
      </c>
      <c r="G1076" s="6">
        <v>9687</v>
      </c>
      <c r="H1076" s="6">
        <v>201546</v>
      </c>
      <c r="I1076" s="6">
        <v>2370269</v>
      </c>
      <c r="J1076" s="6">
        <v>2292443</v>
      </c>
      <c r="K1076" s="6">
        <v>258</v>
      </c>
      <c r="L1076" s="6">
        <v>13358</v>
      </c>
      <c r="M1076" s="6">
        <v>-63986</v>
      </c>
      <c r="N1076" s="6">
        <v>35630</v>
      </c>
      <c r="O1076" s="6">
        <v>6785</v>
      </c>
      <c r="P1076" s="6">
        <v>0</v>
      </c>
      <c r="Q1076" s="6">
        <v>42415</v>
      </c>
    </row>
    <row r="1077" spans="1:17" x14ac:dyDescent="0.35">
      <c r="A1077" s="1">
        <v>45105</v>
      </c>
      <c r="B1077" s="6">
        <v>8298499</v>
      </c>
      <c r="C1077" s="6">
        <v>3782260</v>
      </c>
      <c r="D1077" s="6">
        <v>0</v>
      </c>
      <c r="E1077" s="6">
        <v>3176038</v>
      </c>
      <c r="F1077" s="6">
        <v>408561</v>
      </c>
      <c r="G1077" s="6">
        <v>9685</v>
      </c>
      <c r="H1077" s="6">
        <v>187975</v>
      </c>
      <c r="I1077" s="6">
        <v>2271871</v>
      </c>
      <c r="J1077" s="6">
        <v>2293316</v>
      </c>
      <c r="K1077" s="6">
        <v>538</v>
      </c>
      <c r="L1077" s="6">
        <v>13358</v>
      </c>
      <c r="M1077" s="6">
        <v>-62843</v>
      </c>
      <c r="N1077" s="6">
        <v>35630</v>
      </c>
      <c r="O1077" s="6">
        <v>6785</v>
      </c>
      <c r="P1077" s="6">
        <v>0</v>
      </c>
      <c r="Q1077" s="6">
        <v>42415</v>
      </c>
    </row>
    <row r="1078" spans="1:17" x14ac:dyDescent="0.35">
      <c r="A1078" s="1">
        <v>45112</v>
      </c>
      <c r="B1078" s="6">
        <v>8255896</v>
      </c>
      <c r="C1078" s="6">
        <v>3822791</v>
      </c>
      <c r="D1078" s="6">
        <v>0</v>
      </c>
      <c r="E1078" s="6">
        <v>3179646</v>
      </c>
      <c r="F1078" s="6">
        <v>446864</v>
      </c>
      <c r="G1078" s="6">
        <v>9697</v>
      </c>
      <c r="H1078" s="6">
        <v>186583</v>
      </c>
      <c r="I1078" s="6">
        <v>2191320</v>
      </c>
      <c r="J1078" s="6">
        <v>2296997</v>
      </c>
      <c r="K1078" s="6">
        <v>572</v>
      </c>
      <c r="L1078" s="6">
        <v>13358</v>
      </c>
      <c r="M1078" s="6">
        <v>-69142</v>
      </c>
      <c r="N1078" s="6">
        <v>35631</v>
      </c>
      <c r="O1078" s="6">
        <v>6785</v>
      </c>
      <c r="P1078" s="6">
        <v>0</v>
      </c>
      <c r="Q1078" s="6">
        <v>42416</v>
      </c>
    </row>
    <row r="1079" spans="1:17" x14ac:dyDescent="0.35">
      <c r="A1079" s="1">
        <v>45119</v>
      </c>
      <c r="B1079" s="6">
        <v>8254507</v>
      </c>
      <c r="C1079" s="6">
        <v>3868464</v>
      </c>
      <c r="D1079" s="6">
        <v>0</v>
      </c>
      <c r="E1079" s="6">
        <v>3162126</v>
      </c>
      <c r="F1079" s="6">
        <v>517418</v>
      </c>
      <c r="G1079" s="6">
        <v>9686</v>
      </c>
      <c r="H1079" s="6">
        <v>179233</v>
      </c>
      <c r="I1079" s="6">
        <v>2147843</v>
      </c>
      <c r="J1079" s="6">
        <v>2291655</v>
      </c>
      <c r="K1079" s="6">
        <v>305</v>
      </c>
      <c r="L1079" s="6">
        <v>13358</v>
      </c>
      <c r="M1079" s="6">
        <v>-67118</v>
      </c>
      <c r="N1079" s="6">
        <v>35631</v>
      </c>
      <c r="O1079" s="6">
        <v>6785</v>
      </c>
      <c r="P1079" s="6">
        <v>0</v>
      </c>
      <c r="Q1079" s="6">
        <v>42416</v>
      </c>
    </row>
    <row r="1080" spans="1:17" x14ac:dyDescent="0.35">
      <c r="A1080" s="1">
        <v>45126</v>
      </c>
      <c r="B1080" s="6">
        <v>8232138</v>
      </c>
      <c r="C1080" s="6">
        <v>3947221</v>
      </c>
      <c r="D1080" s="6">
        <v>0</v>
      </c>
      <c r="E1080" s="6">
        <v>3220590</v>
      </c>
      <c r="F1080" s="6">
        <v>537441</v>
      </c>
      <c r="G1080" s="6">
        <v>9686</v>
      </c>
      <c r="H1080" s="6">
        <v>179504</v>
      </c>
      <c r="I1080" s="6">
        <v>2058685</v>
      </c>
      <c r="J1080" s="6">
        <v>2285227</v>
      </c>
      <c r="K1080" s="6">
        <v>218</v>
      </c>
      <c r="L1080" s="6">
        <v>13358</v>
      </c>
      <c r="M1080" s="6">
        <v>-72572</v>
      </c>
      <c r="N1080" s="6">
        <v>35629</v>
      </c>
      <c r="O1080" s="6">
        <v>6785</v>
      </c>
      <c r="P1080" s="6">
        <v>0</v>
      </c>
      <c r="Q1080" s="6">
        <v>42414</v>
      </c>
    </row>
    <row r="1081" spans="1:17" x14ac:dyDescent="0.35">
      <c r="A1081" s="1">
        <v>45133</v>
      </c>
      <c r="B1081" s="6">
        <v>8200930</v>
      </c>
      <c r="C1081" s="6">
        <v>3909232</v>
      </c>
      <c r="D1081" s="6">
        <v>0</v>
      </c>
      <c r="E1081" s="6">
        <v>3166767</v>
      </c>
      <c r="F1081" s="6">
        <v>549897</v>
      </c>
      <c r="G1081" s="6">
        <v>9685</v>
      </c>
      <c r="H1081" s="6">
        <v>182883</v>
      </c>
      <c r="I1081" s="6">
        <v>2066975</v>
      </c>
      <c r="J1081" s="6">
        <v>2282829</v>
      </c>
      <c r="K1081" s="6">
        <v>305</v>
      </c>
      <c r="L1081" s="6">
        <v>13358</v>
      </c>
      <c r="M1081" s="6">
        <v>-71769</v>
      </c>
      <c r="N1081" s="6">
        <v>35629</v>
      </c>
      <c r="O1081" s="6">
        <v>6785</v>
      </c>
      <c r="P1081" s="6">
        <v>0</v>
      </c>
      <c r="Q1081" s="6">
        <v>42414</v>
      </c>
    </row>
    <row r="1082" spans="1:17" x14ac:dyDescent="0.35">
      <c r="A1082" s="1">
        <v>45140</v>
      </c>
      <c r="B1082" s="6">
        <v>8164222</v>
      </c>
      <c r="C1082" s="6">
        <v>3872822</v>
      </c>
      <c r="D1082" s="6">
        <v>0</v>
      </c>
      <c r="E1082" s="6">
        <v>3217398</v>
      </c>
      <c r="F1082" s="6">
        <v>460926</v>
      </c>
      <c r="G1082" s="6">
        <v>9686</v>
      </c>
      <c r="H1082" s="6">
        <v>184812</v>
      </c>
      <c r="I1082" s="6">
        <v>2072409</v>
      </c>
      <c r="J1082" s="6">
        <v>2283068</v>
      </c>
      <c r="K1082" s="6">
        <v>604</v>
      </c>
      <c r="L1082" s="6">
        <v>13358</v>
      </c>
      <c r="M1082" s="6">
        <v>-78039</v>
      </c>
      <c r="N1082" s="6">
        <v>35757</v>
      </c>
      <c r="O1082" s="6">
        <v>6785</v>
      </c>
      <c r="P1082" s="6">
        <v>0</v>
      </c>
      <c r="Q1082" s="6">
        <v>42542</v>
      </c>
    </row>
    <row r="1083" spans="1:17" x14ac:dyDescent="0.35">
      <c r="A1083" s="1">
        <v>45147</v>
      </c>
      <c r="B1083" s="6">
        <v>8165531</v>
      </c>
      <c r="C1083" s="6">
        <v>3849337</v>
      </c>
      <c r="D1083" s="6">
        <v>0</v>
      </c>
      <c r="E1083" s="6">
        <v>3228582</v>
      </c>
      <c r="F1083" s="6">
        <v>432262</v>
      </c>
      <c r="G1083" s="6">
        <v>9686</v>
      </c>
      <c r="H1083" s="6">
        <v>178807</v>
      </c>
      <c r="I1083" s="6">
        <v>2096452</v>
      </c>
      <c r="J1083" s="6">
        <v>2282620</v>
      </c>
      <c r="K1083" s="6">
        <v>298</v>
      </c>
      <c r="L1083" s="6">
        <v>13358</v>
      </c>
      <c r="M1083" s="6">
        <v>-76534</v>
      </c>
      <c r="N1083" s="6">
        <v>35925</v>
      </c>
      <c r="O1083" s="6">
        <v>6785</v>
      </c>
      <c r="P1083" s="6">
        <v>0</v>
      </c>
      <c r="Q1083" s="6">
        <v>42710</v>
      </c>
    </row>
    <row r="1084" spans="1:17" x14ac:dyDescent="0.35">
      <c r="A1084" s="1">
        <v>45154</v>
      </c>
      <c r="B1084" s="6">
        <v>8103008</v>
      </c>
      <c r="C1084" s="6">
        <v>3795513</v>
      </c>
      <c r="D1084" s="6">
        <v>0</v>
      </c>
      <c r="E1084" s="6">
        <v>3228953</v>
      </c>
      <c r="F1084" s="6">
        <v>384814</v>
      </c>
      <c r="G1084" s="6">
        <v>9684</v>
      </c>
      <c r="H1084" s="6">
        <v>172062</v>
      </c>
      <c r="I1084" s="6">
        <v>2096666</v>
      </c>
      <c r="J1084" s="6">
        <v>2279767</v>
      </c>
      <c r="K1084" s="6">
        <v>219</v>
      </c>
      <c r="L1084" s="6">
        <v>13358</v>
      </c>
      <c r="M1084" s="6">
        <v>-82514</v>
      </c>
      <c r="N1084" s="6">
        <v>35934</v>
      </c>
      <c r="O1084" s="6">
        <v>6785</v>
      </c>
      <c r="P1084" s="6">
        <v>0</v>
      </c>
      <c r="Q1084" s="6">
        <v>42719</v>
      </c>
    </row>
    <row r="1085" spans="1:17" x14ac:dyDescent="0.35">
      <c r="A1085" s="1">
        <v>45161</v>
      </c>
      <c r="B1085" s="6">
        <v>8096347</v>
      </c>
      <c r="C1085" s="6">
        <v>3773913</v>
      </c>
      <c r="D1085" s="6">
        <v>0</v>
      </c>
      <c r="E1085" s="6">
        <v>3177380</v>
      </c>
      <c r="F1085" s="6">
        <v>416031</v>
      </c>
      <c r="G1085" s="6">
        <v>9686</v>
      </c>
      <c r="H1085" s="6">
        <v>170816</v>
      </c>
      <c r="I1085" s="6">
        <v>2112514</v>
      </c>
      <c r="J1085" s="6">
        <v>2277521</v>
      </c>
      <c r="K1085" s="6">
        <v>281</v>
      </c>
      <c r="L1085" s="6">
        <v>13358</v>
      </c>
      <c r="M1085" s="6">
        <v>-81241</v>
      </c>
      <c r="N1085" s="6">
        <v>35934</v>
      </c>
      <c r="O1085" s="6">
        <v>6785</v>
      </c>
      <c r="P1085" s="6">
        <v>0</v>
      </c>
      <c r="Q1085" s="6">
        <v>42719</v>
      </c>
    </row>
    <row r="1086" spans="1:17" x14ac:dyDescent="0.35">
      <c r="A1086" s="1">
        <v>45168</v>
      </c>
      <c r="B1086" s="6">
        <v>8078597</v>
      </c>
      <c r="C1086" s="6">
        <v>3872362</v>
      </c>
      <c r="D1086" s="6">
        <v>0</v>
      </c>
      <c r="E1086" s="6">
        <v>3196543</v>
      </c>
      <c r="F1086" s="6">
        <v>500702</v>
      </c>
      <c r="G1086" s="6">
        <v>10412</v>
      </c>
      <c r="H1086" s="6">
        <v>164705</v>
      </c>
      <c r="I1086" s="6">
        <v>1998323</v>
      </c>
      <c r="J1086" s="6">
        <v>2280881</v>
      </c>
      <c r="K1086" s="6">
        <v>819</v>
      </c>
      <c r="L1086" s="6">
        <v>13358</v>
      </c>
      <c r="M1086" s="6">
        <v>-87146</v>
      </c>
      <c r="N1086" s="6">
        <v>35934</v>
      </c>
      <c r="O1086" s="6">
        <v>6785</v>
      </c>
      <c r="P1086" s="6">
        <v>0</v>
      </c>
      <c r="Q1086" s="6">
        <v>42719</v>
      </c>
    </row>
    <row r="1087" spans="1:17" x14ac:dyDescent="0.35">
      <c r="A1087" s="1">
        <v>45175</v>
      </c>
      <c r="B1087" s="6">
        <v>8058598</v>
      </c>
      <c r="C1087" s="6">
        <v>3946340</v>
      </c>
      <c r="D1087" s="6">
        <v>0</v>
      </c>
      <c r="E1087" s="6">
        <v>3290475</v>
      </c>
      <c r="F1087" s="6">
        <v>481552</v>
      </c>
      <c r="G1087" s="6">
        <v>10453</v>
      </c>
      <c r="H1087" s="6">
        <v>163861</v>
      </c>
      <c r="I1087" s="6">
        <v>1899878</v>
      </c>
      <c r="J1087" s="6">
        <v>2284423</v>
      </c>
      <c r="K1087" s="6">
        <v>849</v>
      </c>
      <c r="L1087" s="6">
        <v>13358</v>
      </c>
      <c r="M1087" s="6">
        <v>-86251</v>
      </c>
      <c r="N1087" s="6">
        <v>35935</v>
      </c>
      <c r="O1087" s="6">
        <v>6785</v>
      </c>
      <c r="P1087" s="6">
        <v>0</v>
      </c>
      <c r="Q1087" s="6">
        <v>42720</v>
      </c>
    </row>
    <row r="1088" spans="1:17" x14ac:dyDescent="0.35">
      <c r="A1088" s="1">
        <v>45182</v>
      </c>
      <c r="B1088" s="6">
        <v>8056059</v>
      </c>
      <c r="C1088" s="6">
        <v>4019567</v>
      </c>
      <c r="D1088" s="6">
        <v>0</v>
      </c>
      <c r="E1088" s="6">
        <v>3310531</v>
      </c>
      <c r="F1088" s="6">
        <v>537364</v>
      </c>
      <c r="G1088" s="6">
        <v>9689</v>
      </c>
      <c r="H1088" s="6">
        <v>161983</v>
      </c>
      <c r="I1088" s="6">
        <v>1835634</v>
      </c>
      <c r="J1088" s="6">
        <v>2279202</v>
      </c>
      <c r="K1088" s="6">
        <v>279</v>
      </c>
      <c r="L1088" s="6">
        <v>13358</v>
      </c>
      <c r="M1088" s="6">
        <v>-91981</v>
      </c>
      <c r="N1088" s="6">
        <v>35935</v>
      </c>
      <c r="O1088" s="6">
        <v>6785</v>
      </c>
      <c r="P1088" s="6">
        <v>0</v>
      </c>
      <c r="Q1088" s="6">
        <v>42720</v>
      </c>
    </row>
    <row r="1089" spans="1:17" x14ac:dyDescent="0.35">
      <c r="A1089" s="1">
        <v>45189</v>
      </c>
      <c r="B1089" s="6">
        <v>7981360</v>
      </c>
      <c r="C1089" s="6">
        <v>3979167</v>
      </c>
      <c r="D1089" s="6">
        <v>0</v>
      </c>
      <c r="E1089" s="6">
        <v>3144412</v>
      </c>
      <c r="F1089" s="6">
        <v>661717</v>
      </c>
      <c r="G1089" s="6">
        <v>9688</v>
      </c>
      <c r="H1089" s="6">
        <v>163350</v>
      </c>
      <c r="I1089" s="6">
        <v>1804707</v>
      </c>
      <c r="J1089" s="6">
        <v>2274574</v>
      </c>
      <c r="K1089" s="6">
        <v>262</v>
      </c>
      <c r="L1089" s="6">
        <v>13358</v>
      </c>
      <c r="M1089" s="6">
        <v>-90708</v>
      </c>
      <c r="N1089" s="6">
        <v>35945</v>
      </c>
      <c r="O1089" s="6">
        <v>6785</v>
      </c>
      <c r="P1089" s="6">
        <v>0</v>
      </c>
      <c r="Q1089" s="6">
        <v>42730</v>
      </c>
    </row>
    <row r="1090" spans="1:17" x14ac:dyDescent="0.35">
      <c r="A1090" s="1">
        <v>45196</v>
      </c>
      <c r="B1090" s="6">
        <v>7959334</v>
      </c>
      <c r="C1090" s="6">
        <v>4013986</v>
      </c>
      <c r="D1090" s="6">
        <v>0</v>
      </c>
      <c r="E1090" s="6">
        <v>3168502</v>
      </c>
      <c r="F1090" s="6">
        <v>672142</v>
      </c>
      <c r="G1090" s="6">
        <v>9687</v>
      </c>
      <c r="H1090" s="6">
        <v>163655</v>
      </c>
      <c r="I1090" s="6">
        <v>1755109</v>
      </c>
      <c r="J1090" s="6">
        <v>2273406</v>
      </c>
      <c r="K1090" s="6">
        <v>487</v>
      </c>
      <c r="L1090" s="6">
        <v>13358</v>
      </c>
      <c r="M1090" s="6">
        <v>-97013</v>
      </c>
      <c r="N1090" s="6">
        <v>35945</v>
      </c>
      <c r="O1090" s="6">
        <v>6785</v>
      </c>
      <c r="P1090" s="6">
        <v>0</v>
      </c>
      <c r="Q1090" s="6">
        <v>42730</v>
      </c>
    </row>
    <row r="1091" spans="1:17" x14ac:dyDescent="0.35">
      <c r="A1091" s="1">
        <v>45203</v>
      </c>
      <c r="B1091" s="6">
        <v>7913051</v>
      </c>
      <c r="C1091" s="6">
        <v>4087028</v>
      </c>
      <c r="D1091" s="6">
        <v>0</v>
      </c>
      <c r="E1091" s="6">
        <v>3240707</v>
      </c>
      <c r="F1091" s="6">
        <v>678959</v>
      </c>
      <c r="G1091" s="6">
        <v>9688</v>
      </c>
      <c r="H1091" s="6">
        <v>157674</v>
      </c>
      <c r="I1091" s="6">
        <v>1632015</v>
      </c>
      <c r="J1091" s="6">
        <v>2275803</v>
      </c>
      <c r="K1091" s="6">
        <v>658</v>
      </c>
      <c r="L1091" s="6">
        <v>13358</v>
      </c>
      <c r="M1091" s="6">
        <v>-95812</v>
      </c>
      <c r="N1091" s="6">
        <v>35946</v>
      </c>
      <c r="O1091" s="6">
        <v>6785</v>
      </c>
      <c r="P1091" s="6">
        <v>0</v>
      </c>
      <c r="Q1091" s="6">
        <v>42731</v>
      </c>
    </row>
    <row r="1092" spans="1:17" x14ac:dyDescent="0.35">
      <c r="A1092" s="1">
        <v>45210</v>
      </c>
      <c r="B1092" s="6">
        <v>7909324</v>
      </c>
      <c r="C1092" s="6">
        <v>4189294</v>
      </c>
      <c r="D1092" s="6">
        <v>0</v>
      </c>
      <c r="E1092" s="6">
        <v>3315650</v>
      </c>
      <c r="F1092" s="6">
        <v>713000</v>
      </c>
      <c r="G1092" s="6">
        <v>9688</v>
      </c>
      <c r="H1092" s="6">
        <v>150956</v>
      </c>
      <c r="I1092" s="6">
        <v>1529752</v>
      </c>
      <c r="J1092" s="6">
        <v>2277385</v>
      </c>
      <c r="K1092" s="6">
        <v>306</v>
      </c>
      <c r="L1092" s="6">
        <v>13358</v>
      </c>
      <c r="M1092" s="6">
        <v>-100772</v>
      </c>
      <c r="N1092" s="6">
        <v>35946</v>
      </c>
      <c r="O1092" s="6">
        <v>6785</v>
      </c>
      <c r="P1092" s="6">
        <v>0</v>
      </c>
      <c r="Q1092" s="6">
        <v>42731</v>
      </c>
    </row>
    <row r="1093" spans="1:17" x14ac:dyDescent="0.35">
      <c r="A1093" s="1">
        <v>45217</v>
      </c>
      <c r="B1093" s="6">
        <v>7890429</v>
      </c>
      <c r="C1093" s="6">
        <v>4253007</v>
      </c>
      <c r="D1093" s="6">
        <v>0</v>
      </c>
      <c r="E1093" s="6">
        <v>3250230</v>
      </c>
      <c r="F1093" s="6">
        <v>841103</v>
      </c>
      <c r="G1093" s="6">
        <v>9688</v>
      </c>
      <c r="H1093" s="6">
        <v>151986</v>
      </c>
      <c r="I1093" s="6">
        <v>1448928</v>
      </c>
      <c r="J1093" s="6">
        <v>2273823</v>
      </c>
      <c r="K1093" s="6">
        <v>306</v>
      </c>
      <c r="L1093" s="6">
        <v>13358</v>
      </c>
      <c r="M1093" s="6">
        <v>-98994</v>
      </c>
      <c r="N1093" s="6">
        <v>35948</v>
      </c>
      <c r="O1093" s="6">
        <v>6785</v>
      </c>
      <c r="P1093" s="6">
        <v>0</v>
      </c>
      <c r="Q1093" s="6">
        <v>42733</v>
      </c>
    </row>
    <row r="1094" spans="1:17" x14ac:dyDescent="0.35">
      <c r="A1094" s="1">
        <v>45224</v>
      </c>
      <c r="B1094" s="6">
        <v>7865097</v>
      </c>
      <c r="C1094" s="6">
        <v>4280863</v>
      </c>
      <c r="D1094" s="6">
        <v>0</v>
      </c>
      <c r="E1094" s="6">
        <v>3263971</v>
      </c>
      <c r="F1094" s="6">
        <v>847717</v>
      </c>
      <c r="G1094" s="6">
        <v>9685</v>
      </c>
      <c r="H1094" s="6">
        <v>159490</v>
      </c>
      <c r="I1094" s="6">
        <v>1403115</v>
      </c>
      <c r="J1094" s="6">
        <v>2272374</v>
      </c>
      <c r="K1094" s="6">
        <v>300</v>
      </c>
      <c r="L1094" s="6">
        <v>13358</v>
      </c>
      <c r="M1094" s="6">
        <v>-104913</v>
      </c>
      <c r="N1094" s="6">
        <v>35948</v>
      </c>
      <c r="O1094" s="6">
        <v>6785</v>
      </c>
      <c r="P1094" s="6">
        <v>0</v>
      </c>
      <c r="Q1094" s="6">
        <v>42733</v>
      </c>
    </row>
    <row r="1095" spans="1:17" x14ac:dyDescent="0.35">
      <c r="A1095" s="1">
        <v>45231</v>
      </c>
      <c r="B1095" s="6">
        <v>7823929</v>
      </c>
      <c r="C1095" s="6">
        <v>4242014</v>
      </c>
      <c r="D1095" s="6">
        <v>0</v>
      </c>
      <c r="E1095" s="6">
        <v>3314630</v>
      </c>
      <c r="F1095" s="6">
        <v>753008</v>
      </c>
      <c r="G1095" s="6">
        <v>9686</v>
      </c>
      <c r="H1095" s="6">
        <v>164691</v>
      </c>
      <c r="I1095" s="6">
        <v>1396515</v>
      </c>
      <c r="J1095" s="6">
        <v>2274633</v>
      </c>
      <c r="K1095" s="6">
        <v>546</v>
      </c>
      <c r="L1095" s="6">
        <v>13358</v>
      </c>
      <c r="M1095" s="6">
        <v>-103137</v>
      </c>
      <c r="N1095" s="6">
        <v>35950</v>
      </c>
      <c r="O1095" s="6">
        <v>6785</v>
      </c>
      <c r="P1095" s="6">
        <v>0</v>
      </c>
      <c r="Q1095" s="6">
        <v>42735</v>
      </c>
    </row>
    <row r="1096" spans="1:17" x14ac:dyDescent="0.35">
      <c r="A1096" s="1">
        <v>45238</v>
      </c>
      <c r="B1096" s="6">
        <v>7817915</v>
      </c>
      <c r="C1096" s="6">
        <v>4293119</v>
      </c>
      <c r="D1096" s="6">
        <v>0</v>
      </c>
      <c r="E1096" s="6">
        <v>3360428</v>
      </c>
      <c r="F1096" s="6">
        <v>763459</v>
      </c>
      <c r="G1096" s="6">
        <v>9687</v>
      </c>
      <c r="H1096" s="6">
        <v>159545</v>
      </c>
      <c r="I1096" s="6">
        <v>1343857</v>
      </c>
      <c r="J1096" s="6">
        <v>2275611</v>
      </c>
      <c r="K1096" s="6">
        <v>280</v>
      </c>
      <c r="L1096" s="6">
        <v>13358</v>
      </c>
      <c r="M1096" s="6">
        <v>-108310</v>
      </c>
      <c r="N1096" s="6">
        <v>35991</v>
      </c>
      <c r="O1096" s="6">
        <v>6785</v>
      </c>
      <c r="P1096" s="6">
        <v>0</v>
      </c>
      <c r="Q1096" s="6">
        <v>42776</v>
      </c>
    </row>
    <row r="1097" spans="1:17" x14ac:dyDescent="0.35">
      <c r="A1097" s="1">
        <v>45245</v>
      </c>
      <c r="B1097" s="6">
        <v>7772215</v>
      </c>
      <c r="C1097" s="6">
        <v>4320629</v>
      </c>
      <c r="D1097" s="6">
        <v>0</v>
      </c>
      <c r="E1097" s="6">
        <v>3483325</v>
      </c>
      <c r="F1097" s="6">
        <v>669976</v>
      </c>
      <c r="G1097" s="6">
        <v>9689</v>
      </c>
      <c r="H1097" s="6">
        <v>157638</v>
      </c>
      <c r="I1097" s="6">
        <v>1267973</v>
      </c>
      <c r="J1097" s="6">
        <v>2276410</v>
      </c>
      <c r="K1097" s="6">
        <v>258</v>
      </c>
      <c r="L1097" s="6">
        <v>13358</v>
      </c>
      <c r="M1097" s="6">
        <v>-106414</v>
      </c>
      <c r="N1097" s="6">
        <v>35991</v>
      </c>
      <c r="O1097" s="6">
        <v>6785</v>
      </c>
      <c r="P1097" s="6">
        <v>0</v>
      </c>
      <c r="Q1097" s="6">
        <v>42776</v>
      </c>
    </row>
    <row r="1098" spans="1:17" x14ac:dyDescent="0.35">
      <c r="A1098" s="1">
        <v>45252</v>
      </c>
      <c r="B1098" s="6">
        <v>7768039</v>
      </c>
      <c r="C1098" s="6">
        <v>4316346</v>
      </c>
      <c r="D1098" s="6">
        <v>0</v>
      </c>
      <c r="E1098" s="6">
        <v>3455063</v>
      </c>
      <c r="F1098" s="6">
        <v>693007</v>
      </c>
      <c r="G1098" s="6">
        <v>9685</v>
      </c>
      <c r="H1098" s="6">
        <v>158591</v>
      </c>
      <c r="I1098" s="6">
        <v>1271679</v>
      </c>
      <c r="J1098" s="6">
        <v>2280648</v>
      </c>
      <c r="K1098" s="6">
        <v>451</v>
      </c>
      <c r="L1098" s="6">
        <v>10311</v>
      </c>
      <c r="M1098" s="6">
        <v>-111396</v>
      </c>
      <c r="N1098" s="6">
        <v>35991</v>
      </c>
      <c r="O1098" s="6">
        <v>6785</v>
      </c>
      <c r="P1098" s="6">
        <v>0</v>
      </c>
      <c r="Q1098" s="6">
        <v>42776</v>
      </c>
    </row>
    <row r="1099" spans="1:17" x14ac:dyDescent="0.35">
      <c r="A1099" s="1">
        <v>45259</v>
      </c>
      <c r="B1099" s="6">
        <v>7753369</v>
      </c>
      <c r="C1099" s="6">
        <v>4316119</v>
      </c>
      <c r="D1099" s="6">
        <v>0</v>
      </c>
      <c r="E1099" s="6">
        <v>3395396</v>
      </c>
      <c r="F1099" s="6">
        <v>753570</v>
      </c>
      <c r="G1099" s="6">
        <v>9690</v>
      </c>
      <c r="H1099" s="6">
        <v>157463</v>
      </c>
      <c r="I1099" s="6">
        <v>1254156</v>
      </c>
      <c r="J1099" s="6">
        <v>2281874</v>
      </c>
      <c r="K1099" s="6">
        <v>858</v>
      </c>
      <c r="L1099" s="6">
        <v>10311</v>
      </c>
      <c r="M1099" s="6">
        <v>-109949</v>
      </c>
      <c r="N1099" s="6">
        <v>35991</v>
      </c>
      <c r="O1099" s="6">
        <v>6785</v>
      </c>
      <c r="P1099" s="6">
        <v>0</v>
      </c>
      <c r="Q1099" s="6">
        <v>42776</v>
      </c>
    </row>
    <row r="1100" spans="1:17" x14ac:dyDescent="0.35">
      <c r="A1100" s="1">
        <v>45266</v>
      </c>
      <c r="B1100" s="6">
        <v>7694535</v>
      </c>
      <c r="C1100" s="6">
        <v>4333862</v>
      </c>
      <c r="D1100" s="6">
        <v>0</v>
      </c>
      <c r="E1100" s="6">
        <v>3496754</v>
      </c>
      <c r="F1100" s="6">
        <v>667678</v>
      </c>
      <c r="G1100" s="6">
        <v>9682</v>
      </c>
      <c r="H1100" s="6">
        <v>159747</v>
      </c>
      <c r="I1100" s="6">
        <v>1184528</v>
      </c>
      <c r="J1100" s="6">
        <v>2281307</v>
      </c>
      <c r="K1100" s="6">
        <v>679</v>
      </c>
      <c r="L1100" s="6">
        <v>10311</v>
      </c>
      <c r="M1100" s="6">
        <v>-116152</v>
      </c>
      <c r="N1100" s="6">
        <v>36065</v>
      </c>
      <c r="O1100" s="6">
        <v>6785</v>
      </c>
      <c r="P1100" s="6">
        <v>0</v>
      </c>
      <c r="Q1100" s="6">
        <v>42850</v>
      </c>
    </row>
    <row r="1101" spans="1:17" x14ac:dyDescent="0.35">
      <c r="A1101" s="1">
        <v>45273</v>
      </c>
      <c r="B1101" s="6">
        <v>7696716</v>
      </c>
      <c r="C1101" s="6">
        <v>4367516</v>
      </c>
      <c r="D1101" s="6">
        <v>0</v>
      </c>
      <c r="E1101" s="6">
        <v>3567772</v>
      </c>
      <c r="F1101" s="6">
        <v>630618</v>
      </c>
      <c r="G1101" s="6">
        <v>9693</v>
      </c>
      <c r="H1101" s="6">
        <v>159434</v>
      </c>
      <c r="I1101" s="6">
        <v>1152232</v>
      </c>
      <c r="J1101" s="6">
        <v>2280688</v>
      </c>
      <c r="K1101" s="6">
        <v>331</v>
      </c>
      <c r="L1101" s="6">
        <v>10311</v>
      </c>
      <c r="M1101" s="6">
        <v>-114363</v>
      </c>
      <c r="N1101" s="6">
        <v>36065</v>
      </c>
      <c r="O1101" s="6">
        <v>6785</v>
      </c>
      <c r="P1101" s="6">
        <v>0</v>
      </c>
      <c r="Q1101" s="6">
        <v>42850</v>
      </c>
    </row>
    <row r="1102" spans="1:17" x14ac:dyDescent="0.35">
      <c r="A1102" s="1">
        <v>45280</v>
      </c>
      <c r="B1102" s="6">
        <v>7681213</v>
      </c>
      <c r="C1102" s="6">
        <v>4381747</v>
      </c>
      <c r="D1102" s="6">
        <v>0</v>
      </c>
      <c r="E1102" s="6">
        <v>3477288</v>
      </c>
      <c r="F1102" s="6">
        <v>732721</v>
      </c>
      <c r="G1102" s="6">
        <v>9688</v>
      </c>
      <c r="H1102" s="6">
        <v>162050</v>
      </c>
      <c r="I1102" s="6">
        <v>1124202</v>
      </c>
      <c r="J1102" s="6">
        <v>2285162</v>
      </c>
      <c r="K1102" s="6">
        <v>328</v>
      </c>
      <c r="L1102" s="6">
        <v>10311</v>
      </c>
      <c r="M1102" s="6">
        <v>-120536</v>
      </c>
      <c r="N1102" s="6">
        <v>36065</v>
      </c>
      <c r="O1102" s="6">
        <v>6785</v>
      </c>
      <c r="P1102" s="6">
        <v>0</v>
      </c>
      <c r="Q1102" s="6">
        <v>42850</v>
      </c>
    </row>
    <row r="1103" spans="1:17" x14ac:dyDescent="0.35">
      <c r="A1103" s="1">
        <v>45287</v>
      </c>
      <c r="B1103" s="6">
        <v>7669932</v>
      </c>
      <c r="C1103" s="6">
        <v>4321556</v>
      </c>
      <c r="D1103" s="6">
        <v>0</v>
      </c>
      <c r="E1103" s="6">
        <v>3434214</v>
      </c>
      <c r="F1103" s="6">
        <v>713064</v>
      </c>
      <c r="G1103" s="6">
        <v>9690</v>
      </c>
      <c r="H1103" s="6">
        <v>164588</v>
      </c>
      <c r="I1103" s="6">
        <v>1165574</v>
      </c>
      <c r="J1103" s="6">
        <v>2293821</v>
      </c>
      <c r="K1103" s="6">
        <v>457</v>
      </c>
      <c r="L1103" s="6">
        <v>7438</v>
      </c>
      <c r="M1103" s="6">
        <v>-118915</v>
      </c>
      <c r="N1103" s="6">
        <v>36065</v>
      </c>
      <c r="O1103" s="6">
        <v>6785</v>
      </c>
      <c r="P1103" s="6">
        <v>0</v>
      </c>
      <c r="Q1103" s="6">
        <v>42850</v>
      </c>
    </row>
    <row r="1104" spans="1:17" x14ac:dyDescent="0.35">
      <c r="A1104" s="1">
        <v>45294</v>
      </c>
      <c r="B1104" s="6">
        <v>7638174</v>
      </c>
      <c r="C1104" s="6">
        <v>4373296</v>
      </c>
      <c r="D1104" s="6">
        <v>0</v>
      </c>
      <c r="E1104" s="6">
        <v>3459409</v>
      </c>
      <c r="F1104" s="6">
        <v>743464</v>
      </c>
      <c r="G1104" s="6">
        <v>9691</v>
      </c>
      <c r="H1104" s="6">
        <v>160731</v>
      </c>
      <c r="I1104" s="6">
        <v>1085975</v>
      </c>
      <c r="J1104" s="6">
        <v>2297432</v>
      </c>
      <c r="K1104" s="6">
        <v>829</v>
      </c>
      <c r="L1104" s="6">
        <v>7438</v>
      </c>
      <c r="M1104" s="6">
        <v>-126798</v>
      </c>
      <c r="N1104" s="6">
        <v>36065</v>
      </c>
      <c r="O1104" s="6">
        <v>6785</v>
      </c>
      <c r="P1104" s="6">
        <v>0</v>
      </c>
      <c r="Q1104" s="6">
        <v>42850</v>
      </c>
    </row>
    <row r="1105" spans="1:17" x14ac:dyDescent="0.35">
      <c r="A1105" s="1">
        <v>45301</v>
      </c>
      <c r="B1105" s="6">
        <v>7643860</v>
      </c>
      <c r="C1105" s="6">
        <v>4430320</v>
      </c>
      <c r="D1105" s="6">
        <v>0</v>
      </c>
      <c r="E1105" s="6">
        <v>3537383</v>
      </c>
      <c r="F1105" s="6">
        <v>727856</v>
      </c>
      <c r="G1105" s="6">
        <v>9692</v>
      </c>
      <c r="H1105" s="6">
        <v>155389</v>
      </c>
      <c r="I1105" s="6">
        <v>1041144</v>
      </c>
      <c r="J1105" s="6">
        <v>2289710</v>
      </c>
      <c r="K1105" s="6">
        <v>380</v>
      </c>
      <c r="L1105" s="6">
        <v>7438</v>
      </c>
      <c r="M1105" s="6">
        <v>-125133</v>
      </c>
      <c r="N1105" s="6">
        <v>36065</v>
      </c>
      <c r="O1105" s="6">
        <v>6785</v>
      </c>
      <c r="P1105" s="6">
        <v>0</v>
      </c>
      <c r="Q1105" s="6">
        <v>42850</v>
      </c>
    </row>
    <row r="1106" spans="1:17" x14ac:dyDescent="0.35">
      <c r="A1106" s="1">
        <v>45308</v>
      </c>
      <c r="B1106" s="6">
        <v>7630890</v>
      </c>
      <c r="C1106" s="6">
        <v>4532848</v>
      </c>
      <c r="D1106" s="6">
        <v>0</v>
      </c>
      <c r="E1106" s="6">
        <v>3592327</v>
      </c>
      <c r="F1106" s="6">
        <v>773544</v>
      </c>
      <c r="G1106" s="6">
        <v>9690</v>
      </c>
      <c r="H1106" s="6">
        <v>157288</v>
      </c>
      <c r="I1106" s="6">
        <v>936323</v>
      </c>
      <c r="J1106" s="6">
        <v>2285191</v>
      </c>
      <c r="K1106" s="6">
        <v>320</v>
      </c>
      <c r="L1106" s="6">
        <v>7438</v>
      </c>
      <c r="M1106" s="6">
        <v>-131230</v>
      </c>
      <c r="N1106" s="6">
        <v>36066</v>
      </c>
      <c r="O1106" s="6">
        <v>6785</v>
      </c>
      <c r="P1106" s="6">
        <v>0</v>
      </c>
      <c r="Q1106" s="6">
        <v>42851</v>
      </c>
    </row>
    <row r="1107" spans="1:17" x14ac:dyDescent="0.35">
      <c r="A1107" s="1">
        <v>45315</v>
      </c>
      <c r="B1107" s="6">
        <v>7634379</v>
      </c>
      <c r="C1107" s="6">
        <v>4497489</v>
      </c>
      <c r="D1107" s="6">
        <v>0</v>
      </c>
      <c r="E1107" s="6">
        <v>3489711</v>
      </c>
      <c r="F1107" s="6">
        <v>815159</v>
      </c>
      <c r="G1107" s="6">
        <v>9689</v>
      </c>
      <c r="H1107" s="6">
        <v>182930</v>
      </c>
      <c r="I1107" s="6">
        <v>980069</v>
      </c>
      <c r="J1107" s="6">
        <v>2278707</v>
      </c>
      <c r="K1107" s="6">
        <v>397</v>
      </c>
      <c r="L1107" s="6">
        <v>7438</v>
      </c>
      <c r="M1107" s="6">
        <v>-129722</v>
      </c>
      <c r="N1107" s="6">
        <v>36066</v>
      </c>
      <c r="O1107" s="6">
        <v>6785</v>
      </c>
      <c r="P1107" s="6">
        <v>0</v>
      </c>
      <c r="Q1107" s="6">
        <v>42851</v>
      </c>
    </row>
    <row r="1108" spans="1:17" x14ac:dyDescent="0.35">
      <c r="A1108" s="1">
        <v>45322</v>
      </c>
      <c r="B1108" s="6">
        <v>7587273</v>
      </c>
      <c r="C1108" s="6">
        <v>4462273</v>
      </c>
      <c r="D1108" s="6">
        <v>0</v>
      </c>
      <c r="E1108" s="6">
        <v>3411717</v>
      </c>
      <c r="F1108" s="6">
        <v>865481</v>
      </c>
      <c r="G1108" s="6">
        <v>9688</v>
      </c>
      <c r="H1108" s="6">
        <v>175387</v>
      </c>
      <c r="I1108" s="6">
        <v>977603</v>
      </c>
      <c r="J1108" s="6">
        <v>2276187</v>
      </c>
      <c r="K1108" s="6">
        <v>1058</v>
      </c>
      <c r="L1108" s="6">
        <v>7438</v>
      </c>
      <c r="M1108" s="6">
        <v>-137286</v>
      </c>
      <c r="N1108" s="6">
        <v>36066</v>
      </c>
      <c r="O1108" s="6">
        <v>6785</v>
      </c>
      <c r="P1108" s="6">
        <v>0</v>
      </c>
      <c r="Q1108" s="6">
        <v>42851</v>
      </c>
    </row>
    <row r="1109" spans="1:17" x14ac:dyDescent="0.35">
      <c r="A1109" s="1">
        <v>45329</v>
      </c>
      <c r="B1109" s="6">
        <v>7588161</v>
      </c>
      <c r="C1109" s="6">
        <v>4549137</v>
      </c>
      <c r="D1109" s="6">
        <v>0</v>
      </c>
      <c r="E1109" s="6">
        <v>3555738</v>
      </c>
      <c r="F1109" s="6">
        <v>821575</v>
      </c>
      <c r="G1109" s="6">
        <v>9691</v>
      </c>
      <c r="H1109" s="6">
        <v>162134</v>
      </c>
      <c r="I1109" s="6">
        <v>890179</v>
      </c>
      <c r="J1109" s="6">
        <v>2276628</v>
      </c>
      <c r="K1109" s="6">
        <v>377</v>
      </c>
      <c r="L1109" s="6">
        <v>7438</v>
      </c>
      <c r="M1109" s="6">
        <v>-135599</v>
      </c>
      <c r="N1109" s="6">
        <v>36354</v>
      </c>
      <c r="O1109" s="6">
        <v>6785</v>
      </c>
      <c r="P1109" s="6">
        <v>0</v>
      </c>
      <c r="Q1109" s="6">
        <v>43139</v>
      </c>
    </row>
    <row r="1110" spans="1:17" x14ac:dyDescent="0.35">
      <c r="A1110" s="1">
        <v>45336</v>
      </c>
      <c r="B1110" s="6">
        <v>7590735</v>
      </c>
      <c r="C1110" s="6">
        <v>4541567</v>
      </c>
      <c r="D1110" s="6">
        <v>0</v>
      </c>
      <c r="E1110" s="6">
        <v>3537469</v>
      </c>
      <c r="F1110" s="6">
        <v>831880</v>
      </c>
      <c r="G1110" s="6">
        <v>9687</v>
      </c>
      <c r="H1110" s="6">
        <v>162531</v>
      </c>
      <c r="I1110" s="6">
        <v>905572</v>
      </c>
      <c r="J1110" s="6">
        <v>2277417</v>
      </c>
      <c r="K1110" s="6">
        <v>376</v>
      </c>
      <c r="L1110" s="6">
        <v>7438</v>
      </c>
      <c r="M1110" s="6">
        <v>-141634</v>
      </c>
      <c r="N1110" s="6">
        <v>36354</v>
      </c>
      <c r="O1110" s="6">
        <v>6785</v>
      </c>
      <c r="P1110" s="6">
        <v>0</v>
      </c>
      <c r="Q1110" s="6">
        <v>43139</v>
      </c>
    </row>
    <row r="1111" spans="1:17" x14ac:dyDescent="0.35">
      <c r="A1111" s="1">
        <v>45343</v>
      </c>
      <c r="B1111" s="6">
        <v>7538542</v>
      </c>
      <c r="C1111" s="6">
        <v>4475825</v>
      </c>
      <c r="D1111" s="6">
        <v>0</v>
      </c>
      <c r="E1111" s="6">
        <v>3523095</v>
      </c>
      <c r="F1111" s="6">
        <v>788759</v>
      </c>
      <c r="G1111" s="6">
        <v>9687</v>
      </c>
      <c r="H1111" s="6">
        <v>154283</v>
      </c>
      <c r="I1111" s="6">
        <v>914625</v>
      </c>
      <c r="J1111" s="6">
        <v>2280054</v>
      </c>
      <c r="K1111" s="6">
        <v>398</v>
      </c>
      <c r="L1111" s="6">
        <v>7438</v>
      </c>
      <c r="M1111" s="6">
        <v>-139798</v>
      </c>
      <c r="N1111" s="6">
        <v>36355</v>
      </c>
      <c r="O1111" s="6">
        <v>6785</v>
      </c>
      <c r="P1111" s="6">
        <v>0</v>
      </c>
      <c r="Q1111" s="6">
        <v>43140</v>
      </c>
    </row>
    <row r="1112" spans="1:17" x14ac:dyDescent="0.35">
      <c r="A1112" s="1">
        <v>45350</v>
      </c>
      <c r="B1112" s="6">
        <v>7524667</v>
      </c>
      <c r="C1112" s="6">
        <v>4471083</v>
      </c>
      <c r="D1112" s="6">
        <v>0</v>
      </c>
      <c r="E1112" s="6">
        <v>3540982</v>
      </c>
      <c r="F1112" s="6">
        <v>767672</v>
      </c>
      <c r="G1112" s="6">
        <v>9689</v>
      </c>
      <c r="H1112" s="6">
        <v>152741</v>
      </c>
      <c r="I1112" s="6">
        <v>908801</v>
      </c>
      <c r="J1112" s="6">
        <v>2282361</v>
      </c>
      <c r="K1112" s="6">
        <v>892</v>
      </c>
      <c r="L1112" s="6">
        <v>7438</v>
      </c>
      <c r="M1112" s="6">
        <v>-145908</v>
      </c>
      <c r="N1112" s="6">
        <v>36355</v>
      </c>
      <c r="O1112" s="6">
        <v>6785</v>
      </c>
      <c r="P1112" s="6">
        <v>0</v>
      </c>
      <c r="Q1112" s="6">
        <v>43140</v>
      </c>
    </row>
    <row r="1113" spans="1:17" x14ac:dyDescent="0.35">
      <c r="A1113" s="1">
        <v>45357</v>
      </c>
      <c r="B1113" s="6">
        <v>7495715</v>
      </c>
      <c r="C1113" s="6">
        <v>4548874</v>
      </c>
      <c r="D1113" s="6">
        <v>0</v>
      </c>
      <c r="E1113" s="6">
        <v>3620689</v>
      </c>
      <c r="F1113" s="6">
        <v>760550</v>
      </c>
      <c r="G1113" s="6">
        <v>10755</v>
      </c>
      <c r="H1113" s="6">
        <v>156880</v>
      </c>
      <c r="I1113" s="6">
        <v>793394</v>
      </c>
      <c r="J1113" s="6">
        <v>2288283</v>
      </c>
      <c r="K1113" s="6">
        <v>814</v>
      </c>
      <c r="L1113" s="6">
        <v>7438</v>
      </c>
      <c r="M1113" s="6">
        <v>-143088</v>
      </c>
      <c r="N1113" s="6">
        <v>36357</v>
      </c>
      <c r="O1113" s="6">
        <v>6785</v>
      </c>
      <c r="P1113" s="6">
        <v>0</v>
      </c>
      <c r="Q1113" s="6">
        <v>43142</v>
      </c>
    </row>
    <row r="1114" spans="1:17" x14ac:dyDescent="0.35">
      <c r="A1114" s="1">
        <v>45364</v>
      </c>
      <c r="B1114" s="6">
        <v>7498827</v>
      </c>
      <c r="C1114" s="6">
        <v>4493557</v>
      </c>
      <c r="D1114" s="6">
        <v>0</v>
      </c>
      <c r="E1114" s="6">
        <v>3573153</v>
      </c>
      <c r="F1114" s="6">
        <v>748388</v>
      </c>
      <c r="G1114" s="6">
        <v>11552</v>
      </c>
      <c r="H1114" s="6">
        <v>160465</v>
      </c>
      <c r="I1114" s="6">
        <v>854678</v>
      </c>
      <c r="J1114" s="6">
        <v>2290745</v>
      </c>
      <c r="K1114" s="6">
        <v>456</v>
      </c>
      <c r="L1114" s="6">
        <v>7438</v>
      </c>
      <c r="M1114" s="6">
        <v>-148049</v>
      </c>
      <c r="N1114" s="6">
        <v>36357</v>
      </c>
      <c r="O1114" s="6">
        <v>6785</v>
      </c>
      <c r="P1114" s="6">
        <v>0</v>
      </c>
      <c r="Q1114" s="6">
        <v>43142</v>
      </c>
    </row>
    <row r="1115" spans="1:17" x14ac:dyDescent="0.35">
      <c r="A1115" s="1">
        <v>45371</v>
      </c>
      <c r="B1115" s="6">
        <v>7471206</v>
      </c>
      <c r="C1115" s="6">
        <v>4472132</v>
      </c>
      <c r="D1115" s="6">
        <v>0</v>
      </c>
      <c r="E1115" s="6">
        <v>3489577</v>
      </c>
      <c r="F1115" s="6">
        <v>812605</v>
      </c>
      <c r="G1115" s="6">
        <v>12393</v>
      </c>
      <c r="H1115" s="6">
        <v>157557</v>
      </c>
      <c r="I1115" s="6">
        <v>845466</v>
      </c>
      <c r="J1115" s="6">
        <v>2291524</v>
      </c>
      <c r="K1115" s="6">
        <v>411</v>
      </c>
      <c r="L1115" s="6">
        <v>7438</v>
      </c>
      <c r="M1115" s="6">
        <v>-145766</v>
      </c>
      <c r="N1115" s="6">
        <v>36357</v>
      </c>
      <c r="O1115" s="6">
        <v>6785</v>
      </c>
      <c r="P1115" s="6">
        <v>0</v>
      </c>
      <c r="Q1115" s="6">
        <v>43142</v>
      </c>
    </row>
    <row r="1116" spans="1:17" x14ac:dyDescent="0.35">
      <c r="A1116" s="1">
        <v>45378</v>
      </c>
      <c r="B1116" s="6">
        <v>7441596</v>
      </c>
      <c r="C1116" s="6">
        <v>4419048</v>
      </c>
      <c r="D1116" s="6">
        <v>0</v>
      </c>
      <c r="E1116" s="6">
        <v>3472403</v>
      </c>
      <c r="F1116" s="6">
        <v>772260</v>
      </c>
      <c r="G1116" s="6">
        <v>14547</v>
      </c>
      <c r="H1116" s="6">
        <v>159839</v>
      </c>
      <c r="I1116" s="6">
        <v>872746</v>
      </c>
      <c r="J1116" s="6">
        <v>2293232</v>
      </c>
      <c r="K1116" s="6">
        <v>430</v>
      </c>
      <c r="L1116" s="6">
        <v>7438</v>
      </c>
      <c r="M1116" s="6">
        <v>-151298</v>
      </c>
      <c r="N1116" s="6">
        <v>36357</v>
      </c>
      <c r="O1116" s="6">
        <v>6785</v>
      </c>
      <c r="P1116" s="6">
        <v>0</v>
      </c>
      <c r="Q1116" s="6">
        <v>43142</v>
      </c>
    </row>
    <row r="1117" spans="1:17" x14ac:dyDescent="0.35">
      <c r="A1117" s="1">
        <v>45385</v>
      </c>
      <c r="B1117" s="6">
        <v>7396418</v>
      </c>
      <c r="C1117" s="6">
        <v>4439715</v>
      </c>
      <c r="D1117" s="6">
        <v>0</v>
      </c>
      <c r="E1117" s="6">
        <v>3541167</v>
      </c>
      <c r="F1117" s="6">
        <v>732828</v>
      </c>
      <c r="G1117" s="6">
        <v>10699</v>
      </c>
      <c r="H1117" s="6">
        <v>155021</v>
      </c>
      <c r="I1117" s="6">
        <v>801636</v>
      </c>
      <c r="J1117" s="6">
        <v>2296334</v>
      </c>
      <c r="K1117" s="6">
        <v>825</v>
      </c>
      <c r="L1117" s="6">
        <v>7438</v>
      </c>
      <c r="M1117" s="6">
        <v>-149530</v>
      </c>
      <c r="N1117" s="6">
        <v>36356</v>
      </c>
      <c r="O1117" s="6">
        <v>6785</v>
      </c>
      <c r="P1117" s="6">
        <v>0</v>
      </c>
      <c r="Q1117" s="6">
        <v>43141</v>
      </c>
    </row>
    <row r="1118" spans="1:17" x14ac:dyDescent="0.35">
      <c r="A1118" s="1">
        <v>45392</v>
      </c>
      <c r="B1118" s="6">
        <v>7395036</v>
      </c>
      <c r="C1118" s="6">
        <v>4445783</v>
      </c>
      <c r="D1118" s="6">
        <v>0</v>
      </c>
      <c r="E1118" s="6">
        <v>3615691</v>
      </c>
      <c r="F1118" s="6">
        <v>672537</v>
      </c>
      <c r="G1118" s="6">
        <v>9693</v>
      </c>
      <c r="H1118" s="6">
        <v>147862</v>
      </c>
      <c r="I1118" s="6">
        <v>799197</v>
      </c>
      <c r="J1118" s="6">
        <v>2296895</v>
      </c>
      <c r="K1118" s="6">
        <v>326</v>
      </c>
      <c r="L1118" s="6">
        <v>7438</v>
      </c>
      <c r="M1118" s="6">
        <v>-154603</v>
      </c>
      <c r="N1118" s="6">
        <v>36355</v>
      </c>
      <c r="O1118" s="6">
        <v>6785</v>
      </c>
      <c r="P1118" s="6">
        <v>0</v>
      </c>
      <c r="Q1118" s="6">
        <v>43140</v>
      </c>
    </row>
    <row r="1119" spans="1:17" x14ac:dyDescent="0.35">
      <c r="A1119" s="1">
        <v>45399</v>
      </c>
      <c r="B1119" s="6">
        <v>7362366</v>
      </c>
      <c r="C1119" s="6">
        <v>4415242</v>
      </c>
      <c r="D1119" s="6">
        <v>0</v>
      </c>
      <c r="E1119" s="6">
        <v>3329532</v>
      </c>
      <c r="F1119" s="6">
        <v>929932</v>
      </c>
      <c r="G1119" s="6">
        <v>9694</v>
      </c>
      <c r="H1119" s="6">
        <v>146084</v>
      </c>
      <c r="I1119" s="6">
        <v>795640</v>
      </c>
      <c r="J1119" s="6">
        <v>2295848</v>
      </c>
      <c r="K1119" s="6">
        <v>339</v>
      </c>
      <c r="L1119" s="6">
        <v>7438</v>
      </c>
      <c r="M1119" s="6">
        <v>-152143</v>
      </c>
      <c r="N1119" s="6">
        <v>36356</v>
      </c>
      <c r="O1119" s="6">
        <v>6785</v>
      </c>
      <c r="P1119" s="6">
        <v>0</v>
      </c>
      <c r="Q1119" s="6">
        <v>43141</v>
      </c>
    </row>
    <row r="1120" spans="1:17" x14ac:dyDescent="0.35">
      <c r="A1120" s="1">
        <v>45406</v>
      </c>
      <c r="B1120" s="6">
        <v>7359294</v>
      </c>
      <c r="C1120" s="6">
        <v>4405663</v>
      </c>
      <c r="D1120" s="6">
        <v>0</v>
      </c>
      <c r="E1120" s="6">
        <v>3271706</v>
      </c>
      <c r="F1120" s="6">
        <v>929379</v>
      </c>
      <c r="G1120" s="6">
        <v>27504</v>
      </c>
      <c r="H1120" s="6">
        <v>177074</v>
      </c>
      <c r="I1120" s="6">
        <v>809259</v>
      </c>
      <c r="J1120" s="6">
        <v>2293908</v>
      </c>
      <c r="K1120" s="6">
        <v>330</v>
      </c>
      <c r="L1120" s="6">
        <v>7438</v>
      </c>
      <c r="M1120" s="6">
        <v>-157304</v>
      </c>
      <c r="N1120" s="6">
        <v>36356</v>
      </c>
      <c r="O1120" s="6">
        <v>6785</v>
      </c>
      <c r="P1120" s="6">
        <v>0</v>
      </c>
      <c r="Q1120" s="6">
        <v>43141</v>
      </c>
    </row>
    <row r="1121" spans="1:17" x14ac:dyDescent="0.35">
      <c r="A1121" s="1">
        <v>45413</v>
      </c>
      <c r="B1121" s="6">
        <v>7319334</v>
      </c>
      <c r="C1121" s="6">
        <v>4372779</v>
      </c>
      <c r="D1121" s="6">
        <v>0</v>
      </c>
      <c r="E1121" s="6">
        <v>3317035</v>
      </c>
      <c r="F1121" s="6">
        <v>890442</v>
      </c>
      <c r="G1121" s="6">
        <v>9694</v>
      </c>
      <c r="H1121" s="6">
        <v>155609</v>
      </c>
      <c r="I1121" s="6">
        <v>798065</v>
      </c>
      <c r="J1121" s="6">
        <v>2295917</v>
      </c>
      <c r="K1121" s="6">
        <v>678</v>
      </c>
      <c r="L1121" s="6">
        <v>7438</v>
      </c>
      <c r="M1121" s="6">
        <v>-155544</v>
      </c>
      <c r="N1121" s="6">
        <v>36355</v>
      </c>
      <c r="O1121" s="6">
        <v>6785</v>
      </c>
      <c r="P1121" s="6">
        <v>0</v>
      </c>
      <c r="Q1121" s="6">
        <v>43140</v>
      </c>
    </row>
    <row r="1122" spans="1:17" x14ac:dyDescent="0.35">
      <c r="A1122" s="1">
        <v>45420</v>
      </c>
      <c r="B1122" s="6">
        <v>7310218</v>
      </c>
      <c r="C1122" s="6">
        <v>4309512</v>
      </c>
      <c r="D1122" s="6">
        <v>0</v>
      </c>
      <c r="E1122" s="6">
        <v>3330687</v>
      </c>
      <c r="F1122" s="6">
        <v>816809</v>
      </c>
      <c r="G1122" s="6">
        <v>9696</v>
      </c>
      <c r="H1122" s="6">
        <v>152319</v>
      </c>
      <c r="I1122" s="6">
        <v>854964</v>
      </c>
      <c r="J1122" s="6">
        <v>2298052</v>
      </c>
      <c r="K1122" s="6">
        <v>295</v>
      </c>
      <c r="L1122" s="6">
        <v>7438</v>
      </c>
      <c r="M1122" s="6">
        <v>-160042</v>
      </c>
      <c r="N1122" s="6">
        <v>36405</v>
      </c>
      <c r="O1122" s="6">
        <v>6785</v>
      </c>
      <c r="P1122" s="6">
        <v>0</v>
      </c>
      <c r="Q1122" s="6">
        <v>43190</v>
      </c>
    </row>
    <row r="1123" spans="1:17" x14ac:dyDescent="0.35">
      <c r="A1123" s="1">
        <v>45427</v>
      </c>
      <c r="B1123" s="6">
        <v>7261082</v>
      </c>
      <c r="C1123" s="6">
        <v>4285995</v>
      </c>
      <c r="D1123" s="6">
        <v>0</v>
      </c>
      <c r="E1123" s="6">
        <v>3416386</v>
      </c>
      <c r="F1123" s="6">
        <v>706108</v>
      </c>
      <c r="G1123" s="6">
        <v>9680</v>
      </c>
      <c r="H1123" s="6">
        <v>153821</v>
      </c>
      <c r="I1123" s="6">
        <v>827210</v>
      </c>
      <c r="J1123" s="6">
        <v>2297435</v>
      </c>
      <c r="K1123" s="6">
        <v>392</v>
      </c>
      <c r="L1123" s="6">
        <v>7438</v>
      </c>
      <c r="M1123" s="6">
        <v>-157389</v>
      </c>
      <c r="N1123" s="6">
        <v>36405</v>
      </c>
      <c r="O1123" s="6">
        <v>6785</v>
      </c>
      <c r="P1123" s="6">
        <v>0</v>
      </c>
      <c r="Q1123" s="6">
        <v>43190</v>
      </c>
    </row>
    <row r="1124" spans="1:17" x14ac:dyDescent="0.35">
      <c r="A1124" s="1">
        <v>45434</v>
      </c>
      <c r="B1124" s="6">
        <v>7256376</v>
      </c>
      <c r="C1124" s="6">
        <v>4249703</v>
      </c>
      <c r="D1124" s="6">
        <v>0</v>
      </c>
      <c r="E1124" s="6">
        <v>3375014</v>
      </c>
      <c r="F1124" s="6">
        <v>710882</v>
      </c>
      <c r="G1124" s="6">
        <v>9677</v>
      </c>
      <c r="H1124" s="6">
        <v>154129</v>
      </c>
      <c r="I1124" s="6">
        <v>864910</v>
      </c>
      <c r="J1124" s="6">
        <v>2298791</v>
      </c>
      <c r="K1124" s="6">
        <v>370</v>
      </c>
      <c r="L1124" s="6">
        <v>4958</v>
      </c>
      <c r="M1124" s="6">
        <v>-162356</v>
      </c>
      <c r="N1124" s="6">
        <v>36405</v>
      </c>
      <c r="O1124" s="6">
        <v>6785</v>
      </c>
      <c r="P1124" s="6">
        <v>0</v>
      </c>
      <c r="Q1124" s="6">
        <v>43190</v>
      </c>
    </row>
    <row r="1125" spans="1:17" x14ac:dyDescent="0.35">
      <c r="A1125" s="1">
        <v>45441</v>
      </c>
      <c r="B1125" s="6">
        <v>7241129</v>
      </c>
      <c r="C1125" s="6">
        <v>4268015</v>
      </c>
      <c r="D1125" s="6">
        <v>0</v>
      </c>
      <c r="E1125" s="6">
        <v>3391077</v>
      </c>
      <c r="F1125" s="6">
        <v>716020</v>
      </c>
      <c r="G1125" s="6">
        <v>9684</v>
      </c>
      <c r="H1125" s="6">
        <v>151233</v>
      </c>
      <c r="I1125" s="6">
        <v>824602</v>
      </c>
      <c r="J1125" s="6">
        <v>2302990</v>
      </c>
      <c r="K1125" s="6">
        <v>598</v>
      </c>
      <c r="L1125" s="6">
        <v>4958</v>
      </c>
      <c r="M1125" s="6">
        <v>-160034</v>
      </c>
      <c r="N1125" s="6">
        <v>36405</v>
      </c>
      <c r="O1125" s="6">
        <v>6785</v>
      </c>
      <c r="P1125" s="6">
        <v>0</v>
      </c>
      <c r="Q1125" s="6">
        <v>43190</v>
      </c>
    </row>
    <row r="1126" spans="1:17" x14ac:dyDescent="0.35">
      <c r="A1126" s="1">
        <v>45448</v>
      </c>
      <c r="B1126" s="6">
        <v>7212400</v>
      </c>
      <c r="C1126" s="6">
        <v>4323867</v>
      </c>
      <c r="D1126" s="6">
        <v>0</v>
      </c>
      <c r="E1126" s="6">
        <v>3457738</v>
      </c>
      <c r="F1126" s="6">
        <v>703314</v>
      </c>
      <c r="G1126" s="6">
        <v>9677</v>
      </c>
      <c r="H1126" s="6">
        <v>153138</v>
      </c>
      <c r="I1126" s="6">
        <v>745845</v>
      </c>
      <c r="J1126" s="6">
        <v>2302112</v>
      </c>
      <c r="K1126" s="6">
        <v>764</v>
      </c>
      <c r="L1126" s="6">
        <v>4958</v>
      </c>
      <c r="M1126" s="6">
        <v>-165146</v>
      </c>
      <c r="N1126" s="6">
        <v>36502</v>
      </c>
      <c r="O1126" s="6">
        <v>6785</v>
      </c>
      <c r="P1126" s="6">
        <v>0</v>
      </c>
      <c r="Q1126" s="6">
        <v>43287</v>
      </c>
    </row>
    <row r="1127" spans="1:17" x14ac:dyDescent="0.35">
      <c r="A1127" s="1">
        <v>45455</v>
      </c>
      <c r="B1127" s="6">
        <v>7215688</v>
      </c>
      <c r="C1127" s="6">
        <v>4240902</v>
      </c>
      <c r="D1127" s="6">
        <v>0</v>
      </c>
      <c r="E1127" s="6">
        <v>3434032</v>
      </c>
      <c r="F1127" s="6">
        <v>650212</v>
      </c>
      <c r="G1127" s="6">
        <v>9683</v>
      </c>
      <c r="H1127" s="6">
        <v>146974</v>
      </c>
      <c r="I1127" s="6">
        <v>832756</v>
      </c>
      <c r="J1127" s="6">
        <v>2299543</v>
      </c>
      <c r="K1127" s="6">
        <v>321</v>
      </c>
      <c r="L1127" s="6">
        <v>4958</v>
      </c>
      <c r="M1127" s="6">
        <v>-162793</v>
      </c>
      <c r="N1127" s="6">
        <v>36502</v>
      </c>
      <c r="O1127" s="6">
        <v>6785</v>
      </c>
      <c r="P1127" s="6">
        <v>0</v>
      </c>
      <c r="Q1127" s="6">
        <v>43287</v>
      </c>
    </row>
    <row r="1128" spans="1:17" x14ac:dyDescent="0.35">
      <c r="A1128" s="1">
        <v>45462</v>
      </c>
      <c r="B1128" s="6">
        <v>7209255</v>
      </c>
      <c r="C1128" s="6">
        <v>4306371</v>
      </c>
      <c r="D1128" s="6">
        <v>0</v>
      </c>
      <c r="E1128" s="6">
        <v>3366167</v>
      </c>
      <c r="F1128" s="6">
        <v>782158</v>
      </c>
      <c r="G1128" s="6">
        <v>9682</v>
      </c>
      <c r="H1128" s="6">
        <v>148363</v>
      </c>
      <c r="I1128" s="6">
        <v>764869</v>
      </c>
      <c r="J1128" s="6">
        <v>2300815</v>
      </c>
      <c r="K1128" s="6">
        <v>260</v>
      </c>
      <c r="L1128" s="6">
        <v>4958</v>
      </c>
      <c r="M1128" s="6">
        <v>-168017</v>
      </c>
      <c r="N1128" s="6">
        <v>36502</v>
      </c>
      <c r="O1128" s="6">
        <v>6785</v>
      </c>
      <c r="P1128" s="6">
        <v>0</v>
      </c>
      <c r="Q1128" s="6">
        <v>43287</v>
      </c>
    </row>
    <row r="1129" spans="1:17" x14ac:dyDescent="0.35">
      <c r="A1129" s="1">
        <v>45469</v>
      </c>
      <c r="B1129" s="6">
        <v>7187869</v>
      </c>
      <c r="C1129" s="6">
        <v>4167543</v>
      </c>
      <c r="D1129" s="6">
        <v>0</v>
      </c>
      <c r="E1129" s="6">
        <v>3268896</v>
      </c>
      <c r="F1129" s="6">
        <v>744206</v>
      </c>
      <c r="G1129" s="6">
        <v>9682</v>
      </c>
      <c r="H1129" s="6">
        <v>144759</v>
      </c>
      <c r="I1129" s="6">
        <v>879766</v>
      </c>
      <c r="J1129" s="6">
        <v>2301532</v>
      </c>
      <c r="K1129" s="6">
        <v>435</v>
      </c>
      <c r="L1129" s="6">
        <v>4958</v>
      </c>
      <c r="M1129" s="6">
        <v>-166364</v>
      </c>
      <c r="N1129" s="6">
        <v>36508</v>
      </c>
      <c r="O1129" s="6">
        <v>6785</v>
      </c>
      <c r="P1129" s="6">
        <v>0</v>
      </c>
      <c r="Q1129" s="6">
        <v>43293</v>
      </c>
    </row>
    <row r="1130" spans="1:17" x14ac:dyDescent="0.35">
      <c r="A1130" s="1">
        <v>45476</v>
      </c>
      <c r="B1130" s="6">
        <v>7178222</v>
      </c>
      <c r="C1130" s="6">
        <v>4226045</v>
      </c>
      <c r="D1130" s="6">
        <v>0</v>
      </c>
      <c r="E1130" s="6">
        <v>3322165</v>
      </c>
      <c r="F1130" s="6">
        <v>745608</v>
      </c>
      <c r="G1130" s="6">
        <v>9684</v>
      </c>
      <c r="H1130" s="6">
        <v>148589</v>
      </c>
      <c r="I1130" s="6">
        <v>811308</v>
      </c>
      <c r="J1130" s="6">
        <v>2307137</v>
      </c>
      <c r="K1130" s="6">
        <v>828</v>
      </c>
      <c r="L1130" s="6">
        <v>4958</v>
      </c>
      <c r="M1130" s="6">
        <v>-172054</v>
      </c>
      <c r="N1130" s="6">
        <v>36512</v>
      </c>
      <c r="O1130" s="6">
        <v>6785</v>
      </c>
      <c r="P1130" s="6">
        <v>0</v>
      </c>
      <c r="Q1130" s="6">
        <v>43297</v>
      </c>
    </row>
    <row r="1131" spans="1:17" x14ac:dyDescent="0.35">
      <c r="A1131" s="1">
        <v>45483</v>
      </c>
      <c r="B1131" s="6">
        <v>7180782</v>
      </c>
      <c r="C1131" s="6">
        <v>4219799</v>
      </c>
      <c r="D1131" s="6">
        <v>0</v>
      </c>
      <c r="E1131" s="6">
        <v>3341047</v>
      </c>
      <c r="F1131" s="6">
        <v>722328</v>
      </c>
      <c r="G1131" s="6">
        <v>9685</v>
      </c>
      <c r="H1131" s="6">
        <v>146738</v>
      </c>
      <c r="I1131" s="6">
        <v>821243</v>
      </c>
      <c r="J1131" s="6">
        <v>2304883</v>
      </c>
      <c r="K1131" s="6">
        <v>342</v>
      </c>
      <c r="L1131" s="6">
        <v>4958</v>
      </c>
      <c r="M1131" s="6">
        <v>-170443</v>
      </c>
      <c r="N1131" s="6">
        <v>36512</v>
      </c>
      <c r="O1131" s="6">
        <v>6785</v>
      </c>
      <c r="P1131" s="6">
        <v>0</v>
      </c>
      <c r="Q1131" s="6">
        <v>43297</v>
      </c>
    </row>
    <row r="1132" spans="1:17" x14ac:dyDescent="0.35">
      <c r="A1132" s="1">
        <v>45490</v>
      </c>
      <c r="B1132" s="6">
        <v>7164949</v>
      </c>
      <c r="C1132" s="6">
        <v>4245527</v>
      </c>
      <c r="D1132" s="6">
        <v>0</v>
      </c>
      <c r="E1132" s="6">
        <v>3322446</v>
      </c>
      <c r="F1132" s="6">
        <v>766779</v>
      </c>
      <c r="G1132" s="6">
        <v>9684</v>
      </c>
      <c r="H1132" s="6">
        <v>146617</v>
      </c>
      <c r="I1132" s="6">
        <v>790041</v>
      </c>
      <c r="J1132" s="6">
        <v>2299224</v>
      </c>
      <c r="K1132" s="6">
        <v>357</v>
      </c>
      <c r="L1132" s="6">
        <v>4958</v>
      </c>
      <c r="M1132" s="6">
        <v>-175159</v>
      </c>
      <c r="N1132" s="6">
        <v>36512</v>
      </c>
      <c r="O1132" s="6">
        <v>6785</v>
      </c>
      <c r="P1132" s="6">
        <v>0</v>
      </c>
      <c r="Q1132" s="6">
        <v>43297</v>
      </c>
    </row>
    <row r="1133" spans="1:17" x14ac:dyDescent="0.35">
      <c r="A1133" s="1">
        <v>45497</v>
      </c>
      <c r="B1133" s="6">
        <v>7162158</v>
      </c>
      <c r="C1133" s="6">
        <v>4227541</v>
      </c>
      <c r="D1133" s="6">
        <v>0</v>
      </c>
      <c r="E1133" s="6">
        <v>3275885</v>
      </c>
      <c r="F1133" s="6">
        <v>767419</v>
      </c>
      <c r="G1133" s="6">
        <v>9684</v>
      </c>
      <c r="H1133" s="6">
        <v>174552</v>
      </c>
      <c r="I1133" s="6">
        <v>805967</v>
      </c>
      <c r="J1133" s="6">
        <v>2296481</v>
      </c>
      <c r="K1133" s="6">
        <v>330</v>
      </c>
      <c r="L1133" s="6">
        <v>4958</v>
      </c>
      <c r="M1133" s="6">
        <v>-173120</v>
      </c>
      <c r="N1133" s="6">
        <v>36512</v>
      </c>
      <c r="O1133" s="6">
        <v>6785</v>
      </c>
      <c r="P1133" s="6">
        <v>0</v>
      </c>
      <c r="Q1133" s="6">
        <v>43297</v>
      </c>
    </row>
    <row r="1134" spans="1:17" x14ac:dyDescent="0.35">
      <c r="A1134" s="1">
        <v>45504</v>
      </c>
      <c r="B1134" s="6">
        <v>7135093</v>
      </c>
      <c r="C1134" s="6">
        <v>4197058</v>
      </c>
      <c r="D1134" s="6">
        <v>0</v>
      </c>
      <c r="E1134" s="6">
        <v>3178700</v>
      </c>
      <c r="F1134" s="6">
        <v>854001</v>
      </c>
      <c r="G1134" s="6">
        <v>9685</v>
      </c>
      <c r="H1134" s="6">
        <v>154673</v>
      </c>
      <c r="I1134" s="6">
        <v>813261</v>
      </c>
      <c r="J1134" s="6">
        <v>2297461</v>
      </c>
      <c r="K1134" s="6">
        <v>1085</v>
      </c>
      <c r="L1134" s="6">
        <v>4958</v>
      </c>
      <c r="M1134" s="6">
        <v>-178730</v>
      </c>
      <c r="N1134" s="6">
        <v>36512</v>
      </c>
      <c r="O1134" s="6">
        <v>6785</v>
      </c>
      <c r="P1134" s="6">
        <v>0</v>
      </c>
      <c r="Q1134" s="6">
        <v>43297</v>
      </c>
    </row>
    <row r="1135" spans="1:17" x14ac:dyDescent="0.35">
      <c r="A1135" s="1">
        <v>45511</v>
      </c>
      <c r="B1135" s="6">
        <v>7131848</v>
      </c>
      <c r="C1135" s="6">
        <v>4322473</v>
      </c>
      <c r="D1135" s="6">
        <v>0</v>
      </c>
      <c r="E1135" s="6">
        <v>3372919</v>
      </c>
      <c r="F1135" s="6">
        <v>785233</v>
      </c>
      <c r="G1135" s="6">
        <v>9680</v>
      </c>
      <c r="H1135" s="6">
        <v>154641</v>
      </c>
      <c r="I1135" s="6">
        <v>681881</v>
      </c>
      <c r="J1135" s="6">
        <v>2299002</v>
      </c>
      <c r="K1135" s="6">
        <v>372</v>
      </c>
      <c r="L1135" s="6">
        <v>4958</v>
      </c>
      <c r="M1135" s="6">
        <v>-176838</v>
      </c>
      <c r="N1135" s="6">
        <v>36623</v>
      </c>
      <c r="O1135" s="6">
        <v>6785</v>
      </c>
      <c r="P1135" s="6">
        <v>0</v>
      </c>
      <c r="Q1135" s="6">
        <v>43408</v>
      </c>
    </row>
    <row r="1136" spans="1:17" x14ac:dyDescent="0.35">
      <c r="A1136" s="1">
        <v>45518</v>
      </c>
      <c r="B1136" s="6">
        <v>7134280</v>
      </c>
      <c r="C1136" s="6">
        <v>4290855</v>
      </c>
      <c r="D1136" s="6">
        <v>0</v>
      </c>
      <c r="E1136" s="6">
        <v>3338916</v>
      </c>
      <c r="F1136" s="6">
        <v>788823</v>
      </c>
      <c r="G1136" s="6">
        <v>9683</v>
      </c>
      <c r="H1136" s="6">
        <v>153432</v>
      </c>
      <c r="I1136" s="6">
        <v>722198</v>
      </c>
      <c r="J1136" s="6">
        <v>2297744</v>
      </c>
      <c r="K1136" s="6">
        <v>388</v>
      </c>
      <c r="L1136" s="6">
        <v>4958</v>
      </c>
      <c r="M1136" s="6">
        <v>-181863</v>
      </c>
      <c r="N1136" s="6">
        <v>36623</v>
      </c>
      <c r="O1136" s="6">
        <v>6785</v>
      </c>
      <c r="P1136" s="6">
        <v>0</v>
      </c>
      <c r="Q1136" s="6">
        <v>43408</v>
      </c>
    </row>
    <row r="1137" spans="1:17" x14ac:dyDescent="0.35">
      <c r="A1137" s="1">
        <v>45525</v>
      </c>
      <c r="B1137" s="6">
        <v>7096544</v>
      </c>
      <c r="C1137" s="6">
        <v>4256498</v>
      </c>
      <c r="D1137" s="6">
        <v>0</v>
      </c>
      <c r="E1137" s="6">
        <v>3359078</v>
      </c>
      <c r="F1137" s="6">
        <v>734727</v>
      </c>
      <c r="G1137" s="6">
        <v>9681</v>
      </c>
      <c r="H1137" s="6">
        <v>153011</v>
      </c>
      <c r="I1137" s="6">
        <v>718527</v>
      </c>
      <c r="J1137" s="6">
        <v>2295991</v>
      </c>
      <c r="K1137" s="6">
        <v>369</v>
      </c>
      <c r="L1137" s="6">
        <v>4958</v>
      </c>
      <c r="M1137" s="6">
        <v>-179799</v>
      </c>
      <c r="N1137" s="6">
        <v>36623</v>
      </c>
      <c r="O1137" s="6">
        <v>6785</v>
      </c>
      <c r="P1137" s="6">
        <v>0</v>
      </c>
      <c r="Q1137" s="6">
        <v>43408</v>
      </c>
    </row>
    <row r="1138" spans="1:17" x14ac:dyDescent="0.35">
      <c r="A1138" s="1">
        <v>45532</v>
      </c>
      <c r="B1138" s="6">
        <v>7079828</v>
      </c>
      <c r="C1138" s="6">
        <v>4158258</v>
      </c>
      <c r="D1138" s="6">
        <v>0</v>
      </c>
      <c r="E1138" s="6">
        <v>3244959</v>
      </c>
      <c r="F1138" s="6">
        <v>757077</v>
      </c>
      <c r="G1138" s="6">
        <v>9679</v>
      </c>
      <c r="H1138" s="6">
        <v>146542</v>
      </c>
      <c r="I1138" s="6">
        <v>802001</v>
      </c>
      <c r="J1138" s="6">
        <v>2299406</v>
      </c>
      <c r="K1138" s="6">
        <v>587</v>
      </c>
      <c r="L1138" s="6">
        <v>4958</v>
      </c>
      <c r="M1138" s="6">
        <v>-185382</v>
      </c>
      <c r="N1138" s="6">
        <v>36625</v>
      </c>
      <c r="O1138" s="6">
        <v>6785</v>
      </c>
      <c r="P1138" s="6">
        <v>0</v>
      </c>
      <c r="Q1138" s="6">
        <v>43410</v>
      </c>
    </row>
    <row r="1139" spans="1:17" x14ac:dyDescent="0.35">
      <c r="A1139" s="1">
        <v>45539</v>
      </c>
      <c r="B1139" s="6">
        <v>7069150</v>
      </c>
      <c r="C1139" s="6">
        <v>4197818</v>
      </c>
      <c r="D1139" s="6">
        <v>0</v>
      </c>
      <c r="E1139" s="6">
        <v>3264605</v>
      </c>
      <c r="F1139" s="6">
        <v>771047</v>
      </c>
      <c r="G1139" s="6">
        <v>9826</v>
      </c>
      <c r="H1139" s="6">
        <v>152339</v>
      </c>
      <c r="I1139" s="6">
        <v>744252</v>
      </c>
      <c r="J1139" s="6">
        <v>2304887</v>
      </c>
      <c r="K1139" s="6">
        <v>898</v>
      </c>
      <c r="L1139" s="6">
        <v>4958</v>
      </c>
      <c r="M1139" s="6">
        <v>-183664</v>
      </c>
      <c r="N1139" s="6">
        <v>36633</v>
      </c>
      <c r="O1139" s="6">
        <v>6785</v>
      </c>
      <c r="P1139" s="6">
        <v>0</v>
      </c>
      <c r="Q1139" s="6">
        <v>43418</v>
      </c>
    </row>
    <row r="1140" spans="1:17" x14ac:dyDescent="0.35">
      <c r="A1140" s="1">
        <v>45546</v>
      </c>
      <c r="B1140" s="6">
        <v>7071583</v>
      </c>
      <c r="C1140" s="6">
        <v>4253818</v>
      </c>
      <c r="D1140" s="6">
        <v>0</v>
      </c>
      <c r="E1140" s="6">
        <v>3359741</v>
      </c>
      <c r="F1140" s="6">
        <v>725577</v>
      </c>
      <c r="G1140" s="6">
        <v>9679</v>
      </c>
      <c r="H1140" s="6">
        <v>158820</v>
      </c>
      <c r="I1140" s="6">
        <v>699224</v>
      </c>
      <c r="J1140" s="6">
        <v>2301951</v>
      </c>
      <c r="K1140" s="6">
        <v>343</v>
      </c>
      <c r="L1140" s="6">
        <v>4958</v>
      </c>
      <c r="M1140" s="6">
        <v>-188710</v>
      </c>
      <c r="N1140" s="6">
        <v>36633</v>
      </c>
      <c r="O1140" s="6">
        <v>6785</v>
      </c>
      <c r="P1140" s="6">
        <v>0</v>
      </c>
      <c r="Q1140" s="6">
        <v>43418</v>
      </c>
    </row>
    <row r="1141" spans="1:17" x14ac:dyDescent="0.35">
      <c r="A1141" s="1">
        <v>45553</v>
      </c>
      <c r="B1141" s="6">
        <v>7065707</v>
      </c>
      <c r="C1141" s="6">
        <v>4223833</v>
      </c>
      <c r="D1141" s="6">
        <v>0</v>
      </c>
      <c r="E1141" s="6">
        <v>3216822</v>
      </c>
      <c r="F1141" s="6">
        <v>839398</v>
      </c>
      <c r="G1141" s="6">
        <v>9682</v>
      </c>
      <c r="H1141" s="6">
        <v>157931</v>
      </c>
      <c r="I1141" s="6">
        <v>723605</v>
      </c>
      <c r="J1141" s="6">
        <v>2299365</v>
      </c>
      <c r="K1141" s="6">
        <v>395</v>
      </c>
      <c r="L1141" s="6">
        <v>4958</v>
      </c>
      <c r="M1141" s="6">
        <v>-186449</v>
      </c>
      <c r="N1141" s="6">
        <v>36645</v>
      </c>
      <c r="O1141" s="6">
        <v>6785</v>
      </c>
      <c r="P1141" s="6">
        <v>0</v>
      </c>
      <c r="Q1141" s="6">
        <v>43430</v>
      </c>
    </row>
    <row r="1142" spans="1:17" x14ac:dyDescent="0.35">
      <c r="A1142" s="1">
        <v>45560</v>
      </c>
      <c r="B1142" s="6">
        <v>7036636</v>
      </c>
      <c r="C1142" s="6">
        <v>4090695</v>
      </c>
      <c r="D1142" s="6">
        <v>0</v>
      </c>
      <c r="E1142" s="6">
        <v>3141565</v>
      </c>
      <c r="F1142" s="6">
        <v>778910</v>
      </c>
      <c r="G1142" s="6">
        <v>9681</v>
      </c>
      <c r="H1142" s="6">
        <v>160538</v>
      </c>
      <c r="I1142" s="6">
        <v>833314</v>
      </c>
      <c r="J1142" s="6">
        <v>2299356</v>
      </c>
      <c r="K1142" s="6">
        <v>341</v>
      </c>
      <c r="L1142" s="6">
        <v>4958</v>
      </c>
      <c r="M1142" s="6">
        <v>-192027</v>
      </c>
      <c r="N1142" s="6">
        <v>36638</v>
      </c>
      <c r="O1142" s="6">
        <v>6785</v>
      </c>
      <c r="P1142" s="6">
        <v>0</v>
      </c>
      <c r="Q1142" s="6">
        <v>43423</v>
      </c>
    </row>
    <row r="1143" spans="1:17" x14ac:dyDescent="0.35">
      <c r="A1143" s="1">
        <v>45567</v>
      </c>
      <c r="B1143" s="6">
        <v>7003485</v>
      </c>
      <c r="C1143" s="6">
        <v>4087254</v>
      </c>
      <c r="D1143" s="6">
        <v>0</v>
      </c>
      <c r="E1143" s="6">
        <v>3097210</v>
      </c>
      <c r="F1143" s="6">
        <v>823412</v>
      </c>
      <c r="G1143" s="6">
        <v>9682</v>
      </c>
      <c r="H1143" s="6">
        <v>156950</v>
      </c>
      <c r="I1143" s="6">
        <v>799254</v>
      </c>
      <c r="J1143" s="6">
        <v>2301681</v>
      </c>
      <c r="K1143" s="6">
        <v>946</v>
      </c>
      <c r="L1143" s="6">
        <v>4958</v>
      </c>
      <c r="M1143" s="6">
        <v>-190608</v>
      </c>
      <c r="N1143" s="6">
        <v>36655</v>
      </c>
      <c r="O1143" s="6">
        <v>6785</v>
      </c>
      <c r="P1143" s="6">
        <v>0</v>
      </c>
      <c r="Q1143" s="6">
        <v>43440</v>
      </c>
    </row>
    <row r="1144" spans="1:17" x14ac:dyDescent="0.35">
      <c r="A1144" s="1">
        <v>45574</v>
      </c>
      <c r="B1144" s="6">
        <v>7003393</v>
      </c>
      <c r="C1144" s="6">
        <v>4148444</v>
      </c>
      <c r="D1144" s="6">
        <v>0</v>
      </c>
      <c r="E1144" s="6">
        <v>3197045</v>
      </c>
      <c r="F1144" s="6">
        <v>787395</v>
      </c>
      <c r="G1144" s="6">
        <v>9682</v>
      </c>
      <c r="H1144" s="6">
        <v>154323</v>
      </c>
      <c r="I1144" s="6">
        <v>739297</v>
      </c>
      <c r="J1144" s="6">
        <v>2305270</v>
      </c>
      <c r="K1144" s="6">
        <v>614</v>
      </c>
      <c r="L1144" s="6">
        <v>4958</v>
      </c>
      <c r="M1144" s="6">
        <v>-195190</v>
      </c>
      <c r="N1144" s="6">
        <v>36662</v>
      </c>
      <c r="O1144" s="6">
        <v>6785</v>
      </c>
      <c r="P1144" s="6">
        <v>0</v>
      </c>
      <c r="Q1144" s="6">
        <v>43447</v>
      </c>
    </row>
    <row r="1145" spans="1:17" x14ac:dyDescent="0.35">
      <c r="A1145" s="1">
        <v>45581</v>
      </c>
      <c r="B1145" s="6">
        <v>6995834</v>
      </c>
      <c r="C1145" s="6">
        <v>4207129</v>
      </c>
      <c r="D1145" s="6">
        <v>0</v>
      </c>
      <c r="E1145" s="6">
        <v>3228838</v>
      </c>
      <c r="F1145" s="6">
        <v>814751</v>
      </c>
      <c r="G1145" s="6">
        <v>9684</v>
      </c>
      <c r="H1145" s="6">
        <v>153856</v>
      </c>
      <c r="I1145" s="6">
        <v>669015</v>
      </c>
      <c r="J1145" s="6">
        <v>2307508</v>
      </c>
      <c r="K1145" s="6">
        <v>638</v>
      </c>
      <c r="L1145" s="6">
        <v>4958</v>
      </c>
      <c r="M1145" s="6">
        <v>-193414</v>
      </c>
      <c r="N1145" s="6">
        <v>36665</v>
      </c>
      <c r="O1145" s="6">
        <v>6785</v>
      </c>
      <c r="P1145" s="6">
        <v>0</v>
      </c>
      <c r="Q1145" s="6">
        <v>43450</v>
      </c>
    </row>
    <row r="1146" spans="1:17" x14ac:dyDescent="0.35">
      <c r="A1146" s="1">
        <v>45588</v>
      </c>
      <c r="B1146" s="6">
        <v>6985958</v>
      </c>
      <c r="C1146" s="6">
        <v>4205748</v>
      </c>
      <c r="D1146" s="6">
        <v>0</v>
      </c>
      <c r="E1146" s="6">
        <v>3228462</v>
      </c>
      <c r="F1146" s="6">
        <v>817410</v>
      </c>
      <c r="G1146" s="6">
        <v>9683</v>
      </c>
      <c r="H1146" s="6">
        <v>150193</v>
      </c>
      <c r="I1146" s="6">
        <v>668617</v>
      </c>
      <c r="J1146" s="6">
        <v>2304198</v>
      </c>
      <c r="K1146" s="6">
        <v>360</v>
      </c>
      <c r="L1146" s="6">
        <v>4958</v>
      </c>
      <c r="M1146" s="6">
        <v>-197923</v>
      </c>
      <c r="N1146" s="6">
        <v>36665</v>
      </c>
      <c r="O1146" s="6">
        <v>6785</v>
      </c>
      <c r="P1146" s="6">
        <v>0</v>
      </c>
      <c r="Q1146" s="6">
        <v>43450</v>
      </c>
    </row>
    <row r="1147" spans="1:17" x14ac:dyDescent="0.35">
      <c r="A1147" s="1">
        <v>45595</v>
      </c>
      <c r="B1147" s="6">
        <v>6969996</v>
      </c>
      <c r="C1147" s="6">
        <v>4227337</v>
      </c>
      <c r="D1147" s="6">
        <v>0</v>
      </c>
      <c r="E1147" s="6">
        <v>3215794</v>
      </c>
      <c r="F1147" s="6">
        <v>847137</v>
      </c>
      <c r="G1147" s="6">
        <v>9684</v>
      </c>
      <c r="H1147" s="6">
        <v>154722</v>
      </c>
      <c r="I1147" s="6">
        <v>627007</v>
      </c>
      <c r="J1147" s="6">
        <v>2305197</v>
      </c>
      <c r="K1147" s="6">
        <v>1394</v>
      </c>
      <c r="L1147" s="6">
        <v>4958</v>
      </c>
      <c r="M1147" s="6">
        <v>-195897</v>
      </c>
      <c r="N1147" s="6">
        <v>36709</v>
      </c>
      <c r="O1147" s="6">
        <v>6785</v>
      </c>
      <c r="P1147" s="6">
        <v>0</v>
      </c>
      <c r="Q1147" s="6">
        <v>43494</v>
      </c>
    </row>
    <row r="1148" spans="1:17" x14ac:dyDescent="0.35">
      <c r="A1148" s="1">
        <v>45602</v>
      </c>
      <c r="B1148" s="6">
        <v>6950661</v>
      </c>
      <c r="C1148" s="6">
        <v>4264270</v>
      </c>
      <c r="D1148" s="6">
        <v>0</v>
      </c>
      <c r="E1148" s="6">
        <v>3255532</v>
      </c>
      <c r="F1148" s="6">
        <v>840227</v>
      </c>
      <c r="G1148" s="6">
        <v>9681</v>
      </c>
      <c r="H1148" s="6">
        <v>158829</v>
      </c>
      <c r="I1148" s="6">
        <v>573077</v>
      </c>
      <c r="J1148" s="6">
        <v>2308478</v>
      </c>
      <c r="K1148" s="6">
        <v>356</v>
      </c>
      <c r="L1148" s="6">
        <v>4958</v>
      </c>
      <c r="M1148" s="6">
        <v>-200478</v>
      </c>
      <c r="N1148" s="6">
        <v>36853</v>
      </c>
      <c r="O1148" s="6">
        <v>6785</v>
      </c>
      <c r="P1148" s="6">
        <v>0</v>
      </c>
      <c r="Q1148" s="6">
        <v>43638</v>
      </c>
    </row>
    <row r="1149" spans="1:17" x14ac:dyDescent="0.35">
      <c r="A1149" s="1">
        <v>45609</v>
      </c>
      <c r="B1149" s="6">
        <v>6923470</v>
      </c>
      <c r="C1149" s="6">
        <v>4178212</v>
      </c>
      <c r="D1149" s="6">
        <v>0</v>
      </c>
      <c r="E1149" s="6">
        <v>3192048</v>
      </c>
      <c r="F1149" s="6">
        <v>808857</v>
      </c>
      <c r="G1149" s="6">
        <v>9682</v>
      </c>
      <c r="H1149" s="6">
        <v>167624</v>
      </c>
      <c r="I1149" s="6">
        <v>628124</v>
      </c>
      <c r="J1149" s="6">
        <v>2310155</v>
      </c>
      <c r="K1149" s="6">
        <v>400</v>
      </c>
      <c r="L1149" s="6">
        <v>4958</v>
      </c>
      <c r="M1149" s="6">
        <v>-198379</v>
      </c>
      <c r="N1149" s="6">
        <v>36853</v>
      </c>
      <c r="O1149" s="6">
        <v>6785</v>
      </c>
      <c r="P1149" s="6">
        <v>0</v>
      </c>
      <c r="Q1149" s="6">
        <v>43638</v>
      </c>
    </row>
    <row r="1150" spans="1:17" x14ac:dyDescent="0.35">
      <c r="A1150" s="1">
        <v>45616</v>
      </c>
      <c r="B1150" s="6">
        <v>6880093</v>
      </c>
      <c r="C1150" s="6">
        <v>4170244</v>
      </c>
      <c r="D1150" s="6">
        <v>0</v>
      </c>
      <c r="E1150" s="6">
        <v>3267329</v>
      </c>
      <c r="F1150" s="6">
        <v>737834</v>
      </c>
      <c r="G1150" s="6">
        <v>9684</v>
      </c>
      <c r="H1150" s="6">
        <v>155397</v>
      </c>
      <c r="I1150" s="6">
        <v>600142</v>
      </c>
      <c r="J1150" s="6">
        <v>2306983</v>
      </c>
      <c r="K1150" s="6">
        <v>387</v>
      </c>
      <c r="L1150" s="6">
        <v>4958</v>
      </c>
      <c r="M1150" s="6">
        <v>-202621</v>
      </c>
      <c r="N1150" s="6">
        <v>36853</v>
      </c>
      <c r="O1150" s="6">
        <v>6785</v>
      </c>
      <c r="P1150" s="6">
        <v>0</v>
      </c>
      <c r="Q1150" s="6">
        <v>43638</v>
      </c>
    </row>
    <row r="1151" spans="1:17" x14ac:dyDescent="0.35">
      <c r="A1151" s="1">
        <v>45623</v>
      </c>
      <c r="B1151" s="6">
        <v>6861210</v>
      </c>
      <c r="C1151" s="6">
        <v>4175314</v>
      </c>
      <c r="D1151" s="6">
        <v>0</v>
      </c>
      <c r="E1151" s="6">
        <v>3234035</v>
      </c>
      <c r="F1151" s="6">
        <v>782704</v>
      </c>
      <c r="G1151" s="6">
        <v>9688</v>
      </c>
      <c r="H1151" s="6">
        <v>148887</v>
      </c>
      <c r="I1151" s="6">
        <v>569509</v>
      </c>
      <c r="J1151" s="6">
        <v>2311629</v>
      </c>
      <c r="K1151" s="6">
        <v>1212</v>
      </c>
      <c r="L1151" s="6">
        <v>3461</v>
      </c>
      <c r="M1151" s="6">
        <v>-199915</v>
      </c>
      <c r="N1151" s="6">
        <v>37145</v>
      </c>
      <c r="O1151" s="6">
        <v>6785</v>
      </c>
      <c r="P1151" s="6">
        <v>0</v>
      </c>
      <c r="Q1151" s="6">
        <v>43930</v>
      </c>
    </row>
    <row r="1152" spans="1:17" x14ac:dyDescent="0.35">
      <c r="A1152" s="1">
        <v>45630</v>
      </c>
      <c r="B1152" s="6">
        <v>6851877</v>
      </c>
      <c r="C1152" s="6">
        <v>4192039</v>
      </c>
      <c r="D1152" s="6">
        <v>0</v>
      </c>
      <c r="E1152" s="6">
        <v>3216149</v>
      </c>
      <c r="F1152" s="6">
        <v>815011</v>
      </c>
      <c r="G1152" s="6">
        <v>9883</v>
      </c>
      <c r="H1152" s="6">
        <v>150996</v>
      </c>
      <c r="I1152" s="6">
        <v>547563</v>
      </c>
      <c r="J1152" s="6">
        <v>2312315</v>
      </c>
      <c r="K1152" s="6">
        <v>888</v>
      </c>
      <c r="L1152" s="6">
        <v>3461</v>
      </c>
      <c r="M1152" s="6">
        <v>-204389</v>
      </c>
      <c r="N1152" s="6">
        <v>37165</v>
      </c>
      <c r="O1152" s="6">
        <v>6785</v>
      </c>
      <c r="P1152" s="6">
        <v>0</v>
      </c>
      <c r="Q1152" s="6">
        <v>43950</v>
      </c>
    </row>
    <row r="1153" spans="1:17" x14ac:dyDescent="0.35">
      <c r="A1153" s="1">
        <v>45637</v>
      </c>
      <c r="B1153" s="6">
        <v>6853535</v>
      </c>
      <c r="C1153" s="6">
        <v>4147223</v>
      </c>
      <c r="D1153" s="6">
        <v>0</v>
      </c>
      <c r="E1153" s="6">
        <v>3273806</v>
      </c>
      <c r="F1153" s="6">
        <v>711354</v>
      </c>
      <c r="G1153" s="6">
        <v>9707</v>
      </c>
      <c r="H1153" s="6">
        <v>152356</v>
      </c>
      <c r="I1153" s="6">
        <v>596284</v>
      </c>
      <c r="J1153" s="6">
        <v>2308148</v>
      </c>
      <c r="K1153" s="6">
        <v>421</v>
      </c>
      <c r="L1153" s="6">
        <v>3461</v>
      </c>
      <c r="M1153" s="6">
        <v>-202001</v>
      </c>
      <c r="N1153" s="6">
        <v>37165</v>
      </c>
      <c r="O1153" s="6">
        <v>6785</v>
      </c>
      <c r="P1153" s="6">
        <v>0</v>
      </c>
      <c r="Q1153" s="6">
        <v>43950</v>
      </c>
    </row>
    <row r="1154" spans="1:17" x14ac:dyDescent="0.35">
      <c r="A1154" s="1">
        <v>45644</v>
      </c>
      <c r="B1154" s="6">
        <v>6845380</v>
      </c>
      <c r="C1154" s="6">
        <v>4217016</v>
      </c>
      <c r="D1154" s="6">
        <v>0</v>
      </c>
      <c r="E1154" s="6">
        <v>3237459</v>
      </c>
      <c r="F1154" s="6">
        <v>803975</v>
      </c>
      <c r="G1154" s="6">
        <v>9680</v>
      </c>
      <c r="H1154" s="6">
        <v>165902</v>
      </c>
      <c r="I1154" s="6">
        <v>522209</v>
      </c>
      <c r="J1154" s="6">
        <v>2308745</v>
      </c>
      <c r="K1154" s="6">
        <v>377</v>
      </c>
      <c r="L1154" s="6">
        <v>3461</v>
      </c>
      <c r="M1154" s="6">
        <v>-206428</v>
      </c>
      <c r="N1154" s="6">
        <v>37167</v>
      </c>
      <c r="O1154" s="6">
        <v>6785</v>
      </c>
      <c r="P1154" s="6">
        <v>0</v>
      </c>
      <c r="Q1154" s="6">
        <v>43952</v>
      </c>
    </row>
    <row r="1155" spans="1:17" x14ac:dyDescent="0.35">
      <c r="A1155" s="1">
        <v>45651</v>
      </c>
      <c r="B1155" s="6">
        <v>6842011</v>
      </c>
      <c r="C1155" s="6">
        <v>4159875</v>
      </c>
      <c r="D1155" s="6">
        <v>0</v>
      </c>
      <c r="E1155" s="6">
        <v>3218476</v>
      </c>
      <c r="F1155" s="6">
        <v>735039</v>
      </c>
      <c r="G1155" s="6">
        <v>9688</v>
      </c>
      <c r="H1155" s="6">
        <v>196672</v>
      </c>
      <c r="I1155" s="6">
        <v>566327</v>
      </c>
      <c r="J1155" s="6">
        <v>2316262</v>
      </c>
      <c r="K1155" s="6">
        <v>333</v>
      </c>
      <c r="L1155" s="6">
        <v>3461</v>
      </c>
      <c r="M1155" s="6">
        <v>-204247</v>
      </c>
      <c r="N1155" s="6">
        <v>37167</v>
      </c>
      <c r="O1155" s="6">
        <v>6785</v>
      </c>
      <c r="P1155" s="6">
        <v>0</v>
      </c>
      <c r="Q1155" s="6">
        <v>43952</v>
      </c>
    </row>
    <row r="1156" spans="1:17" x14ac:dyDescent="0.35">
      <c r="A1156" s="1">
        <v>45658</v>
      </c>
      <c r="B1156" s="6">
        <v>6808524</v>
      </c>
      <c r="C1156" s="6">
        <v>3802855</v>
      </c>
      <c r="D1156" s="6">
        <v>0</v>
      </c>
      <c r="E1156" s="6">
        <v>2892363</v>
      </c>
      <c r="F1156" s="6">
        <v>721892</v>
      </c>
      <c r="G1156" s="6">
        <v>9687</v>
      </c>
      <c r="H1156" s="6">
        <v>178912</v>
      </c>
      <c r="I1156" s="6">
        <v>888395</v>
      </c>
      <c r="J1156" s="6">
        <v>2322532</v>
      </c>
      <c r="K1156" s="6">
        <v>1178</v>
      </c>
      <c r="L1156" s="6">
        <v>3461</v>
      </c>
      <c r="M1156" s="6">
        <v>-209896</v>
      </c>
      <c r="N1156" s="6">
        <v>37182</v>
      </c>
      <c r="O1156" s="6">
        <v>6785</v>
      </c>
      <c r="P1156" s="6">
        <v>0</v>
      </c>
      <c r="Q1156" s="6">
        <v>43967</v>
      </c>
    </row>
    <row r="1157" spans="1:17" x14ac:dyDescent="0.35">
      <c r="A1157" s="1">
        <v>45665</v>
      </c>
      <c r="B1157" s="6">
        <v>6809502</v>
      </c>
      <c r="C1157" s="6">
        <v>4126922</v>
      </c>
      <c r="D1157" s="6">
        <v>0</v>
      </c>
      <c r="E1157" s="6">
        <v>3332436</v>
      </c>
      <c r="F1157" s="6">
        <v>620531</v>
      </c>
      <c r="G1157" s="6">
        <v>9687</v>
      </c>
      <c r="H1157" s="6">
        <v>164267</v>
      </c>
      <c r="I1157" s="6">
        <v>571520</v>
      </c>
      <c r="J1157" s="6">
        <v>2314861</v>
      </c>
      <c r="K1157" s="6">
        <v>533</v>
      </c>
      <c r="L1157" s="6">
        <v>3461</v>
      </c>
      <c r="M1157" s="6">
        <v>-207794</v>
      </c>
      <c r="N1157" s="6">
        <v>37267</v>
      </c>
      <c r="O1157" s="6">
        <v>6785</v>
      </c>
      <c r="P1157" s="6">
        <v>0</v>
      </c>
      <c r="Q1157" s="6">
        <v>44052</v>
      </c>
    </row>
    <row r="1158" spans="1:17" x14ac:dyDescent="0.35">
      <c r="A1158" s="1">
        <v>45672</v>
      </c>
      <c r="B1158" s="6">
        <v>6790014</v>
      </c>
      <c r="C1158" s="6">
        <v>4188443</v>
      </c>
      <c r="D1158" s="6">
        <v>0</v>
      </c>
      <c r="E1158" s="6">
        <v>3359041</v>
      </c>
      <c r="F1158" s="6">
        <v>651187</v>
      </c>
      <c r="G1158" s="6">
        <v>9688</v>
      </c>
      <c r="H1158" s="6">
        <v>168526</v>
      </c>
      <c r="I1158" s="6">
        <v>504641</v>
      </c>
      <c r="J1158" s="6">
        <v>2304737</v>
      </c>
      <c r="K1158" s="6">
        <v>399</v>
      </c>
      <c r="L1158" s="6">
        <v>3461</v>
      </c>
      <c r="M1158" s="6">
        <v>-211666</v>
      </c>
      <c r="N1158" s="6">
        <v>37271</v>
      </c>
      <c r="O1158" s="6">
        <v>6785</v>
      </c>
      <c r="P1158" s="6">
        <v>0</v>
      </c>
      <c r="Q1158" s="6">
        <v>44056</v>
      </c>
    </row>
    <row r="1159" spans="1:17" x14ac:dyDescent="0.35">
      <c r="A1159" s="1">
        <v>45679</v>
      </c>
      <c r="B1159" s="6">
        <v>6787705</v>
      </c>
      <c r="C1159" s="6">
        <v>4175471</v>
      </c>
      <c r="D1159" s="6">
        <v>0</v>
      </c>
      <c r="E1159" s="6">
        <v>3331196</v>
      </c>
      <c r="F1159" s="6">
        <v>665485</v>
      </c>
      <c r="G1159" s="6">
        <v>9687</v>
      </c>
      <c r="H1159" s="6">
        <v>169103</v>
      </c>
      <c r="I1159" s="6">
        <v>516449</v>
      </c>
      <c r="J1159" s="6">
        <v>2301166</v>
      </c>
      <c r="K1159" s="6">
        <v>494</v>
      </c>
      <c r="L1159" s="6">
        <v>3461</v>
      </c>
      <c r="M1159" s="6">
        <v>-209336</v>
      </c>
      <c r="N1159" s="6">
        <v>37271</v>
      </c>
      <c r="O1159" s="6">
        <v>6785</v>
      </c>
      <c r="P1159" s="6">
        <v>0</v>
      </c>
      <c r="Q1159" s="6">
        <v>44056</v>
      </c>
    </row>
    <row r="1160" spans="1:17" x14ac:dyDescent="0.35">
      <c r="A1160" s="1">
        <v>45686</v>
      </c>
      <c r="B1160" s="6">
        <v>6774112</v>
      </c>
      <c r="C1160" s="6">
        <v>4188614</v>
      </c>
      <c r="D1160" s="6">
        <v>0</v>
      </c>
      <c r="E1160" s="6">
        <v>3200656</v>
      </c>
      <c r="F1160" s="6">
        <v>811549</v>
      </c>
      <c r="G1160" s="6">
        <v>9680</v>
      </c>
      <c r="H1160" s="6">
        <v>166729</v>
      </c>
      <c r="I1160" s="6">
        <v>496387</v>
      </c>
      <c r="J1160" s="6">
        <v>2297842</v>
      </c>
      <c r="K1160" s="6">
        <v>1105</v>
      </c>
      <c r="L1160" s="6">
        <v>3461</v>
      </c>
      <c r="M1160" s="6">
        <v>-213297</v>
      </c>
      <c r="N1160" s="6">
        <v>37289</v>
      </c>
      <c r="O1160" s="6">
        <v>6785</v>
      </c>
      <c r="P1160" s="6">
        <v>0</v>
      </c>
      <c r="Q1160" s="6">
        <v>44074</v>
      </c>
    </row>
    <row r="1161" spans="1:17" x14ac:dyDescent="0.35">
      <c r="A1161" s="1">
        <v>45693</v>
      </c>
      <c r="B1161" s="6">
        <v>6766736</v>
      </c>
      <c r="C1161" s="6">
        <v>4219729</v>
      </c>
      <c r="D1161" s="6">
        <v>0</v>
      </c>
      <c r="E1161" s="6">
        <v>3233328</v>
      </c>
      <c r="F1161" s="6">
        <v>817953</v>
      </c>
      <c r="G1161" s="6">
        <v>9683</v>
      </c>
      <c r="H1161" s="6">
        <v>158765</v>
      </c>
      <c r="I1161" s="6">
        <v>455413</v>
      </c>
      <c r="J1161" s="6">
        <v>2298695</v>
      </c>
      <c r="K1161" s="6">
        <v>388</v>
      </c>
      <c r="L1161" s="6">
        <v>3461</v>
      </c>
      <c r="M1161" s="6">
        <v>-210950</v>
      </c>
      <c r="N1161" s="6">
        <v>37415</v>
      </c>
      <c r="O1161" s="6">
        <v>6785</v>
      </c>
      <c r="P1161" s="6">
        <v>0</v>
      </c>
      <c r="Q1161" s="6">
        <v>44200</v>
      </c>
    </row>
    <row r="1162" spans="1:17" x14ac:dyDescent="0.35">
      <c r="A1162" s="1">
        <v>45700</v>
      </c>
      <c r="B1162" s="6">
        <v>6769314</v>
      </c>
      <c r="C1162" s="6">
        <v>4229271</v>
      </c>
      <c r="D1162" s="6">
        <v>0</v>
      </c>
      <c r="E1162" s="6">
        <v>3255407</v>
      </c>
      <c r="F1162" s="6">
        <v>809154</v>
      </c>
      <c r="G1162" s="6">
        <v>9684</v>
      </c>
      <c r="H1162" s="6">
        <v>155026</v>
      </c>
      <c r="I1162" s="6">
        <v>452467</v>
      </c>
      <c r="J1162" s="6">
        <v>2299284</v>
      </c>
      <c r="K1162" s="6">
        <v>373</v>
      </c>
      <c r="L1162" s="6">
        <v>3461</v>
      </c>
      <c r="M1162" s="6">
        <v>-215543</v>
      </c>
      <c r="N1162" s="6">
        <v>37415</v>
      </c>
      <c r="O1162" s="6">
        <v>6785</v>
      </c>
      <c r="P1162" s="6">
        <v>0</v>
      </c>
      <c r="Q1162" s="6">
        <v>44200</v>
      </c>
    </row>
    <row r="1163" spans="1:17" x14ac:dyDescent="0.35">
      <c r="A1163" s="1">
        <v>45707</v>
      </c>
      <c r="B1163" s="6">
        <v>6738133</v>
      </c>
      <c r="C1163" s="6">
        <v>4183471</v>
      </c>
      <c r="D1163" s="6">
        <v>0</v>
      </c>
      <c r="E1163" s="6">
        <v>3276141</v>
      </c>
      <c r="F1163" s="6">
        <v>738938</v>
      </c>
      <c r="G1163" s="6">
        <v>9684</v>
      </c>
      <c r="H1163" s="6">
        <v>158708</v>
      </c>
      <c r="I1163" s="6">
        <v>461029</v>
      </c>
      <c r="J1163" s="6">
        <v>2302768</v>
      </c>
      <c r="K1163" s="6">
        <v>546</v>
      </c>
      <c r="L1163" s="6">
        <v>3461</v>
      </c>
      <c r="M1163" s="6">
        <v>-213142</v>
      </c>
      <c r="N1163" s="6">
        <v>37415</v>
      </c>
      <c r="O1163" s="6">
        <v>6785</v>
      </c>
      <c r="P1163" s="6">
        <v>0</v>
      </c>
      <c r="Q1163" s="6">
        <v>44200</v>
      </c>
    </row>
    <row r="1164" spans="1:17" x14ac:dyDescent="0.35">
      <c r="A1164" s="1">
        <v>45714</v>
      </c>
      <c r="B1164" s="6">
        <v>6721902</v>
      </c>
      <c r="C1164" s="6">
        <v>4117604</v>
      </c>
      <c r="D1164" s="6">
        <v>0</v>
      </c>
      <c r="E1164" s="6">
        <v>3380761</v>
      </c>
      <c r="F1164" s="6">
        <v>568550</v>
      </c>
      <c r="G1164" s="6">
        <v>9685</v>
      </c>
      <c r="H1164" s="6">
        <v>158607</v>
      </c>
      <c r="I1164" s="6">
        <v>511784</v>
      </c>
      <c r="J1164" s="6">
        <v>2304762</v>
      </c>
      <c r="K1164" s="6">
        <v>1020</v>
      </c>
      <c r="L1164" s="6">
        <v>3461</v>
      </c>
      <c r="M1164" s="6">
        <v>-216730</v>
      </c>
      <c r="N1164" s="6">
        <v>37414</v>
      </c>
      <c r="O1164" s="6">
        <v>6785</v>
      </c>
      <c r="P1164" s="6">
        <v>0</v>
      </c>
      <c r="Q1164" s="6">
        <v>44199</v>
      </c>
    </row>
    <row r="1165" spans="1:17" x14ac:dyDescent="0.35">
      <c r="A1165" s="1">
        <v>45721</v>
      </c>
      <c r="B1165" s="6">
        <v>6712549</v>
      </c>
      <c r="C1165" s="6">
        <v>4079008</v>
      </c>
      <c r="D1165" s="6">
        <v>0</v>
      </c>
      <c r="E1165" s="6">
        <v>3381174</v>
      </c>
      <c r="F1165" s="6">
        <v>522818</v>
      </c>
      <c r="G1165" s="6">
        <v>10107</v>
      </c>
      <c r="H1165" s="6">
        <v>164910</v>
      </c>
      <c r="I1165" s="6">
        <v>530889</v>
      </c>
      <c r="J1165" s="6">
        <v>2311823</v>
      </c>
      <c r="K1165" s="6">
        <v>959</v>
      </c>
      <c r="L1165" s="6">
        <v>3461</v>
      </c>
      <c r="M1165" s="6">
        <v>-213591</v>
      </c>
      <c r="N1165" s="6">
        <v>37430</v>
      </c>
      <c r="O1165" s="6">
        <v>6785</v>
      </c>
      <c r="P1165" s="6">
        <v>0</v>
      </c>
      <c r="Q1165" s="6">
        <v>44215</v>
      </c>
    </row>
    <row r="1166" spans="1:17" x14ac:dyDescent="0.35">
      <c r="A1166" s="1">
        <v>45728</v>
      </c>
      <c r="B1166" s="6">
        <v>6715356</v>
      </c>
      <c r="C1166" s="6">
        <v>4090700</v>
      </c>
      <c r="D1166" s="6">
        <v>0</v>
      </c>
      <c r="E1166" s="6">
        <v>3459687</v>
      </c>
      <c r="F1166" s="6">
        <v>450713</v>
      </c>
      <c r="G1166" s="6">
        <v>9430</v>
      </c>
      <c r="H1166" s="6">
        <v>170870</v>
      </c>
      <c r="I1166" s="6">
        <v>522151</v>
      </c>
      <c r="J1166" s="6">
        <v>2315176</v>
      </c>
      <c r="K1166" s="6">
        <v>446</v>
      </c>
      <c r="L1166" s="6">
        <v>3461</v>
      </c>
      <c r="M1166" s="6">
        <v>-216576</v>
      </c>
      <c r="N1166" s="6">
        <v>37430</v>
      </c>
      <c r="O1166" s="6">
        <v>6785</v>
      </c>
      <c r="P1166" s="6">
        <v>0</v>
      </c>
      <c r="Q1166" s="6">
        <v>44215</v>
      </c>
    </row>
    <row r="1167" spans="1:17" x14ac:dyDescent="0.35">
      <c r="A1167" s="1">
        <v>45735</v>
      </c>
      <c r="B1167" s="6">
        <v>6711760</v>
      </c>
      <c r="C1167" s="6">
        <v>4033070</v>
      </c>
      <c r="D1167" s="6">
        <v>0</v>
      </c>
      <c r="E1167" s="6">
        <v>3425713</v>
      </c>
      <c r="F1167" s="6">
        <v>415799</v>
      </c>
      <c r="G1167" s="6">
        <v>9437</v>
      </c>
      <c r="H1167" s="6">
        <v>182121</v>
      </c>
      <c r="I1167" s="6">
        <v>571477</v>
      </c>
      <c r="J1167" s="6">
        <v>2317402</v>
      </c>
      <c r="K1167" s="6">
        <v>347</v>
      </c>
      <c r="L1167" s="6">
        <v>3461</v>
      </c>
      <c r="M1167" s="6">
        <v>-213997</v>
      </c>
      <c r="N1167" s="6">
        <v>37437</v>
      </c>
      <c r="O1167" s="6">
        <v>6785</v>
      </c>
      <c r="P1167" s="6">
        <v>0</v>
      </c>
      <c r="Q1167" s="6">
        <v>44222</v>
      </c>
    </row>
    <row r="1168" spans="1:17" x14ac:dyDescent="0.35">
      <c r="A1168" s="1">
        <v>45742</v>
      </c>
      <c r="B1168" s="6">
        <v>6696032</v>
      </c>
      <c r="C1168" s="6">
        <v>3959205</v>
      </c>
      <c r="D1168" s="6">
        <v>0</v>
      </c>
      <c r="E1168" s="6">
        <v>3450550</v>
      </c>
      <c r="F1168" s="6">
        <v>315970</v>
      </c>
      <c r="G1168" s="6">
        <v>9436</v>
      </c>
      <c r="H1168" s="6">
        <v>183249</v>
      </c>
      <c r="I1168" s="6">
        <v>628611</v>
      </c>
      <c r="J1168" s="6">
        <v>2322082</v>
      </c>
      <c r="K1168" s="6">
        <v>442</v>
      </c>
      <c r="L1168" s="6">
        <v>3461</v>
      </c>
      <c r="M1168" s="6">
        <v>-217769</v>
      </c>
      <c r="N1168" s="6">
        <v>37436</v>
      </c>
      <c r="O1168" s="6">
        <v>6785</v>
      </c>
      <c r="P1168" s="6">
        <v>0</v>
      </c>
      <c r="Q1168" s="6">
        <v>44221</v>
      </c>
    </row>
    <row r="1169" spans="1:17" x14ac:dyDescent="0.35">
      <c r="A1169" s="1">
        <v>45749</v>
      </c>
      <c r="B1169" s="6">
        <v>6679264</v>
      </c>
      <c r="C1169" s="6">
        <v>3942950</v>
      </c>
      <c r="D1169" s="6">
        <v>0</v>
      </c>
      <c r="E1169" s="6">
        <v>3427049</v>
      </c>
      <c r="F1169" s="6">
        <v>301624</v>
      </c>
      <c r="G1169" s="6">
        <v>9439</v>
      </c>
      <c r="H1169" s="6">
        <v>204838</v>
      </c>
      <c r="I1169" s="6">
        <v>622253</v>
      </c>
      <c r="J1169" s="6">
        <v>2325666</v>
      </c>
      <c r="K1169" s="6">
        <v>586</v>
      </c>
      <c r="L1169" s="6">
        <v>3461</v>
      </c>
      <c r="M1169" s="6">
        <v>-215651</v>
      </c>
      <c r="N1169" s="6">
        <v>37402</v>
      </c>
      <c r="O1169" s="6">
        <v>6785</v>
      </c>
      <c r="P1169" s="6">
        <v>0</v>
      </c>
      <c r="Q1169" s="6">
        <v>44187</v>
      </c>
    </row>
    <row r="1170" spans="1:17" x14ac:dyDescent="0.35">
      <c r="A1170" s="1">
        <v>45756</v>
      </c>
      <c r="B1170" s="6">
        <v>6683229</v>
      </c>
      <c r="C1170" s="6">
        <v>4036642</v>
      </c>
      <c r="D1170" s="6">
        <v>0</v>
      </c>
      <c r="E1170" s="6">
        <v>3484345</v>
      </c>
      <c r="F1170" s="6">
        <v>315189</v>
      </c>
      <c r="G1170" s="6">
        <v>9434</v>
      </c>
      <c r="H1170" s="6">
        <v>227675</v>
      </c>
      <c r="I1170" s="6">
        <v>534253</v>
      </c>
      <c r="J1170" s="6">
        <v>2327269</v>
      </c>
      <c r="K1170" s="6">
        <v>443</v>
      </c>
      <c r="L1170" s="6">
        <v>3461</v>
      </c>
      <c r="M1170" s="6">
        <v>-218839</v>
      </c>
      <c r="N1170" s="6">
        <v>37402</v>
      </c>
      <c r="O1170" s="6">
        <v>6785</v>
      </c>
      <c r="P1170" s="6">
        <v>0</v>
      </c>
      <c r="Q1170" s="6">
        <v>44187</v>
      </c>
    </row>
    <row r="1171" spans="1:17" x14ac:dyDescent="0.35">
      <c r="A1171" s="1">
        <v>45763</v>
      </c>
      <c r="B1171" s="6">
        <v>6682887</v>
      </c>
      <c r="C1171" s="6">
        <v>4155264</v>
      </c>
      <c r="D1171" s="6">
        <v>0</v>
      </c>
      <c r="E1171" s="6">
        <v>3280845</v>
      </c>
      <c r="F1171" s="6">
        <v>638783</v>
      </c>
      <c r="G1171" s="6">
        <v>9433</v>
      </c>
      <c r="H1171" s="6">
        <v>226203</v>
      </c>
      <c r="I1171" s="6">
        <v>412428</v>
      </c>
      <c r="J1171" s="6">
        <v>2326942</v>
      </c>
      <c r="K1171" s="6">
        <v>469</v>
      </c>
      <c r="L1171" s="6">
        <v>3461</v>
      </c>
      <c r="M1171" s="6">
        <v>-215676</v>
      </c>
      <c r="N1171" s="6">
        <v>37441</v>
      </c>
      <c r="O1171" s="6">
        <v>6785</v>
      </c>
      <c r="P1171" s="6">
        <v>0</v>
      </c>
      <c r="Q1171" s="6">
        <v>44226</v>
      </c>
    </row>
    <row r="1172" spans="1:17" x14ac:dyDescent="0.35">
      <c r="A1172" s="1">
        <v>45770</v>
      </c>
      <c r="B1172" s="6">
        <v>6682703</v>
      </c>
      <c r="C1172" s="6">
        <v>4024503</v>
      </c>
      <c r="D1172" s="6">
        <v>0</v>
      </c>
      <c r="E1172" s="6">
        <v>3208915</v>
      </c>
      <c r="F1172" s="6">
        <v>576159</v>
      </c>
      <c r="G1172" s="6">
        <v>9434</v>
      </c>
      <c r="H1172" s="6">
        <v>229995</v>
      </c>
      <c r="I1172" s="6">
        <v>544990</v>
      </c>
      <c r="J1172" s="6">
        <v>2328764</v>
      </c>
      <c r="K1172" s="6">
        <v>429</v>
      </c>
      <c r="L1172" s="6">
        <v>3461</v>
      </c>
      <c r="M1172" s="6">
        <v>-219444</v>
      </c>
      <c r="N1172" s="6">
        <v>37442</v>
      </c>
      <c r="O1172" s="6">
        <v>6785</v>
      </c>
      <c r="P1172" s="6">
        <v>0</v>
      </c>
      <c r="Q1172" s="6">
        <v>44227</v>
      </c>
    </row>
    <row r="1173" spans="1:17" x14ac:dyDescent="0.35">
      <c r="A1173" s="1">
        <v>45777</v>
      </c>
      <c r="B1173" s="6">
        <v>6665050</v>
      </c>
      <c r="C1173" s="6">
        <v>3915103</v>
      </c>
      <c r="D1173" s="6">
        <v>0</v>
      </c>
      <c r="E1173" s="6">
        <v>3000277</v>
      </c>
      <c r="F1173" s="6">
        <v>677657</v>
      </c>
      <c r="G1173" s="6">
        <v>9439</v>
      </c>
      <c r="H1173" s="6">
        <v>227730</v>
      </c>
      <c r="I1173" s="6">
        <v>632122</v>
      </c>
      <c r="J1173" s="6">
        <v>2330829</v>
      </c>
      <c r="K1173" s="6">
        <v>982</v>
      </c>
      <c r="L1173" s="6">
        <v>3461</v>
      </c>
      <c r="M1173" s="6">
        <v>-217447</v>
      </c>
      <c r="N1173" s="6">
        <v>37442</v>
      </c>
      <c r="O1173" s="6">
        <v>6785</v>
      </c>
      <c r="P1173" s="6">
        <v>0</v>
      </c>
      <c r="Q1173" s="6">
        <v>44227</v>
      </c>
    </row>
    <row r="1174" spans="1:17" x14ac:dyDescent="0.35">
      <c r="A1174" s="1">
        <v>45784</v>
      </c>
      <c r="B1174" s="6">
        <v>6666545</v>
      </c>
      <c r="C1174" s="6">
        <v>4025459</v>
      </c>
      <c r="D1174" s="6">
        <v>0</v>
      </c>
      <c r="E1174" s="6">
        <v>3200619</v>
      </c>
      <c r="F1174" s="6">
        <v>595860</v>
      </c>
      <c r="G1174" s="6">
        <v>9441</v>
      </c>
      <c r="H1174" s="6">
        <v>219539</v>
      </c>
      <c r="I1174" s="6">
        <v>524554</v>
      </c>
      <c r="J1174" s="6">
        <v>2333726</v>
      </c>
      <c r="K1174" s="6">
        <v>407</v>
      </c>
      <c r="L1174" s="6">
        <v>3461</v>
      </c>
      <c r="M1174" s="6">
        <v>-221061</v>
      </c>
      <c r="N1174" s="6">
        <v>37558</v>
      </c>
      <c r="O1174" s="6">
        <v>6785</v>
      </c>
      <c r="P1174" s="6">
        <v>0</v>
      </c>
      <c r="Q1174" s="6">
        <v>44343</v>
      </c>
    </row>
    <row r="1175" spans="1:17" x14ac:dyDescent="0.35">
      <c r="A1175" s="1">
        <v>45791</v>
      </c>
      <c r="B1175" s="6">
        <v>6668927</v>
      </c>
      <c r="C1175" s="6">
        <v>4031889</v>
      </c>
      <c r="D1175" s="6">
        <v>0</v>
      </c>
      <c r="E1175" s="6">
        <v>3235715</v>
      </c>
      <c r="F1175" s="6">
        <v>562433</v>
      </c>
      <c r="G1175" s="6">
        <v>9441</v>
      </c>
      <c r="H1175" s="6">
        <v>224299</v>
      </c>
      <c r="I1175" s="6">
        <v>519213</v>
      </c>
      <c r="J1175" s="6">
        <v>2332755</v>
      </c>
      <c r="K1175" s="6">
        <v>474</v>
      </c>
      <c r="L1175" s="6">
        <v>3461</v>
      </c>
      <c r="M1175" s="6">
        <v>-218864</v>
      </c>
      <c r="N1175" s="6">
        <v>37558</v>
      </c>
      <c r="O1175" s="6">
        <v>6785</v>
      </c>
      <c r="P1175" s="6">
        <v>0</v>
      </c>
      <c r="Q1175" s="6">
        <v>44343</v>
      </c>
    </row>
    <row r="1176" spans="1:17" x14ac:dyDescent="0.35">
      <c r="A1176" s="1">
        <v>45798</v>
      </c>
      <c r="B1176" s="6">
        <v>6643208</v>
      </c>
      <c r="C1176" s="6">
        <v>3992038</v>
      </c>
      <c r="D1176" s="6">
        <v>0</v>
      </c>
      <c r="E1176" s="6">
        <v>3283765</v>
      </c>
      <c r="F1176" s="6">
        <v>475886</v>
      </c>
      <c r="G1176" s="6">
        <v>9437</v>
      </c>
      <c r="H1176" s="6">
        <v>222950</v>
      </c>
      <c r="I1176" s="6">
        <v>534143</v>
      </c>
      <c r="J1176" s="6">
        <v>2335402</v>
      </c>
      <c r="K1176" s="6">
        <v>365</v>
      </c>
      <c r="L1176" s="6">
        <v>3461</v>
      </c>
      <c r="M1176" s="6">
        <v>-222200</v>
      </c>
      <c r="N1176" s="6">
        <v>38733</v>
      </c>
      <c r="O1176" s="6">
        <v>6785</v>
      </c>
      <c r="P1176" s="6">
        <v>0</v>
      </c>
      <c r="Q1176" s="6">
        <v>45518</v>
      </c>
    </row>
    <row r="1177" spans="1:17" x14ac:dyDescent="0.35">
      <c r="A1177" s="1">
        <v>45805</v>
      </c>
      <c r="B1177" s="6">
        <v>6627727</v>
      </c>
      <c r="C1177" s="6">
        <v>3960697</v>
      </c>
      <c r="D1177" s="6">
        <v>0</v>
      </c>
      <c r="E1177" s="6">
        <v>3294014</v>
      </c>
      <c r="F1177" s="6">
        <v>436627</v>
      </c>
      <c r="G1177" s="6">
        <v>9438</v>
      </c>
      <c r="H1177" s="6">
        <v>220618</v>
      </c>
      <c r="I1177" s="6">
        <v>544111</v>
      </c>
      <c r="J1177" s="6">
        <v>2340276</v>
      </c>
      <c r="K1177" s="6">
        <v>770</v>
      </c>
      <c r="L1177" s="6">
        <v>2029</v>
      </c>
      <c r="M1177" s="6">
        <v>-220156</v>
      </c>
      <c r="N1177" s="6">
        <v>38733</v>
      </c>
      <c r="O1177" s="6">
        <v>6785</v>
      </c>
      <c r="P1177" s="6">
        <v>0</v>
      </c>
      <c r="Q1177" s="6">
        <v>45518</v>
      </c>
    </row>
    <row r="1178" spans="1:17" x14ac:dyDescent="0.35">
      <c r="A1178" s="1">
        <v>45812</v>
      </c>
      <c r="B1178" s="6">
        <v>6627369</v>
      </c>
      <c r="C1178" s="6">
        <v>3964421</v>
      </c>
      <c r="D1178" s="6">
        <v>0</v>
      </c>
      <c r="E1178" s="6">
        <v>3361938</v>
      </c>
      <c r="F1178" s="6">
        <v>376160</v>
      </c>
      <c r="G1178" s="6">
        <v>9591</v>
      </c>
      <c r="H1178" s="6">
        <v>216732</v>
      </c>
      <c r="I1178" s="6">
        <v>543927</v>
      </c>
      <c r="J1178" s="6">
        <v>2339796</v>
      </c>
      <c r="K1178" s="6">
        <v>941</v>
      </c>
      <c r="L1178" s="6">
        <v>2029</v>
      </c>
      <c r="M1178" s="6">
        <v>-223745</v>
      </c>
      <c r="N1178" s="6">
        <v>38731</v>
      </c>
      <c r="O1178" s="6">
        <v>6785</v>
      </c>
      <c r="P1178" s="6">
        <v>0</v>
      </c>
      <c r="Q1178" s="6">
        <v>45516</v>
      </c>
    </row>
    <row r="1179" spans="1:17" x14ac:dyDescent="0.35">
      <c r="A1179" s="1">
        <v>45819</v>
      </c>
      <c r="B1179" s="6">
        <v>6631639</v>
      </c>
      <c r="C1179" s="6">
        <v>3935767</v>
      </c>
      <c r="D1179" s="6">
        <v>0</v>
      </c>
      <c r="E1179" s="6">
        <v>3429675</v>
      </c>
      <c r="F1179" s="6">
        <v>277025</v>
      </c>
      <c r="G1179" s="6">
        <v>9428</v>
      </c>
      <c r="H1179" s="6">
        <v>219638</v>
      </c>
      <c r="I1179" s="6">
        <v>576060</v>
      </c>
      <c r="J1179" s="6">
        <v>2338587</v>
      </c>
      <c r="K1179" s="6">
        <v>456</v>
      </c>
      <c r="L1179" s="6">
        <v>2029</v>
      </c>
      <c r="M1179" s="6">
        <v>-221260</v>
      </c>
      <c r="N1179" s="6">
        <v>38731</v>
      </c>
      <c r="O1179" s="6">
        <v>6785</v>
      </c>
      <c r="P1179" s="6">
        <v>0</v>
      </c>
      <c r="Q1179" s="6">
        <v>45516</v>
      </c>
    </row>
    <row r="1180" spans="1:17" x14ac:dyDescent="0.35">
      <c r="A1180" s="1">
        <v>45826</v>
      </c>
      <c r="B1180" s="6">
        <v>6635541</v>
      </c>
      <c r="C1180" s="6">
        <v>3937502</v>
      </c>
      <c r="D1180" s="6">
        <v>0</v>
      </c>
      <c r="E1180" s="6">
        <v>3322991</v>
      </c>
      <c r="F1180" s="6">
        <v>383851</v>
      </c>
      <c r="G1180" s="6">
        <v>9433</v>
      </c>
      <c r="H1180" s="6">
        <v>221228</v>
      </c>
      <c r="I1180" s="6">
        <v>577189</v>
      </c>
      <c r="J1180" s="6">
        <v>2342751</v>
      </c>
      <c r="K1180" s="6">
        <v>464</v>
      </c>
      <c r="L1180" s="6">
        <v>2029</v>
      </c>
      <c r="M1180" s="6">
        <v>-224394</v>
      </c>
      <c r="N1180" s="6">
        <v>38730</v>
      </c>
      <c r="O1180" s="6">
        <v>6785</v>
      </c>
      <c r="P1180" s="6">
        <v>0</v>
      </c>
      <c r="Q1180" s="6">
        <v>45515</v>
      </c>
    </row>
    <row r="1181" spans="1:17" x14ac:dyDescent="0.35">
      <c r="A1181" s="1">
        <v>45833</v>
      </c>
      <c r="B1181" s="6">
        <v>6616661</v>
      </c>
      <c r="C1181" s="6">
        <v>3908812</v>
      </c>
      <c r="D1181" s="6">
        <v>0</v>
      </c>
      <c r="E1181" s="6">
        <v>3347274</v>
      </c>
      <c r="F1181" s="6">
        <v>334579</v>
      </c>
      <c r="G1181" s="6">
        <v>9439</v>
      </c>
      <c r="H1181" s="6">
        <v>217521</v>
      </c>
      <c r="I1181" s="6">
        <v>584051</v>
      </c>
      <c r="J1181" s="6">
        <v>2343909</v>
      </c>
      <c r="K1181" s="6">
        <v>466</v>
      </c>
      <c r="L1181" s="6">
        <v>2029</v>
      </c>
      <c r="M1181" s="6">
        <v>-222606</v>
      </c>
      <c r="N1181" s="6">
        <v>38755</v>
      </c>
      <c r="O1181" s="6">
        <v>6785</v>
      </c>
      <c r="P1181" s="6">
        <v>0</v>
      </c>
      <c r="Q1181" s="6">
        <v>45540</v>
      </c>
    </row>
    <row r="1182" spans="1:17" x14ac:dyDescent="0.35">
      <c r="A1182" s="1">
        <v>45840</v>
      </c>
      <c r="B1182" s="6">
        <v>6614045</v>
      </c>
      <c r="C1182" s="6">
        <v>3856918</v>
      </c>
      <c r="D1182" s="6">
        <v>0</v>
      </c>
      <c r="E1182" s="6">
        <v>3256502</v>
      </c>
      <c r="F1182" s="6">
        <v>372232</v>
      </c>
      <c r="G1182" s="6">
        <v>9432</v>
      </c>
      <c r="H1182" s="6">
        <v>218753</v>
      </c>
      <c r="I1182" s="6">
        <v>631138</v>
      </c>
      <c r="J1182" s="6">
        <v>2350103</v>
      </c>
      <c r="K1182" s="6">
        <v>989</v>
      </c>
      <c r="L1182" s="6">
        <v>2029</v>
      </c>
      <c r="M1182" s="6">
        <v>-227131</v>
      </c>
      <c r="N1182" s="6">
        <v>38768</v>
      </c>
      <c r="O1182" s="6">
        <v>6785</v>
      </c>
      <c r="P1182" s="6">
        <v>0</v>
      </c>
      <c r="Q1182" s="6">
        <v>45553</v>
      </c>
    </row>
    <row r="1183" spans="1:17" x14ac:dyDescent="0.35">
      <c r="A1183" s="1">
        <v>45847</v>
      </c>
      <c r="B1183" s="6">
        <v>6616357</v>
      </c>
      <c r="C1183" s="6">
        <v>3877175</v>
      </c>
      <c r="D1183" s="6">
        <v>0</v>
      </c>
      <c r="E1183" s="6">
        <v>3341999</v>
      </c>
      <c r="F1183" s="6">
        <v>311048</v>
      </c>
      <c r="G1183" s="6">
        <v>9437</v>
      </c>
      <c r="H1183" s="6">
        <v>214691</v>
      </c>
      <c r="I1183" s="6">
        <v>609773</v>
      </c>
      <c r="J1183" s="6">
        <v>2351996</v>
      </c>
      <c r="K1183" s="6">
        <v>446</v>
      </c>
      <c r="L1183" s="6">
        <v>2029</v>
      </c>
      <c r="M1183" s="6">
        <v>-225062</v>
      </c>
      <c r="N1183" s="6">
        <v>38770</v>
      </c>
      <c r="O1183" s="6">
        <v>6785</v>
      </c>
      <c r="P1183" s="6">
        <v>0</v>
      </c>
      <c r="Q1183" s="6">
        <v>45555</v>
      </c>
    </row>
    <row r="1184" spans="1:17" x14ac:dyDescent="0.35">
      <c r="A1184" s="1">
        <v>45854</v>
      </c>
      <c r="B1184" s="6">
        <v>6613716</v>
      </c>
      <c r="C1184" s="6">
        <v>3916956</v>
      </c>
      <c r="D1184" s="6">
        <v>0</v>
      </c>
      <c r="E1184" s="6">
        <v>3375036</v>
      </c>
      <c r="F1184" s="6">
        <v>312085</v>
      </c>
      <c r="G1184" s="6">
        <v>9435</v>
      </c>
      <c r="H1184" s="6">
        <v>220400</v>
      </c>
      <c r="I1184" s="6">
        <v>574685</v>
      </c>
      <c r="J1184" s="6">
        <v>2348509</v>
      </c>
      <c r="K1184" s="6">
        <v>380</v>
      </c>
      <c r="L1184" s="6">
        <v>2029</v>
      </c>
      <c r="M1184" s="6">
        <v>-228842</v>
      </c>
      <c r="N1184" s="6">
        <v>38772</v>
      </c>
      <c r="O1184" s="6">
        <v>6785</v>
      </c>
      <c r="P1184" s="6">
        <v>0</v>
      </c>
      <c r="Q1184" s="6">
        <v>45557</v>
      </c>
    </row>
    <row r="1185" spans="1:17" x14ac:dyDescent="0.35">
      <c r="A1185" s="1">
        <v>45861</v>
      </c>
      <c r="B1185" s="6">
        <v>6612157</v>
      </c>
      <c r="C1185" s="6">
        <v>3921187</v>
      </c>
      <c r="D1185" s="6">
        <v>0</v>
      </c>
      <c r="E1185" s="6">
        <v>3358383</v>
      </c>
      <c r="F1185" s="6">
        <v>333538</v>
      </c>
      <c r="G1185" s="6">
        <v>9434</v>
      </c>
      <c r="H1185" s="6">
        <v>219832</v>
      </c>
      <c r="I1185" s="6">
        <v>567006</v>
      </c>
      <c r="J1185" s="6">
        <v>2347770</v>
      </c>
      <c r="K1185" s="6">
        <v>507</v>
      </c>
      <c r="L1185" s="6">
        <v>2029</v>
      </c>
      <c r="M1185" s="6">
        <v>-226342</v>
      </c>
      <c r="N1185" s="6">
        <v>38773</v>
      </c>
      <c r="O1185" s="6">
        <v>6785</v>
      </c>
      <c r="P1185" s="6">
        <v>0</v>
      </c>
      <c r="Q1185" s="6">
        <v>45558</v>
      </c>
    </row>
    <row r="1186" spans="1:17" x14ac:dyDescent="0.35">
      <c r="A1186" s="1">
        <v>45868</v>
      </c>
      <c r="B1186" s="6">
        <v>6597020</v>
      </c>
      <c r="C1186" s="6">
        <v>3948183</v>
      </c>
      <c r="D1186" s="6">
        <v>0</v>
      </c>
      <c r="E1186" s="6">
        <v>3299696</v>
      </c>
      <c r="F1186" s="6">
        <v>419446</v>
      </c>
      <c r="G1186" s="6">
        <v>9438</v>
      </c>
      <c r="H1186" s="6">
        <v>219603</v>
      </c>
      <c r="I1186" s="6">
        <v>525681</v>
      </c>
      <c r="J1186" s="6">
        <v>2350651</v>
      </c>
      <c r="K1186" s="6">
        <v>1386</v>
      </c>
      <c r="L1186" s="6">
        <v>2029</v>
      </c>
      <c r="M1186" s="6">
        <v>-230910</v>
      </c>
      <c r="N1186" s="6">
        <v>38774</v>
      </c>
      <c r="O1186" s="6">
        <v>6785</v>
      </c>
      <c r="P1186" s="6">
        <v>0</v>
      </c>
      <c r="Q1186" s="6">
        <v>45559</v>
      </c>
    </row>
    <row r="1187" spans="1:17" x14ac:dyDescent="0.35">
      <c r="A1187" s="1">
        <v>45875</v>
      </c>
      <c r="B1187" s="6">
        <v>6595100</v>
      </c>
      <c r="C1187" s="6">
        <v>4021479</v>
      </c>
      <c r="D1187" s="6">
        <v>0</v>
      </c>
      <c r="E1187" s="6">
        <v>3330372</v>
      </c>
      <c r="F1187" s="6">
        <v>464315</v>
      </c>
      <c r="G1187" s="6">
        <v>9434</v>
      </c>
      <c r="H1187" s="6">
        <v>217359</v>
      </c>
      <c r="I1187" s="6">
        <v>445875</v>
      </c>
      <c r="J1187" s="6">
        <v>2353549</v>
      </c>
      <c r="K1187" s="6">
        <v>419</v>
      </c>
      <c r="L1187" s="6">
        <v>2029</v>
      </c>
      <c r="M1187" s="6">
        <v>-228252</v>
      </c>
      <c r="N1187" s="6">
        <v>38958</v>
      </c>
      <c r="O1187" s="6">
        <v>6785</v>
      </c>
      <c r="P1187" s="6">
        <v>0</v>
      </c>
      <c r="Q1187" s="6">
        <v>45743</v>
      </c>
    </row>
    <row r="1188" spans="1:17" x14ac:dyDescent="0.35">
      <c r="A1188" s="1">
        <v>45882</v>
      </c>
      <c r="B1188" s="6">
        <v>6597872</v>
      </c>
      <c r="C1188" s="6">
        <v>4072510</v>
      </c>
      <c r="D1188" s="6">
        <v>0</v>
      </c>
      <c r="E1188" s="6">
        <v>3328346</v>
      </c>
      <c r="F1188" s="6">
        <v>515469</v>
      </c>
      <c r="G1188" s="6">
        <v>9434</v>
      </c>
      <c r="H1188" s="6">
        <v>219261</v>
      </c>
      <c r="I1188" s="6">
        <v>402201</v>
      </c>
      <c r="J1188" s="6">
        <v>2352354</v>
      </c>
      <c r="K1188" s="6">
        <v>429</v>
      </c>
      <c r="L1188" s="6">
        <v>2029</v>
      </c>
      <c r="M1188" s="6">
        <v>-231649</v>
      </c>
      <c r="N1188" s="6">
        <v>38958</v>
      </c>
      <c r="O1188" s="6">
        <v>6785</v>
      </c>
      <c r="P1188" s="6">
        <v>0</v>
      </c>
      <c r="Q1188" s="6">
        <v>45743</v>
      </c>
    </row>
    <row r="1189" spans="1:17" x14ac:dyDescent="0.35">
      <c r="A1189" s="1">
        <v>45889</v>
      </c>
      <c r="B1189" s="6">
        <v>6572672</v>
      </c>
      <c r="C1189" s="6">
        <v>4048033</v>
      </c>
      <c r="D1189" s="6">
        <v>0</v>
      </c>
      <c r="E1189" s="6">
        <v>3297635</v>
      </c>
      <c r="F1189" s="6">
        <v>526063</v>
      </c>
      <c r="G1189" s="6">
        <v>9435</v>
      </c>
      <c r="H1189" s="6">
        <v>214900</v>
      </c>
      <c r="I1189" s="6">
        <v>399066</v>
      </c>
      <c r="J1189" s="6">
        <v>2352807</v>
      </c>
      <c r="K1189" s="6">
        <v>387</v>
      </c>
      <c r="L1189" s="6">
        <v>2029</v>
      </c>
      <c r="M1189" s="6">
        <v>-229651</v>
      </c>
      <c r="N1189" s="6">
        <v>38958</v>
      </c>
      <c r="O1189" s="6">
        <v>6785</v>
      </c>
      <c r="P1189" s="6">
        <v>0</v>
      </c>
      <c r="Q1189" s="6">
        <v>45743</v>
      </c>
    </row>
    <row r="1190" spans="1:17" x14ac:dyDescent="0.35">
      <c r="A1190" s="1">
        <v>45896</v>
      </c>
      <c r="B1190" s="6">
        <v>6557641</v>
      </c>
      <c r="C1190" s="6">
        <v>4038822</v>
      </c>
      <c r="D1190" s="6">
        <v>0</v>
      </c>
      <c r="E1190" s="6">
        <v>3216851</v>
      </c>
      <c r="F1190" s="6">
        <v>595798</v>
      </c>
      <c r="G1190" s="6">
        <v>9435</v>
      </c>
      <c r="H1190" s="6">
        <v>216738</v>
      </c>
      <c r="I1190" s="6">
        <v>393155</v>
      </c>
      <c r="J1190" s="6">
        <v>2356378</v>
      </c>
      <c r="K1190" s="6">
        <v>605</v>
      </c>
      <c r="L1190" s="6">
        <v>2029</v>
      </c>
      <c r="M1190" s="6">
        <v>-233348</v>
      </c>
      <c r="N1190" s="6">
        <v>38958</v>
      </c>
      <c r="O1190" s="6">
        <v>6785</v>
      </c>
      <c r="P1190" s="6">
        <v>0</v>
      </c>
      <c r="Q1190" s="6">
        <v>45743</v>
      </c>
    </row>
    <row r="1191" spans="1:17" x14ac:dyDescent="0.35">
      <c r="A1191" s="1">
        <v>45903</v>
      </c>
      <c r="B1191" s="6">
        <v>6556351</v>
      </c>
      <c r="C1191" s="6">
        <v>4054311</v>
      </c>
      <c r="D1191" s="6">
        <v>0</v>
      </c>
      <c r="E1191" s="6">
        <v>3167905</v>
      </c>
      <c r="F1191" s="6">
        <v>661939</v>
      </c>
      <c r="G1191" s="6">
        <v>9435</v>
      </c>
      <c r="H1191" s="6">
        <v>215032</v>
      </c>
      <c r="I1191" s="6">
        <v>368731</v>
      </c>
      <c r="J1191" s="6">
        <v>2361655</v>
      </c>
      <c r="K1191" s="6">
        <v>631</v>
      </c>
      <c r="L1191" s="6">
        <v>2029</v>
      </c>
      <c r="M1191" s="6">
        <v>-231006</v>
      </c>
      <c r="N1191" s="6">
        <v>38935</v>
      </c>
      <c r="O1191" s="6">
        <v>6785</v>
      </c>
      <c r="P1191" s="6">
        <v>0</v>
      </c>
      <c r="Q1191" s="6">
        <v>45720</v>
      </c>
    </row>
    <row r="1192" spans="1:17" x14ac:dyDescent="0.35">
      <c r="A1192" s="1">
        <v>45910</v>
      </c>
      <c r="B1192" s="6">
        <v>6560244</v>
      </c>
      <c r="C1192" s="6">
        <v>4049139</v>
      </c>
      <c r="D1192" s="6">
        <v>0</v>
      </c>
      <c r="E1192" s="6">
        <v>3150913</v>
      </c>
      <c r="F1192" s="6">
        <v>667585</v>
      </c>
      <c r="G1192" s="6">
        <v>9441</v>
      </c>
      <c r="H1192" s="6">
        <v>221200</v>
      </c>
      <c r="I1192" s="6">
        <v>382956</v>
      </c>
      <c r="J1192" s="6">
        <v>2360114</v>
      </c>
      <c r="K1192" s="6">
        <v>368</v>
      </c>
      <c r="L1192" s="6">
        <v>2029</v>
      </c>
      <c r="M1192" s="6">
        <v>-234362</v>
      </c>
      <c r="N1192" s="6">
        <v>38934</v>
      </c>
      <c r="O1192" s="6">
        <v>6785</v>
      </c>
      <c r="P1192" s="6">
        <v>0</v>
      </c>
      <c r="Q1192" s="6">
        <v>45719</v>
      </c>
    </row>
    <row r="1193" spans="1:17" x14ac:dyDescent="0.35">
      <c r="A1193" s="1">
        <v>45917</v>
      </c>
      <c r="B1193" s="6">
        <v>6562879</v>
      </c>
      <c r="C1193" s="6">
        <v>4062125</v>
      </c>
      <c r="D1193" s="6">
        <v>0</v>
      </c>
      <c r="E1193" s="6">
        <v>3020363</v>
      </c>
      <c r="F1193" s="6">
        <v>807142</v>
      </c>
      <c r="G1193" s="6">
        <v>9435</v>
      </c>
      <c r="H1193" s="6">
        <v>225185</v>
      </c>
      <c r="I1193" s="6">
        <v>371571</v>
      </c>
      <c r="J1193" s="6">
        <v>2358448</v>
      </c>
      <c r="K1193" s="6">
        <v>404</v>
      </c>
      <c r="L1193" s="6">
        <v>2029</v>
      </c>
      <c r="M1193" s="6">
        <v>-231698</v>
      </c>
      <c r="N1193" s="6">
        <v>38934</v>
      </c>
      <c r="O1193" s="6">
        <v>6785</v>
      </c>
      <c r="P1193" s="6">
        <v>0</v>
      </c>
      <c r="Q1193" s="6">
        <v>45719</v>
      </c>
    </row>
    <row r="1194" spans="1:17" x14ac:dyDescent="0.35">
      <c r="A1194" s="1">
        <v>45924</v>
      </c>
      <c r="B1194" s="6">
        <v>6562644</v>
      </c>
      <c r="C1194" s="6">
        <v>4026737</v>
      </c>
      <c r="D1194" s="6">
        <v>0</v>
      </c>
      <c r="E1194" s="6">
        <v>2999692</v>
      </c>
      <c r="F1194" s="6">
        <v>757970</v>
      </c>
      <c r="G1194" s="6">
        <v>9434</v>
      </c>
      <c r="H1194" s="6">
        <v>259641</v>
      </c>
      <c r="I1194" s="6">
        <v>409302</v>
      </c>
      <c r="J1194" s="6">
        <v>2359354</v>
      </c>
      <c r="K1194" s="6">
        <v>404</v>
      </c>
      <c r="L1194" s="6">
        <v>2029</v>
      </c>
      <c r="M1194" s="6">
        <v>-235182</v>
      </c>
      <c r="N1194" s="6">
        <v>38966</v>
      </c>
      <c r="O1194" s="6">
        <v>6785</v>
      </c>
      <c r="P1194" s="6">
        <v>0</v>
      </c>
      <c r="Q1194" s="6">
        <v>45751</v>
      </c>
    </row>
    <row r="1195" spans="1:17" x14ac:dyDescent="0.35">
      <c r="A1195" s="1">
        <v>45931</v>
      </c>
      <c r="B1195" s="6">
        <v>6541371</v>
      </c>
      <c r="C1195" s="6">
        <v>4025419</v>
      </c>
      <c r="D1195" s="6">
        <v>0</v>
      </c>
      <c r="E1195" s="6">
        <v>2979594</v>
      </c>
      <c r="F1195" s="6">
        <v>819378</v>
      </c>
      <c r="G1195" s="6">
        <v>9434</v>
      </c>
      <c r="H1195" s="6">
        <v>217013</v>
      </c>
      <c r="I1195" s="6">
        <v>384772</v>
      </c>
      <c r="J1195" s="6">
        <v>2361620</v>
      </c>
      <c r="K1195" s="6">
        <v>937</v>
      </c>
      <c r="L1195" s="6">
        <v>2029</v>
      </c>
      <c r="M1195" s="6">
        <v>-233406</v>
      </c>
      <c r="N1195" s="6">
        <v>38962</v>
      </c>
      <c r="O1195" s="6">
        <v>6785</v>
      </c>
      <c r="P1195" s="6">
        <v>0</v>
      </c>
      <c r="Q1195" s="6">
        <v>45747</v>
      </c>
    </row>
    <row r="1196" spans="1:17" x14ac:dyDescent="0.35">
      <c r="A1196" s="1">
        <v>45938</v>
      </c>
      <c r="B1196" s="6">
        <v>6545044</v>
      </c>
      <c r="C1196" s="6">
        <v>4057531</v>
      </c>
      <c r="D1196" s="6">
        <v>0</v>
      </c>
      <c r="E1196" s="6">
        <v>3033855</v>
      </c>
      <c r="F1196" s="6">
        <v>794054</v>
      </c>
      <c r="G1196" s="6">
        <v>9434</v>
      </c>
      <c r="H1196" s="6">
        <v>220188</v>
      </c>
      <c r="I1196" s="6">
        <v>355839</v>
      </c>
      <c r="J1196" s="6">
        <v>2365668</v>
      </c>
      <c r="K1196" s="6">
        <v>382</v>
      </c>
      <c r="L1196" s="6">
        <v>2029</v>
      </c>
      <c r="M1196" s="6">
        <v>-236405</v>
      </c>
      <c r="N1196" s="6">
        <v>38986</v>
      </c>
      <c r="O1196" s="6">
        <v>6785</v>
      </c>
      <c r="P1196" s="6">
        <v>0</v>
      </c>
      <c r="Q1196" s="6">
        <v>45771</v>
      </c>
    </row>
    <row r="1197" spans="1:17" x14ac:dyDescent="0.35">
      <c r="A1197" s="1">
        <v>45945</v>
      </c>
      <c r="B1197" s="6">
        <v>6550672</v>
      </c>
      <c r="C1197" s="6">
        <v>4065488</v>
      </c>
      <c r="D1197" s="6">
        <v>0</v>
      </c>
      <c r="E1197" s="6">
        <v>2988202</v>
      </c>
      <c r="F1197" s="6">
        <v>851952</v>
      </c>
      <c r="G1197" s="6">
        <v>9435</v>
      </c>
      <c r="H1197" s="6">
        <v>215900</v>
      </c>
      <c r="I1197" s="6">
        <v>347901</v>
      </c>
      <c r="J1197" s="6">
        <v>2368452</v>
      </c>
      <c r="K1197" s="6">
        <v>460</v>
      </c>
      <c r="L1197" s="6">
        <v>2029</v>
      </c>
      <c r="M1197" s="6">
        <v>-233659</v>
      </c>
      <c r="N1197" s="6">
        <v>38997</v>
      </c>
      <c r="O1197" s="6">
        <v>6785</v>
      </c>
      <c r="P1197" s="6">
        <v>0</v>
      </c>
      <c r="Q1197" s="6">
        <v>45782</v>
      </c>
    </row>
    <row r="1198" spans="1:17" x14ac:dyDescent="0.35">
      <c r="A1198" s="1">
        <v>45952</v>
      </c>
      <c r="B1198" s="6">
        <v>6543750</v>
      </c>
      <c r="C1198" s="6">
        <v>4056584</v>
      </c>
      <c r="D1198" s="6">
        <v>0</v>
      </c>
      <c r="E1198" s="6">
        <v>2929637</v>
      </c>
      <c r="F1198" s="6">
        <v>905074</v>
      </c>
      <c r="G1198" s="6">
        <v>9435</v>
      </c>
      <c r="H1198" s="6">
        <v>212438</v>
      </c>
      <c r="I1198" s="6">
        <v>354424</v>
      </c>
      <c r="J1198" s="6">
        <v>2366648</v>
      </c>
      <c r="K1198" s="6">
        <v>392</v>
      </c>
      <c r="L1198" s="6">
        <v>2029</v>
      </c>
      <c r="M1198" s="6">
        <v>-236327</v>
      </c>
      <c r="N1198" s="6">
        <v>38997</v>
      </c>
      <c r="O1198" s="6">
        <v>6785</v>
      </c>
      <c r="P1198" s="6">
        <v>0</v>
      </c>
      <c r="Q1198" s="6">
        <v>45782</v>
      </c>
    </row>
    <row r="1199" spans="1:17" x14ac:dyDescent="0.35">
      <c r="A1199" s="1">
        <v>45959</v>
      </c>
      <c r="B1199" s="6">
        <v>6541246</v>
      </c>
      <c r="C1199" s="6">
        <v>4037439</v>
      </c>
      <c r="D1199" s="6">
        <v>0</v>
      </c>
      <c r="E1199" s="6">
        <v>2827910</v>
      </c>
      <c r="F1199" s="6">
        <v>983859</v>
      </c>
      <c r="G1199" s="6">
        <v>9435</v>
      </c>
      <c r="H1199" s="6">
        <v>216235</v>
      </c>
      <c r="I1199" s="6">
        <v>367413</v>
      </c>
      <c r="J1199" s="6">
        <v>2367211</v>
      </c>
      <c r="K1199" s="6">
        <v>1145</v>
      </c>
      <c r="L1199" s="6">
        <v>2029</v>
      </c>
      <c r="M1199" s="6">
        <v>-233991</v>
      </c>
      <c r="N1199" s="6">
        <v>39002</v>
      </c>
      <c r="O1199" s="6">
        <v>6785</v>
      </c>
      <c r="P1199" s="6">
        <v>0</v>
      </c>
      <c r="Q1199" s="6">
        <v>45787</v>
      </c>
    </row>
    <row r="1200" spans="1:17" x14ac:dyDescent="0.35">
      <c r="A1200" s="1">
        <v>45966</v>
      </c>
      <c r="B1200" s="6">
        <v>6526900</v>
      </c>
      <c r="C1200" s="6">
        <v>4018027</v>
      </c>
      <c r="D1200" s="6">
        <v>0</v>
      </c>
      <c r="E1200" s="6">
        <v>2851923</v>
      </c>
      <c r="F1200" s="6">
        <v>942700</v>
      </c>
      <c r="G1200" s="6">
        <v>9438</v>
      </c>
      <c r="H1200" s="6">
        <v>213966</v>
      </c>
      <c r="I1200" s="6">
        <v>372481</v>
      </c>
      <c r="J1200" s="6">
        <v>2370961</v>
      </c>
      <c r="K1200" s="6">
        <v>393</v>
      </c>
      <c r="L1200" s="6">
        <v>2029</v>
      </c>
      <c r="M1200" s="6">
        <v>-236991</v>
      </c>
      <c r="N1200" s="6">
        <v>39047</v>
      </c>
      <c r="O1200" s="6">
        <v>6785</v>
      </c>
      <c r="P1200" s="6">
        <v>0</v>
      </c>
      <c r="Q1200" s="6">
        <v>45832</v>
      </c>
    </row>
    <row r="1201" spans="1:17" x14ac:dyDescent="0.35">
      <c r="A1201" s="1">
        <v>45973</v>
      </c>
      <c r="B1201" s="6">
        <v>6534630</v>
      </c>
      <c r="C1201" s="6">
        <v>4051310</v>
      </c>
      <c r="D1201" s="6">
        <v>0</v>
      </c>
      <c r="E1201" s="6">
        <v>2883340</v>
      </c>
      <c r="F1201" s="6">
        <v>943145</v>
      </c>
      <c r="G1201" s="6">
        <v>9437</v>
      </c>
      <c r="H1201" s="6">
        <v>215388</v>
      </c>
      <c r="I1201" s="6">
        <v>342354</v>
      </c>
      <c r="J1201" s="6">
        <v>2372526</v>
      </c>
      <c r="K1201" s="6">
        <v>683</v>
      </c>
      <c r="L1201" s="6">
        <v>2029</v>
      </c>
      <c r="M1201" s="6">
        <v>-234274</v>
      </c>
      <c r="N1201" s="6">
        <v>39047</v>
      </c>
      <c r="O1201" s="6">
        <v>6785</v>
      </c>
      <c r="P1201" s="6">
        <v>0</v>
      </c>
      <c r="Q1201" s="6">
        <v>45832</v>
      </c>
    </row>
    <row r="1202" spans="1:17" x14ac:dyDescent="0.35">
      <c r="A1202" s="1">
        <v>45980</v>
      </c>
      <c r="B1202" s="6">
        <v>6509458</v>
      </c>
      <c r="C1202" s="6">
        <v>4046025</v>
      </c>
      <c r="D1202" s="6">
        <v>0</v>
      </c>
      <c r="E1202" s="6">
        <v>2917532</v>
      </c>
      <c r="F1202" s="6">
        <v>900832</v>
      </c>
      <c r="G1202" s="6">
        <v>9436</v>
      </c>
      <c r="H1202" s="6">
        <v>218226</v>
      </c>
      <c r="I1202" s="6">
        <v>327258</v>
      </c>
      <c r="J1202" s="6">
        <v>2370188</v>
      </c>
      <c r="K1202" s="6">
        <v>437</v>
      </c>
      <c r="L1202" s="6">
        <v>2029</v>
      </c>
      <c r="M1202" s="6">
        <v>-236479</v>
      </c>
      <c r="N1202" s="6">
        <v>39040</v>
      </c>
      <c r="O1202" s="6">
        <v>6785</v>
      </c>
      <c r="P1202" s="6">
        <v>0</v>
      </c>
      <c r="Q1202" s="6">
        <v>45825</v>
      </c>
    </row>
    <row r="1203" spans="1:17" x14ac:dyDescent="0.35">
      <c r="A1203" s="1">
        <v>45987</v>
      </c>
      <c r="B1203" s="6">
        <v>6506556</v>
      </c>
      <c r="C1203" s="6">
        <v>4030076</v>
      </c>
      <c r="D1203" s="6">
        <v>0</v>
      </c>
      <c r="E1203" s="6">
        <v>2897987</v>
      </c>
      <c r="F1203" s="6">
        <v>899678</v>
      </c>
      <c r="G1203" s="6">
        <v>9439</v>
      </c>
      <c r="H1203" s="6">
        <v>222972</v>
      </c>
      <c r="I1203" s="6">
        <v>332399</v>
      </c>
      <c r="J1203" s="6">
        <v>2375763</v>
      </c>
      <c r="K1203" s="6">
        <v>1175</v>
      </c>
      <c r="L1203" s="6">
        <v>821</v>
      </c>
      <c r="M1203" s="6">
        <v>-233679</v>
      </c>
      <c r="N1203" s="6">
        <v>39078</v>
      </c>
      <c r="O1203" s="6">
        <v>6785</v>
      </c>
      <c r="P1203" s="6">
        <v>0</v>
      </c>
      <c r="Q1203" s="6">
        <v>45863</v>
      </c>
    </row>
    <row r="1204" spans="1:17" x14ac:dyDescent="0.35">
      <c r="A1204" s="1">
        <v>45994</v>
      </c>
      <c r="B1204" s="6">
        <v>6489869</v>
      </c>
      <c r="C1204" s="6">
        <v>4014192</v>
      </c>
      <c r="D1204" s="6">
        <v>0</v>
      </c>
      <c r="E1204" s="6">
        <v>2878165</v>
      </c>
      <c r="F1204" s="6">
        <v>908523</v>
      </c>
      <c r="G1204" s="6">
        <v>9437</v>
      </c>
      <c r="H1204" s="6">
        <v>218067</v>
      </c>
      <c r="I1204" s="6">
        <v>332569</v>
      </c>
      <c r="J1204" s="6">
        <v>2377520</v>
      </c>
      <c r="K1204" s="6">
        <v>972</v>
      </c>
      <c r="L1204" s="6">
        <v>821</v>
      </c>
      <c r="M1204" s="6">
        <v>-236205</v>
      </c>
      <c r="N1204" s="6">
        <v>39128</v>
      </c>
      <c r="O1204" s="6">
        <v>6785</v>
      </c>
      <c r="P1204" s="6">
        <v>0</v>
      </c>
      <c r="Q1204" s="6">
        <v>45913</v>
      </c>
    </row>
    <row r="1205" spans="1:17" x14ac:dyDescent="0.35">
      <c r="A1205" s="1">
        <v>46001</v>
      </c>
      <c r="B1205" s="6">
        <v>6493390</v>
      </c>
      <c r="C1205" s="6">
        <v>4019611</v>
      </c>
      <c r="D1205" s="6">
        <v>0</v>
      </c>
      <c r="E1205" s="6">
        <v>2973767</v>
      </c>
      <c r="F1205" s="6">
        <v>805827</v>
      </c>
      <c r="G1205" s="6">
        <v>9436</v>
      </c>
      <c r="H1205" s="6">
        <v>230581</v>
      </c>
      <c r="I1205" s="6">
        <v>331559</v>
      </c>
      <c r="J1205" s="6">
        <v>2374616</v>
      </c>
      <c r="K1205" s="6">
        <v>355</v>
      </c>
      <c r="L1205" s="6">
        <v>821</v>
      </c>
      <c r="M1205" s="6">
        <v>-233572</v>
      </c>
      <c r="N1205" s="6">
        <v>39127</v>
      </c>
      <c r="O1205" s="6">
        <v>6785</v>
      </c>
      <c r="P1205" s="6">
        <v>0</v>
      </c>
      <c r="Q1205" s="6">
        <v>45912</v>
      </c>
    </row>
    <row r="1206" spans="1:17" x14ac:dyDescent="0.35">
      <c r="A1206" s="1">
        <v>46008</v>
      </c>
      <c r="B1206" s="6">
        <v>6510938</v>
      </c>
      <c r="C1206" s="6">
        <v>4036223</v>
      </c>
      <c r="D1206" s="6">
        <v>0</v>
      </c>
      <c r="E1206" s="6">
        <v>2933652</v>
      </c>
      <c r="F1206" s="6">
        <v>861417</v>
      </c>
      <c r="G1206" s="6">
        <v>9436</v>
      </c>
      <c r="H1206" s="6">
        <v>231719</v>
      </c>
      <c r="I1206" s="6">
        <v>332245</v>
      </c>
      <c r="J1206" s="6">
        <v>2377032</v>
      </c>
      <c r="K1206" s="6">
        <v>507</v>
      </c>
      <c r="L1206" s="6">
        <v>821</v>
      </c>
      <c r="M1206" s="6">
        <v>-235891</v>
      </c>
      <c r="N1206" s="6">
        <v>39138</v>
      </c>
      <c r="O1206" s="6">
        <v>6785</v>
      </c>
      <c r="P1206" s="6">
        <v>0</v>
      </c>
      <c r="Q1206" s="6">
        <v>45923</v>
      </c>
    </row>
    <row r="1207" spans="1:17" x14ac:dyDescent="0.35">
      <c r="A1207" s="1">
        <v>46015</v>
      </c>
      <c r="B1207" s="6">
        <v>6535307</v>
      </c>
      <c r="C1207" s="6">
        <v>4057961</v>
      </c>
      <c r="D1207" s="6">
        <v>0</v>
      </c>
      <c r="E1207" s="6">
        <v>2980514</v>
      </c>
      <c r="F1207" s="6">
        <v>801537</v>
      </c>
      <c r="G1207" s="6">
        <v>9439</v>
      </c>
      <c r="H1207" s="6">
        <v>266470</v>
      </c>
      <c r="I1207" s="6">
        <v>321539</v>
      </c>
      <c r="J1207" s="6">
        <v>2387471</v>
      </c>
      <c r="K1207" s="6">
        <v>465</v>
      </c>
      <c r="L1207" s="6">
        <v>821</v>
      </c>
      <c r="M1207" s="6">
        <v>-232950</v>
      </c>
      <c r="N1207" s="6">
        <v>39138</v>
      </c>
      <c r="O1207" s="6">
        <v>6785</v>
      </c>
      <c r="P1207" s="6">
        <v>0</v>
      </c>
      <c r="Q1207" s="6">
        <v>45923</v>
      </c>
    </row>
    <row r="1208" spans="1:17" x14ac:dyDescent="0.35">
      <c r="A1208" s="1">
        <v>46022</v>
      </c>
      <c r="B1208" s="6">
        <v>6594681</v>
      </c>
      <c r="C1208" s="6">
        <v>3972690</v>
      </c>
      <c r="D1208" s="6">
        <v>0</v>
      </c>
      <c r="E1208" s="6">
        <v>2853441</v>
      </c>
      <c r="F1208" s="6">
        <v>872853</v>
      </c>
      <c r="G1208" s="6">
        <v>9438</v>
      </c>
      <c r="H1208" s="6">
        <v>236958</v>
      </c>
      <c r="I1208" s="6">
        <v>462198</v>
      </c>
      <c r="J1208" s="6">
        <v>2394465</v>
      </c>
      <c r="K1208" s="6">
        <v>1185</v>
      </c>
      <c r="L1208" s="6">
        <v>821</v>
      </c>
      <c r="M1208" s="6">
        <v>-236679</v>
      </c>
      <c r="N1208" s="6">
        <v>39152</v>
      </c>
      <c r="O1208" s="6">
        <v>6785</v>
      </c>
      <c r="P1208" s="6">
        <v>0</v>
      </c>
      <c r="Q1208" s="6">
        <v>45937</v>
      </c>
    </row>
    <row r="1209" spans="1:17" x14ac:dyDescent="0.35">
      <c r="A1209" s="1">
        <v>46029</v>
      </c>
      <c r="B1209" s="6">
        <v>6527530</v>
      </c>
      <c r="C1209" s="6">
        <v>4041813</v>
      </c>
      <c r="D1209" s="6">
        <v>0</v>
      </c>
      <c r="E1209" s="6">
        <v>3022997</v>
      </c>
      <c r="F1209" s="6">
        <v>783571</v>
      </c>
      <c r="G1209" s="6">
        <v>9439</v>
      </c>
      <c r="H1209" s="6">
        <v>225805</v>
      </c>
      <c r="I1209" s="6">
        <v>328300</v>
      </c>
      <c r="J1209" s="6">
        <v>2390852</v>
      </c>
      <c r="K1209" s="6">
        <v>456</v>
      </c>
      <c r="L1209" s="6">
        <v>821</v>
      </c>
      <c r="M1209" s="6">
        <v>-234713</v>
      </c>
      <c r="N1209" s="6">
        <v>39288</v>
      </c>
      <c r="O1209" s="6">
        <v>6785</v>
      </c>
      <c r="P1209" s="6">
        <v>0</v>
      </c>
      <c r="Q1209" s="6">
        <v>46073</v>
      </c>
    </row>
    <row r="1210" spans="1:17" x14ac:dyDescent="0.35">
      <c r="A1210" s="1">
        <v>46036</v>
      </c>
      <c r="B1210" s="6">
        <v>6535627</v>
      </c>
      <c r="C1210" s="6">
        <v>4072005</v>
      </c>
      <c r="D1210" s="6">
        <v>0</v>
      </c>
      <c r="E1210" s="6">
        <v>3061760</v>
      </c>
      <c r="F1210" s="6">
        <v>777061</v>
      </c>
      <c r="G1210" s="6">
        <v>9439</v>
      </c>
      <c r="H1210" s="6">
        <v>223745</v>
      </c>
      <c r="I1210" s="6">
        <v>317751</v>
      </c>
      <c r="J1210" s="6">
        <v>2382135</v>
      </c>
      <c r="K1210" s="6">
        <v>376</v>
      </c>
      <c r="L1210" s="6">
        <v>821</v>
      </c>
      <c r="M1210" s="6">
        <v>-237461</v>
      </c>
      <c r="N1210" s="6">
        <v>39288</v>
      </c>
      <c r="O1210" s="6">
        <v>6785</v>
      </c>
      <c r="P1210" s="6">
        <v>0</v>
      </c>
      <c r="Q1210" s="6">
        <v>46073</v>
      </c>
    </row>
    <row r="1211" spans="1:17" x14ac:dyDescent="0.35">
      <c r="A1211" s="1">
        <v>46043</v>
      </c>
      <c r="B1211" s="6">
        <v>6538506</v>
      </c>
      <c r="C1211" s="6">
        <v>4069771</v>
      </c>
      <c r="D1211" s="6">
        <v>0</v>
      </c>
      <c r="E1211" s="6">
        <v>2956526</v>
      </c>
      <c r="F1211" s="6">
        <v>871169</v>
      </c>
      <c r="G1211" s="6">
        <v>9608</v>
      </c>
      <c r="H1211" s="6">
        <v>232468</v>
      </c>
      <c r="I1211" s="6">
        <v>323388</v>
      </c>
      <c r="J1211" s="6">
        <v>2379381</v>
      </c>
      <c r="K1211" s="6">
        <v>522</v>
      </c>
      <c r="L1211" s="6">
        <v>821</v>
      </c>
      <c r="M1211" s="6">
        <v>-235377</v>
      </c>
      <c r="N1211" s="6">
        <v>39288</v>
      </c>
      <c r="O1211" s="6">
        <v>6785</v>
      </c>
      <c r="P1211" s="6">
        <v>0</v>
      </c>
      <c r="Q1211" s="6">
        <v>46073</v>
      </c>
    </row>
    <row r="1212" spans="1:17" x14ac:dyDescent="0.35">
      <c r="A1212" s="1">
        <v>46050</v>
      </c>
      <c r="B1212" s="6">
        <v>6541494</v>
      </c>
      <c r="C1212" s="6">
        <v>4072524</v>
      </c>
      <c r="D1212" s="6">
        <v>0</v>
      </c>
      <c r="E1212" s="6">
        <v>2882940</v>
      </c>
      <c r="F1212" s="6">
        <v>952705</v>
      </c>
      <c r="G1212" s="6">
        <v>9441</v>
      </c>
      <c r="H1212" s="6">
        <v>227439</v>
      </c>
      <c r="I1212" s="6">
        <v>327151</v>
      </c>
      <c r="J1212" s="6">
        <v>2378346</v>
      </c>
      <c r="K1212" s="6">
        <v>876</v>
      </c>
      <c r="L1212" s="6">
        <v>821</v>
      </c>
      <c r="M1212" s="6">
        <v>-238226</v>
      </c>
      <c r="N1212" s="6">
        <v>39289</v>
      </c>
      <c r="O1212" s="6">
        <v>6785</v>
      </c>
      <c r="P1212" s="6">
        <v>0</v>
      </c>
      <c r="Q1212" s="6">
        <v>46074</v>
      </c>
    </row>
    <row r="1213" spans="1:17" x14ac:dyDescent="0.35">
      <c r="A1213" s="1">
        <v>46057</v>
      </c>
      <c r="B1213" s="6">
        <v>6559735</v>
      </c>
      <c r="C1213" s="6">
        <v>4088218</v>
      </c>
      <c r="D1213" s="6">
        <v>0</v>
      </c>
      <c r="E1213" s="6">
        <v>2937493</v>
      </c>
      <c r="F1213" s="6">
        <v>907737</v>
      </c>
      <c r="G1213" s="6">
        <v>9439</v>
      </c>
      <c r="H1213" s="6">
        <v>233549</v>
      </c>
      <c r="I1213" s="6">
        <v>326859</v>
      </c>
      <c r="J1213" s="6">
        <v>2380142</v>
      </c>
      <c r="K1213" s="6">
        <v>365</v>
      </c>
      <c r="L1213" s="6">
        <v>821</v>
      </c>
      <c r="M1213" s="6">
        <v>-236670</v>
      </c>
      <c r="N1213" s="6">
        <v>39389</v>
      </c>
      <c r="O1213" s="6">
        <v>6785</v>
      </c>
      <c r="P1213" s="6">
        <v>0</v>
      </c>
      <c r="Q1213" s="6">
        <v>46174</v>
      </c>
    </row>
    <row r="1214" spans="1:17" x14ac:dyDescent="0.35">
      <c r="A1214" s="1">
        <v>46064</v>
      </c>
      <c r="B1214" s="6">
        <v>6576136</v>
      </c>
      <c r="C1214" s="6">
        <v>4113030</v>
      </c>
      <c r="D1214" s="6">
        <v>0</v>
      </c>
      <c r="E1214" s="6">
        <v>2958493</v>
      </c>
      <c r="F1214" s="6">
        <v>910533</v>
      </c>
      <c r="G1214" s="6">
        <v>9439</v>
      </c>
      <c r="H1214" s="6">
        <v>234565</v>
      </c>
      <c r="I1214" s="6">
        <v>320655</v>
      </c>
      <c r="J1214" s="6">
        <v>2379582</v>
      </c>
      <c r="K1214" s="6">
        <v>394</v>
      </c>
      <c r="L1214" s="6">
        <v>821</v>
      </c>
      <c r="M1214" s="6">
        <v>-238345</v>
      </c>
      <c r="N1214" s="6">
        <v>39460</v>
      </c>
      <c r="O1214" s="6">
        <v>6785</v>
      </c>
      <c r="P1214" s="6">
        <v>0</v>
      </c>
      <c r="Q1214" s="6">
        <v>46245</v>
      </c>
    </row>
    <row r="1215" spans="1:17" x14ac:dyDescent="0.35">
      <c r="A1215" s="1">
        <v>46071</v>
      </c>
      <c r="B1215" s="6">
        <v>6567114</v>
      </c>
      <c r="C1215" s="6">
        <v>4092679</v>
      </c>
      <c r="D1215" s="6">
        <v>0</v>
      </c>
      <c r="E1215" s="6">
        <v>2959961</v>
      </c>
      <c r="F1215" s="6">
        <v>888854</v>
      </c>
      <c r="G1215" s="6">
        <v>9439</v>
      </c>
      <c r="H1215" s="6">
        <v>234426</v>
      </c>
      <c r="I1215" s="6">
        <v>329348</v>
      </c>
      <c r="J1215" s="6">
        <v>2379987</v>
      </c>
      <c r="K1215" s="6">
        <v>449</v>
      </c>
      <c r="L1215" s="6">
        <v>821</v>
      </c>
      <c r="M1215" s="6">
        <v>-236171</v>
      </c>
      <c r="N1215" s="6">
        <v>39496</v>
      </c>
      <c r="O1215" s="6">
        <v>6785</v>
      </c>
      <c r="P1215" s="6">
        <v>0</v>
      </c>
      <c r="Q1215" s="6">
        <v>46281</v>
      </c>
    </row>
    <row r="1216" spans="1:17" x14ac:dyDescent="0.35">
      <c r="A1216" s="1">
        <v>46078</v>
      </c>
      <c r="B1216" s="6">
        <v>6567506</v>
      </c>
      <c r="C1216" s="6">
        <v>4094019</v>
      </c>
      <c r="D1216" s="6">
        <v>0</v>
      </c>
      <c r="E1216" s="6">
        <v>3004429</v>
      </c>
      <c r="F1216" s="6">
        <v>838975</v>
      </c>
      <c r="G1216" s="6">
        <v>9439</v>
      </c>
      <c r="H1216" s="6">
        <v>241177</v>
      </c>
      <c r="I1216" s="6">
        <v>329222</v>
      </c>
      <c r="J1216" s="6">
        <v>2381321</v>
      </c>
      <c r="K1216" s="6">
        <v>657</v>
      </c>
      <c r="L1216" s="6">
        <v>821</v>
      </c>
      <c r="M1216" s="6">
        <v>-238535</v>
      </c>
      <c r="N1216" s="6">
        <v>39506</v>
      </c>
      <c r="O1216" s="6">
        <v>6785</v>
      </c>
      <c r="P1216" s="6">
        <v>0</v>
      </c>
      <c r="Q1216" s="6">
        <v>46291</v>
      </c>
    </row>
    <row r="1217" spans="1:17" x14ac:dyDescent="0.35">
      <c r="A1217" s="1">
        <v>46085</v>
      </c>
      <c r="B1217" s="6">
        <v>6582558</v>
      </c>
      <c r="C1217" s="6">
        <v>4109950</v>
      </c>
      <c r="D1217" s="6">
        <v>0</v>
      </c>
      <c r="E1217" s="6">
        <v>3013718</v>
      </c>
      <c r="F1217" s="6">
        <v>846979</v>
      </c>
      <c r="G1217" s="6">
        <v>9878</v>
      </c>
      <c r="H1217" s="6">
        <v>239375</v>
      </c>
      <c r="I1217" s="6">
        <v>319504</v>
      </c>
      <c r="J1217" s="6">
        <v>2387243</v>
      </c>
      <c r="K1217" s="6">
        <v>932</v>
      </c>
      <c r="L1217" s="6">
        <v>821</v>
      </c>
      <c r="M1217" s="6">
        <v>-235893</v>
      </c>
      <c r="N1217" s="6">
        <v>39552</v>
      </c>
      <c r="O1217" s="6">
        <v>6785</v>
      </c>
      <c r="P1217" s="6">
        <v>0</v>
      </c>
      <c r="Q1217" s="6">
        <v>46337</v>
      </c>
    </row>
    <row r="1218" spans="1:17" x14ac:dyDescent="0.35">
      <c r="A1218" s="1">
        <v>46092</v>
      </c>
      <c r="B1218" s="6">
        <v>6600004</v>
      </c>
      <c r="C1218" s="6">
        <v>4121013</v>
      </c>
      <c r="D1218" s="6">
        <v>0</v>
      </c>
      <c r="E1218" s="6">
        <v>3073151</v>
      </c>
      <c r="F1218" s="6">
        <v>805806</v>
      </c>
      <c r="G1218" s="6">
        <v>9460</v>
      </c>
      <c r="H1218" s="6">
        <v>232595</v>
      </c>
      <c r="I1218" s="6">
        <v>325460</v>
      </c>
      <c r="J1218" s="6">
        <v>2390232</v>
      </c>
      <c r="K1218" s="6">
        <v>321</v>
      </c>
      <c r="L1218" s="6">
        <v>821</v>
      </c>
      <c r="M1218" s="6">
        <v>-237843</v>
      </c>
      <c r="N1218" s="6">
        <v>39556</v>
      </c>
      <c r="O1218" s="6">
        <v>6785</v>
      </c>
      <c r="P1218" s="6">
        <v>0</v>
      </c>
      <c r="Q1218" s="6">
        <v>46341</v>
      </c>
    </row>
    <row r="1219" spans="1:17" x14ac:dyDescent="0.35">
      <c r="A1219" s="1">
        <v>46099</v>
      </c>
      <c r="B1219" s="6">
        <v>6609595</v>
      </c>
      <c r="C1219" s="6">
        <v>4119424</v>
      </c>
      <c r="D1219" s="6">
        <v>0</v>
      </c>
      <c r="E1219" s="6">
        <v>2998809</v>
      </c>
      <c r="F1219" s="6">
        <v>875833</v>
      </c>
      <c r="G1219" s="6">
        <v>9440</v>
      </c>
      <c r="H1219" s="6">
        <v>235341</v>
      </c>
      <c r="I1219" s="6">
        <v>331352</v>
      </c>
      <c r="J1219" s="6">
        <v>2392797</v>
      </c>
      <c r="K1219" s="6">
        <v>341</v>
      </c>
      <c r="L1219" s="6">
        <v>821</v>
      </c>
      <c r="M1219" s="6">
        <v>-235139</v>
      </c>
      <c r="N1219" s="6">
        <v>39558</v>
      </c>
      <c r="O1219" s="6">
        <v>6785</v>
      </c>
      <c r="P1219" s="6">
        <v>0</v>
      </c>
      <c r="Q1219" s="6">
        <v>46343</v>
      </c>
    </row>
    <row r="1220" spans="1:17" x14ac:dyDescent="0.35">
      <c r="A1220" s="1">
        <v>46106</v>
      </c>
      <c r="B1220" s="6">
        <v>6610728</v>
      </c>
      <c r="C1220" s="6">
        <v>4117086</v>
      </c>
      <c r="D1220" s="6">
        <v>0</v>
      </c>
      <c r="E1220" s="6">
        <v>3036073</v>
      </c>
      <c r="F1220" s="6">
        <v>837412</v>
      </c>
      <c r="G1220" s="6">
        <v>9437</v>
      </c>
      <c r="H1220" s="6">
        <v>234163</v>
      </c>
      <c r="I1220" s="6">
        <v>334136</v>
      </c>
      <c r="J1220" s="6">
        <v>2395455</v>
      </c>
      <c r="K1220" s="6">
        <v>334</v>
      </c>
      <c r="L1220" s="6">
        <v>821</v>
      </c>
      <c r="M1220" s="6">
        <v>-237104</v>
      </c>
      <c r="N1220" s="6">
        <v>39648</v>
      </c>
      <c r="O1220" s="6">
        <v>6785</v>
      </c>
      <c r="P1220" s="6">
        <v>0</v>
      </c>
      <c r="Q1220" s="6">
        <v>46433</v>
      </c>
    </row>
    <row r="1221" spans="1:17" x14ac:dyDescent="0.35">
      <c r="A1221" s="1">
        <v>46113</v>
      </c>
      <c r="B1221" s="6">
        <v>6628863</v>
      </c>
      <c r="C1221" s="6">
        <v>4122648</v>
      </c>
      <c r="D1221" s="6">
        <v>0</v>
      </c>
      <c r="E1221" s="6">
        <v>3064460</v>
      </c>
      <c r="F1221" s="6">
        <v>803553</v>
      </c>
      <c r="G1221" s="6">
        <v>9440</v>
      </c>
      <c r="H1221" s="6">
        <v>245195</v>
      </c>
      <c r="I1221" s="6">
        <v>339594</v>
      </c>
      <c r="J1221" s="6">
        <v>2399416</v>
      </c>
      <c r="K1221" s="6">
        <v>885</v>
      </c>
      <c r="L1221" s="6">
        <v>821</v>
      </c>
      <c r="M1221" s="6">
        <v>-234501</v>
      </c>
      <c r="N1221" s="6">
        <v>39696</v>
      </c>
      <c r="O1221" s="6">
        <v>6785</v>
      </c>
      <c r="P1221" s="6">
        <v>0</v>
      </c>
      <c r="Q1221" s="6">
        <v>46481</v>
      </c>
    </row>
    <row r="1222" spans="1:17" x14ac:dyDescent="0.35">
      <c r="A1222" s="1">
        <v>46120</v>
      </c>
      <c r="B1222" s="6">
        <v>6647390</v>
      </c>
      <c r="C1222" s="6">
        <v>4136540</v>
      </c>
      <c r="D1222" s="6">
        <v>0</v>
      </c>
      <c r="E1222" s="6">
        <v>3183533</v>
      </c>
      <c r="F1222" s="6">
        <v>697079</v>
      </c>
      <c r="G1222" s="6">
        <v>9441</v>
      </c>
      <c r="H1222" s="6">
        <v>246487</v>
      </c>
      <c r="I1222" s="6">
        <v>344859</v>
      </c>
      <c r="J1222" s="6">
        <v>2401579</v>
      </c>
      <c r="K1222" s="6">
        <v>324</v>
      </c>
      <c r="L1222" s="6">
        <v>821</v>
      </c>
      <c r="M1222" s="6">
        <v>-236733</v>
      </c>
      <c r="N1222" s="6">
        <v>39696</v>
      </c>
      <c r="O1222" s="6">
        <v>6785</v>
      </c>
      <c r="P1222" s="6">
        <v>0</v>
      </c>
      <c r="Q1222" s="6">
        <v>46481</v>
      </c>
    </row>
    <row r="1223" spans="1:17" x14ac:dyDescent="0.35">
      <c r="A1223" s="1">
        <v>46127</v>
      </c>
      <c r="B1223" s="6">
        <v>6659214</v>
      </c>
      <c r="C1223" s="6">
        <v>4150873</v>
      </c>
      <c r="D1223" s="6">
        <v>0</v>
      </c>
      <c r="E1223" s="6">
        <v>2980188</v>
      </c>
      <c r="F1223" s="6">
        <v>924435</v>
      </c>
      <c r="G1223" s="6">
        <v>9442</v>
      </c>
      <c r="H1223" s="6">
        <v>236809</v>
      </c>
      <c r="I1223" s="6">
        <v>339866</v>
      </c>
      <c r="J1223" s="6">
        <v>2400932</v>
      </c>
      <c r="K1223" s="6">
        <v>390</v>
      </c>
      <c r="L1223" s="6">
        <v>821</v>
      </c>
      <c r="M1223" s="6">
        <v>-233669</v>
      </c>
      <c r="N1223" s="6">
        <v>39697</v>
      </c>
      <c r="O1223" s="6">
        <v>6785</v>
      </c>
      <c r="P1223" s="6">
        <v>0</v>
      </c>
      <c r="Q1223" s="6">
        <v>46482</v>
      </c>
    </row>
    <row r="1224" spans="1:17" x14ac:dyDescent="0.35">
      <c r="A1224" s="1">
        <v>46134</v>
      </c>
      <c r="B1224" s="6">
        <v>6660927</v>
      </c>
      <c r="C1224" s="6">
        <v>4168380</v>
      </c>
      <c r="D1224" s="6">
        <v>0</v>
      </c>
      <c r="E1224" s="6">
        <v>2914576</v>
      </c>
      <c r="F1224" s="6">
        <v>1007172</v>
      </c>
      <c r="G1224" s="6">
        <v>9441</v>
      </c>
      <c r="H1224" s="6">
        <v>237190</v>
      </c>
      <c r="I1224" s="6">
        <v>325124</v>
      </c>
      <c r="J1224" s="6">
        <v>2402080</v>
      </c>
      <c r="K1224" s="6">
        <v>324</v>
      </c>
      <c r="L1224" s="6">
        <v>821</v>
      </c>
      <c r="M1224" s="6">
        <v>-235801</v>
      </c>
      <c r="N1224" s="6">
        <v>39706</v>
      </c>
      <c r="O1224" s="6">
        <v>6785</v>
      </c>
      <c r="P1224" s="6">
        <v>0</v>
      </c>
      <c r="Q1224" s="6">
        <v>46491</v>
      </c>
    </row>
    <row r="1225" spans="1:17" x14ac:dyDescent="0.35">
      <c r="A1225" s="1">
        <v>46141</v>
      </c>
      <c r="B1225" s="6">
        <v>6653455</v>
      </c>
      <c r="C1225" s="6">
        <v>4157969</v>
      </c>
      <c r="D1225" s="6">
        <v>0</v>
      </c>
      <c r="E1225" s="6">
        <v>2919157</v>
      </c>
      <c r="F1225" s="6">
        <v>988102</v>
      </c>
      <c r="G1225" s="6">
        <v>9441</v>
      </c>
      <c r="H1225" s="6">
        <v>241269</v>
      </c>
      <c r="I1225" s="6">
        <v>322711</v>
      </c>
      <c r="J1225" s="6">
        <v>2403608</v>
      </c>
      <c r="K1225" s="6">
        <v>1413</v>
      </c>
      <c r="L1225" s="6">
        <v>821</v>
      </c>
      <c r="M1225" s="6">
        <v>-233068</v>
      </c>
      <c r="N1225" s="6">
        <v>39710</v>
      </c>
      <c r="O1225" s="6">
        <v>6785</v>
      </c>
      <c r="P1225" s="6">
        <v>0</v>
      </c>
      <c r="Q1225" s="6">
        <v>46495</v>
      </c>
    </row>
    <row r="1226" spans="1:17" x14ac:dyDescent="0.35">
      <c r="A1226" s="1">
        <v>46148</v>
      </c>
      <c r="B1226" s="6">
        <v>6662293</v>
      </c>
      <c r="C1226" s="6">
        <v>4166607</v>
      </c>
      <c r="D1226" s="6">
        <v>0</v>
      </c>
      <c r="E1226" s="6">
        <v>3051481</v>
      </c>
      <c r="F1226" s="6">
        <v>862757</v>
      </c>
      <c r="G1226" s="6">
        <v>9443</v>
      </c>
      <c r="H1226" s="6">
        <v>242926</v>
      </c>
      <c r="I1226" s="6">
        <v>322686</v>
      </c>
      <c r="J1226" s="6">
        <v>2405940</v>
      </c>
      <c r="K1226" s="6">
        <v>361</v>
      </c>
      <c r="L1226" s="6">
        <v>821</v>
      </c>
      <c r="M1226" s="6">
        <v>-234121</v>
      </c>
      <c r="N1226" s="6">
        <v>40427</v>
      </c>
      <c r="O1226" s="6">
        <v>6785</v>
      </c>
      <c r="P1226" s="6">
        <v>0</v>
      </c>
      <c r="Q1226" s="6">
        <v>47212</v>
      </c>
    </row>
    <row r="1227" spans="1:17" x14ac:dyDescent="0.35">
      <c r="A1227" s="1">
        <v>46155</v>
      </c>
      <c r="B1227" s="6">
        <v>6681291</v>
      </c>
      <c r="C1227" s="6">
        <v>4177723</v>
      </c>
      <c r="D1227" s="6">
        <v>0</v>
      </c>
      <c r="E1227" s="6">
        <v>3117367</v>
      </c>
      <c r="F1227" s="6">
        <v>807420</v>
      </c>
      <c r="G1227" s="6">
        <v>9443</v>
      </c>
      <c r="H1227" s="6">
        <v>243493</v>
      </c>
      <c r="I1227" s="6">
        <v>326347</v>
      </c>
      <c r="J1227" s="6">
        <v>2406692</v>
      </c>
      <c r="K1227" s="6">
        <v>372</v>
      </c>
      <c r="L1227" s="6">
        <v>821</v>
      </c>
      <c r="M1227" s="6">
        <v>-230664</v>
      </c>
      <c r="N1227" s="6">
        <v>40427</v>
      </c>
      <c r="O1227" s="6">
        <v>6785</v>
      </c>
      <c r="P1227" s="6">
        <v>0</v>
      </c>
      <c r="Q1227" s="6">
        <v>47212</v>
      </c>
    </row>
    <row r="1228" spans="1:17" x14ac:dyDescent="0.35">
      <c r="A1228" s="1">
        <v>46162</v>
      </c>
      <c r="B1228" s="6">
        <v>6666407</v>
      </c>
      <c r="C1228" s="6">
        <v>4144576</v>
      </c>
      <c r="D1228" s="6">
        <v>0</v>
      </c>
      <c r="E1228" s="6">
        <v>3106716</v>
      </c>
      <c r="F1228" s="6">
        <v>781979</v>
      </c>
      <c r="G1228" s="6">
        <v>9443</v>
      </c>
      <c r="H1228" s="6">
        <v>246438</v>
      </c>
      <c r="I1228" s="6">
        <v>342628</v>
      </c>
      <c r="J1228" s="6">
        <v>2410379</v>
      </c>
      <c r="K1228" s="6">
        <v>316</v>
      </c>
      <c r="L1228" s="6">
        <v>821</v>
      </c>
      <c r="M1228" s="6">
        <v>-232314</v>
      </c>
      <c r="N1228" s="6">
        <v>40451</v>
      </c>
      <c r="O1228" s="6">
        <v>6785</v>
      </c>
      <c r="P1228" s="6">
        <v>0</v>
      </c>
      <c r="Q1228" s="6">
        <v>47236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资产</vt:lpstr>
      <vt:lpstr>负债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Allen</dc:creator>
  <cp:lastModifiedBy>Meng Allen</cp:lastModifiedBy>
  <dcterms:created xsi:type="dcterms:W3CDTF">2025-09-17T06:04:33Z</dcterms:created>
  <dcterms:modified xsi:type="dcterms:W3CDTF">2026-05-22T08:43:31Z</dcterms:modified>
</cp:coreProperties>
</file>